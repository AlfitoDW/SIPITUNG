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efinisi operasional" sheetId="2" r:id="rId6"/>
    <sheet state="visible" name="Matriks Kinerja (semula)" sheetId="3" r:id="rId7"/>
    <sheet state="visible" name="IKU2" sheetId="4" r:id="rId8"/>
    <sheet state="visible" name="IKU3" sheetId="5" r:id="rId9"/>
    <sheet state="visible" name="IKU4" sheetId="6" r:id="rId10"/>
    <sheet state="visible" name="IKU 8" sheetId="7" r:id="rId11"/>
    <sheet state="visible" name="IKU 6" sheetId="8" r:id="rId12"/>
  </sheets>
  <definedNames/>
  <calcPr/>
</workbook>
</file>

<file path=xl/sharedStrings.xml><?xml version="1.0" encoding="utf-8"?>
<sst xmlns="http://schemas.openxmlformats.org/spreadsheetml/2006/main" count="212" uniqueCount="152">
  <si>
    <t>No</t>
  </si>
  <si>
    <t>Sasaran Program</t>
  </si>
  <si>
    <t>Kode</t>
  </si>
  <si>
    <t>Indikator Kinerja Utama</t>
  </si>
  <si>
    <t>PIC IKU</t>
  </si>
  <si>
    <t>Satuan</t>
  </si>
  <si>
    <t>Baseline 2025</t>
  </si>
  <si>
    <t>Target 2026</t>
  </si>
  <si>
    <t>Target 2027</t>
  </si>
  <si>
    <t>Target 2028</t>
  </si>
  <si>
    <t>Target 2029</t>
  </si>
  <si>
    <t>Meningkatnya kualitas layanan Lembaga Layanan Pendidikan Tinggi (LLDIKTI)</t>
  </si>
  <si>
    <t>IKU 1</t>
  </si>
  <si>
    <t>Keunggulan Layanan LLDIKTI</t>
  </si>
  <si>
    <t>Tim Kerja Humas dan Kerja Sama</t>
  </si>
  <si>
    <t>%</t>
  </si>
  <si>
    <t>IKU 2</t>
  </si>
  <si>
    <t>Arsitektur Perguruan Tinggi Swasta (PTS)</t>
  </si>
  <si>
    <t>Tim Kerja Penjaminan Mutu;
Tim Kerja Kelembagaan dan Kemitraan</t>
  </si>
  <si>
    <t>IKU 3</t>
  </si>
  <si>
    <t>Tata Kelola LLDIKTI yang berkualitas dan berintegritas</t>
  </si>
  <si>
    <t>Tim Kerja Perencanaan dan Keuangan;
Tim Kerja Hukum, Kepegawaian dan Tata Laksana</t>
  </si>
  <si>
    <t>Nilai</t>
  </si>
  <si>
    <t>Meningkatnya efektivitas sosialisasi kebijakan pendidikan tinggi</t>
  </si>
  <si>
    <t>IKU 4</t>
  </si>
  <si>
    <t>Fasilitasi peningkatan mutu pendidikan pada perguruan tinggi swasta oleh LLDIKTI</t>
  </si>
  <si>
    <t>Tim Kerja Penjaminan Mutu;
Tim Kerja Pembelajaran dan Kemahasiswaan</t>
  </si>
  <si>
    <t>IKU 5</t>
  </si>
  <si>
    <t>Pencegahan dan penanganan kekerasan, narkoba, dan korupsi</t>
  </si>
  <si>
    <t>Tim Kerja ADIA</t>
  </si>
  <si>
    <t>Meningkatnya inovasi perguruan tinggi dalam rangka meningkatkan mutu pendidikan</t>
  </si>
  <si>
    <t>IKU 6</t>
  </si>
  <si>
    <t>Fasilitasi Pengembangan Kemahasiswaan dan Prestasi oleh LLDIKTI</t>
  </si>
  <si>
    <t>Tim Kerja Pembelajaran dan Kemahasiswaan</t>
  </si>
  <si>
    <t>IKU 7</t>
  </si>
  <si>
    <t>Jumlah Dosen PTS yang Meningkat Jabatan Fungsionalnya</t>
  </si>
  <si>
    <t>Tim Kerja Sumber Daya</t>
  </si>
  <si>
    <t>Orang</t>
  </si>
  <si>
    <t>IKU 8</t>
  </si>
  <si>
    <t>Fasilitasi Peningkatan Kinerja Penelitian, Publikasi, Pengabdian pada Masyarakat dan Kemitraan PTS</t>
  </si>
  <si>
    <t>Tim Kerja Riset dan P2M;
Tim Kerja Kelembagaan dan Kemitraan</t>
  </si>
  <si>
    <t>Tahun</t>
  </si>
  <si>
    <t>Proyeksi Jumlah PTS</t>
  </si>
  <si>
    <t>`</t>
  </si>
  <si>
    <t>Definisi</t>
  </si>
  <si>
    <t>Kriteria</t>
  </si>
  <si>
    <t>Ketentuan</t>
  </si>
  <si>
    <t>Formula</t>
  </si>
  <si>
    <t>Merupakan indikator yang mengukur tingkat kepuasan pengguna terhadap layanan utama LLDIKTI.</t>
  </si>
  <si>
    <t>Kriteria layanan yang keunggulannya diukur adalah layanan di dalam kategori: 
a. layanan akademik (Contoh: penomoran ijazah dan sertifikat profesi nasional (PISN), akreditasi, penjaminan mutu); 
b. layanan terkait dosen dan tenaga kependidikan; 
c. layanan terkait data dan informasi; dan/atau 
d. layanan kelembagaan (Contoh: pembukaan program studi baru, pendirian PTS baru, pindah lokasi, penyatuan dan penggabungan, dan penutupan).</t>
  </si>
  <si>
    <t>-</t>
  </si>
  <si>
    <t xml:space="preserve">n = responden pengguna layanan LLDIKTI yang puas terhadap hasil layanan  
t = total responden pengguna layanan LLDIKTI (terdapat batas minimum  persentase responden yang dikumpulkan) </t>
  </si>
  <si>
    <t>% (persentase)</t>
  </si>
  <si>
    <t>Merupakan indikator yang mengukur persentase PTS yang terakreditasi atau meningkatkan mutu PTS dengan cara penyatuan dan/atau penggabungan PTS.</t>
  </si>
  <si>
    <t>Untuk laporan dan evaluasi, LLDIKTI dapat menggunakan acuan skala sebagai berikut:</t>
  </si>
  <si>
    <t xml:space="preserve">
a = jumlah PTS yang terakreditasi.
b = jumlah PTS yang melakukan penyatuan atau penggabungan.
t = total PTS di wilayah kerja LLDIKTI tersebut.</t>
  </si>
  <si>
    <t>% (Persentase)</t>
  </si>
  <si>
    <t>Indikator ini mengukur pencapaian predikat kinerja akuntabilitas (SAKIP) serta pencapaian predikat Zona Integritas (WBK/WBBM) oleh LLDIKTI pada tahun penilaian, sebagaimana hasil evaluasi resmi dari KemenPANRB atau Inspektorat Jenderal Kemdiktisaintek dengan memperhatikan indikator pendukung tata kelola berupa Indikator Kinerja Pelaksanaan Anggaran.</t>
  </si>
  <si>
    <r>
      <rPr>
        <rFont val="Times New Roman"/>
        <b/>
        <color theme="1"/>
        <sz val="12.0"/>
      </rPr>
      <t>Skala dan Predikat Penilaian SAKIP:
Kriteria Zona Integritas (ZI):</t>
    </r>
    <r>
      <rPr>
        <rFont val="Times New Roman"/>
        <color theme="1"/>
        <sz val="12.0"/>
      </rPr>
      <t xml:space="preserve">
Zona Integritas dianggap memenuhi indikator apabila LLDIKTI berpredikat:
a.WBBM (nilai tertinggi) = 100
b.WBK = 90
c. Menuju WBK = 80</t>
    </r>
  </si>
  <si>
    <t>a. Predikat SAKIP dan ZI yang dinilai merupakan hasil penilaian resmi KemenPANRB pada tahun berjalan.
b. Predikat yang digunakan hanya yang diumumkan secara formal melalui laporan atau surat keputusan evaluasi KemenPANRB.
c. Indikator dapat berbentuk pencapaian predikat (A/B/BB/BBB/CC) atau status ZI (menuju WBK/WBK/WBBM).
Untuk output, predikat dinyatakan sah apabila terdapat bukti:
a. SK Penetapan KemenPANRB atau Inspektorat Jenderal Kemdiktisaintek;
b. Laporan Evaluasi SAKIP; dan
c. pengumuman resmi hasil ZI KemenPANRB.</t>
  </si>
  <si>
    <t>Contoh perhitungan:
Diketahui Nilai SAKIP AA = 90, Nilai ZI WBK = 90, maka:</t>
  </si>
  <si>
    <t>Merupakan indikator yang mengukur tingkat keterlibatan LLDIKTI dalam memberikan fasilitasi peningkatan mutu kepada PTS pada bidang pendidikan, dan Sistem Penjaminan Mutu Internal (SPMI).</t>
  </si>
  <si>
    <t>Kegiatan yang termasuk dalam lingkup fasilitasi peningkatan mutu PTS oleh LLDIKTI mencakup pendampingan, bimbingan teknis, asistensi, evaluasi, serta layanan konsultasi yang terdokumentasi secara resmi. Adapun PTS yang hanya menjadi peserta pasif webinar tanpa asistensi tidak dihitung sebagai fasilitasi peningkatan mutu.</t>
  </si>
  <si>
    <t>a. Fasilitasi PTS dihitung 1 (satu) kali, meskipun menerima lebih dari satu jenis fasilitasi.
b. Fasilitasi harus memiliki bukti kegiatan, seperti undangan, daftar hadir, laporan, atau dokumen asistensi.
c. Perhitungan dilakukan berdasarkan tahun kalender</t>
  </si>
  <si>
    <t>n = jumlah PTS yang menerima fasilitasi peningkatan mutu dari LLDIKTI pada tahun berjalan (pembelajaran, SPMI, atau kombinasi diantaranya)
t = total PTS di wilayah kerja LLDIKTI tersebut</t>
  </si>
  <si>
    <t>Merupakan indikator yang mengukur persentase PTS yang mengimplementasi kebijakan anti kekerasan, anti narkoba, dan anti korupsi.</t>
  </si>
  <si>
    <r>
      <rPr>
        <rFont val="Times New Roman"/>
        <b/>
        <color theme="1"/>
        <sz val="12.0"/>
      </rPr>
      <t>a. Kriteria kebijakan anti kekerasan</t>
    </r>
    <r>
      <rPr>
        <rFont val="Times New Roman"/>
        <color theme="1"/>
        <sz val="12.0"/>
      </rPr>
      <t xml:space="preserve"> di lingkungan Perguruan Tinggi yang diakui dan dinilai berdasarkan Permendikbudristek No. 55 Tahun 2024 tentang Pencegahan dan Penanganan Kekerasan di Lingkungan Perguruan Tinggi (Permendikbudristek PPKPT), meliputi:
1) mahasiswa untuk mengikuti modul pembelajaran tentang kekerasan, intoleransi, dan perundungan yang ditetapkan oleh Kementerian Pendidikan, Sains, dan Teknologi misal melalui platform Learning Management System atau opsi pengajaran lainnya; dan
2) membuat paling sedikit 1 (satu) bentuk kebijakan anti kekerasan berupa:
a) memasukkan materi tentang moderasi beragama/kebhinekaan pada mata kuliah wajib kurikulum agama atau program yang diikuti oleh seluruh     mahasiswa;
b) memiliki satuan tugas Pencegahan dan Penanganan Kekerasan di Perguruan Tinggi (PPKPT) sesuai dengan Permendikbudristek PPKPT;
c) melakukan sosialisasi terkait PPKPT;
d) memiliki regulasi yang mengatur pencegahan dan penanganan kekerasan di lingkungan kampus secara menyeluruh;
e) memiliki program pencegahan kekerasan di lingkungan kampus yang ditujukan ke seluruh warga kampus; dan/ atau
f) memiliki Peraturan spesifik yang melarang adanya perpeloncoan dalam kegiatan mahasiswa yang ada di perguruan tinggi.
</t>
    </r>
    <r>
      <rPr>
        <rFont val="Times New Roman"/>
        <b/>
        <color theme="1"/>
        <sz val="12.0"/>
      </rPr>
      <t>b. Kriteria kebijakan anti narkoba</t>
    </r>
    <r>
      <rPr>
        <rFont val="Times New Roman"/>
        <color theme="1"/>
        <sz val="12.0"/>
      </rPr>
      <t xml:space="preserve"> di lingkungan PTS yang diakui dan dinilai meliputi:
1) memasukkan materi tentang anti narkoba pada program atau mata kuliah yang diikuti oleh seluruh mahasiswa; dan/atau
2) melakukan sosialisasi anti narkoba.
</t>
    </r>
    <r>
      <rPr>
        <rFont val="Times New Roman"/>
        <b/>
        <color theme="1"/>
        <sz val="12.0"/>
      </rPr>
      <t>c .Kriteria kebijakan anti korupsi</t>
    </r>
    <r>
      <rPr>
        <rFont val="Times New Roman"/>
        <color theme="1"/>
        <sz val="12.0"/>
      </rPr>
      <t xml:space="preserve"> di lingkungan PTS yang diakui dan dinilai meliputi:
1) menyelenggarakan mata kuliah pendidikan anti korupsi;
2) memiliki mekanisme pengendalian gratifikasi;
3) memiliki mekanisme penanganan pengadual masyarakat;
4) mengimplementasikan Whistle Blowing System; dan/atau
5) memiliki mekanisme penanganan benturan kepentingan (conflict of interest).</t>
    </r>
  </si>
  <si>
    <t xml:space="preserve">
n = jumlah PTS yang memiliki kebijakan anti kekerasan, anti narkoba, dan anti korupsi
t = total PTS di wilayah kerja LLDIKTI tersebut</t>
  </si>
  <si>
    <t>Merupakan indikator yang mengukur tingkat keterlibatan LLDIKTI dalam memberikan fasilitasi, pendampingan, dan bimbingan teknis kepada perguruan tinggi swasta (PTS) untuk peningkatan mutu layanan kemahasiswaan, termasuk pengembangan minat bakat, karier, dan prestasi mahasiswa.</t>
  </si>
  <si>
    <t>Kegiatan yang termasuk fasilitasi pengembangan kemahasiswaan dan prestasi oleh LLDIKTI meliputi bimbingan teknis kemahasiswaan, pendampingan layanan karier, pembinaan minat, bakat, dan prestasi, penguatan organisasi mahasiswa dan PPKPT. Adapun kegiatan webinar umum tidak dihitung.</t>
  </si>
  <si>
    <t>a. Fasilitasi PTS dihitung 1 (satu) kali, meskipun menerima lebih dari satu jenis fasilitasi.
b. Fasilitasi harus memiliki bukti kegiatan, seperti undangan, daftar hadir, laporan, atau dokumen asistensi.
c. Perhitungan dilakukan berdasarkan tahun kalender.</t>
  </si>
  <si>
    <t xml:space="preserve">
n = jumlah PTS yang menerima fasilitasi peningkatan mutu layanan kemahasiswaan dari LLDIKTI pada tahun berjalan (workshop kemahasiswaan, pembinaan prestasi, pelayanan karier, PPKPT, minat bakat, atau pendampingan standar kemahasiswaan)
t = total PTS di wilayah kerja LLDIKTI tersebut</t>
  </si>
  <si>
    <t>Merupakan indikator yang mengukur jumlah dosen perguruan tinggi swasta (PTS) yang mengalami peningkatan jabatan fungsional akademik (Asisten Ahli, Lektor, Lektor Kepala, atau Profesor) setelah mengikuti program pembinaan yang diselenggarakan oleh LLDIKTI, seperti bimbingan teknis (bimtek) jabatan fungsional, klinik penyusunan angka kredit, pendampingan penyusunan portofolio dan dokumen kepakaran, konsultasi percepatan jabatan fungsional, program pembinaan SDM lainnya terkait jabatan fungsional.</t>
  </si>
  <si>
    <t>Kriteria Dosen yang dapat diperhitungkan dalam indikator ini yaitu:
a. dosen harus berasal dari PTS di wilayah kerja LLDIKTI;
b. mengikuti program pembinaan LLDIKTI (bimtek, pendampingan, dsb);
c. tercatat dalam daftar peserta dan diverifikasi oleh LLDIKTI;
d. mendapatkan Keputusan kenaikan jabatan fungsional setelah program pembinaan;
e. keputusan kenaikan jabatan fungsional diterbitkan pada tahun berjalan (tahun penilaian IKU); dan
f. peningkatan jabatan fungsional merupakan hasil dari proses yang didampingi atau difasilitasi LLDIKTI.</t>
  </si>
  <si>
    <t>a. Dosen harus mengikuti kegiatan pembinaan resmi LLDIKTI (daftar hadir dan
dokumentasi tersedia).
b. Peningkatan jabatan fungsional harus dibuktikan dengan keputusan kenaikan
jabatan fungsional yang diterbitkan pada tahun penilaian.
c. Kenaikan jabatan fungsional dihitung untuk semua jenjang, yaitu: dari Asisten Ahli ke Lektor; dari Lektor ke Lektor Kepala; dan dari Lektor Kepala ke Profesor.
d. Jika 1 (satu) dosen naik lebih dari 1 (satu) jenjang dalam tahun yang sama, hanya dihitung 1 (satu) kali.</t>
  </si>
  <si>
    <t>Jumlah Dosen PTS Naik Jabatan Fungsional</t>
  </si>
  <si>
    <t xml:space="preserve">Orang </t>
  </si>
  <si>
    <t>Indikator ini mengukur jumlah PTS yang menerima fasilitasi LLDIKTI dalam rangka peningkatan kinerja penelitian, publikasi ilmiah, atau kemitraan tridharma, melalui kegiatan pembinaan, pendampingan, bimbingan teknis, atau klinik peningkatan mutu yang dilaksanakan pada tahun penilaian.</t>
  </si>
  <si>
    <t>Kegiatan yang termasuk dalam fasilitasi peningkatan kinerja penelitian, publikasi, pengabdian pada masyarakat, dan kemitraan PTS yaitu pembinaan, pendampingan, bimbingan teknis, klinik peningkatan mutu, coaching clinic, klinik publikasi, pendampingan SINTA/Scopus/WoS, workshop HKI, fasilitasi kemitraan penelitian atau pengabdian, dan workshop penguatan kapasitas peneliti/dosen.</t>
  </si>
  <si>
    <r>
      <rPr>
        <rFont val="Times New Roman"/>
        <b/>
        <color theme="1"/>
        <sz val="12.0"/>
      </rPr>
      <t>Fasilitasi penelitian dan publikasi PTS:</t>
    </r>
    <r>
      <rPr>
        <rFont val="Times New Roman"/>
        <color theme="1"/>
        <sz val="12.0"/>
      </rPr>
      <t xml:space="preserve">
a. PTS mengikuti fasilitasi resmi LLDIKTI (bimtek, coaching clinic, klinik publikasi, pendampingan SINTA/Scopus/WoS, workshop HKI, fasilitasi kemitraan penelitian atau pengabdian, dan workshop penguatan kapasitas peneliti/dosen);
b. kegiatan dilakukan pada tahun penilaian; dan
c. terdapat bukti keikutsertaan atau dokumen resmi dari LLDIKTI (undangan, daftar hadir, sertifikat, laporan kegiatan, atau dokumentasi fasilitasi).
</t>
    </r>
    <r>
      <rPr>
        <rFont val="Times New Roman"/>
        <b/>
        <color theme="1"/>
        <sz val="12.0"/>
      </rPr>
      <t>Kriteria partisipasi PTS dalam fasilitasi LLDIKTI:</t>
    </r>
    <r>
      <rPr>
        <rFont val="Times New Roman"/>
        <color theme="1"/>
        <sz val="12.0"/>
      </rPr>
      <t xml:space="preserve">
a. mengikuti minimal satu kegiatan fasilitasi penelitian, publikasi, pengabdian pada masyarakat, atau kemitraan dari LLDIKTI;
b. partisipasi diwakili oleh dosen tetap, bukan tenaga tidak tetap;
c. ada output minimal, seperti: proposal penelitian/kemitraan yang diverifikasi; outline artikel yang dibina; dan rencana aksi peningkatan kinerja penelitian atau kemitraan; dan
d. PTS tercatat dalam daftar penerima fasilitasi resmi LLDIKTI wilayah.</t>
    </r>
  </si>
  <si>
    <t xml:space="preserve">
n = jumlah PTS yang memperoleh fasilitasi peningkatan kinerja penelitian, publikasi, pengabdian pada masyarakat, atau kemitraan dari LLDIKTI pada tahun penilaian
t = total publikasi di seluruh PTS pada wilayah kerja LLDIKTI tersebut</t>
  </si>
  <si>
    <t>Sesuai dengan yang termuat dalam dokumen Laporan Kinerja 2025 dan draf Renstra 2025-2029, kami sajikan matriks kinerja berdasarkan Kepmendikbudristek Nomor 210/M/2023 sebagai wacana</t>
  </si>
  <si>
    <t>Sasaran/Indikator Kinerja</t>
  </si>
  <si>
    <t>Target</t>
  </si>
  <si>
    <t>S 1</t>
  </si>
  <si>
    <t>Meningkatnya kualitas layanan LLDikti Wilayah III</t>
  </si>
  <si>
    <t>IK 1.1</t>
  </si>
  <si>
    <t>Persentase layanan LLDikti yang tepat waktu</t>
  </si>
  <si>
    <t>IK 2.1</t>
  </si>
  <si>
    <t>Persentase PTS yang terakreditasi atau meningkatkan mutu dengan cara penggabungan PTS lain</t>
  </si>
  <si>
    <t>S 2</t>
  </si>
  <si>
    <t>Persentase PTS yang menyelenggarakan kegiatan pembelajaran di luar program studi.</t>
  </si>
  <si>
    <t>IK 2.2</t>
  </si>
  <si>
    <t>Persentase mahasiswa S1 atau D4/D3/D2/Dl PTS yang: menjalankan kegiatan pembelajaran di luar program studi; atau meraih prestasi.</t>
  </si>
  <si>
    <t>IK 2.3</t>
  </si>
  <si>
    <t>Persentase PTS yang mengimplementasi kebijakan anti kekerasan, anti narkoba, dan anti korupsi.</t>
  </si>
  <si>
    <t>S 3</t>
  </si>
  <si>
    <t>IK 3.1</t>
  </si>
  <si>
    <t>Persentase PTS yang berhasil meningkatkan kinerja dengan meningkatkan jumlah dosen yang berkegiatan di luar kampus</t>
  </si>
  <si>
    <t>IK 3.2</t>
  </si>
  <si>
    <t>Persentase PTS yang berhasil meningkatkan kinerja dengan meningkatkan jumlah program studi yang bekerja sama dengan mitra.</t>
  </si>
  <si>
    <t>S 4</t>
  </si>
  <si>
    <t>Meningkatnya tata Kelola LLDikti Wilayah III</t>
  </si>
  <si>
    <t>IK 4.1</t>
  </si>
  <si>
    <t>Predikat SAKIP</t>
  </si>
  <si>
    <t>predikat</t>
  </si>
  <si>
    <t>A</t>
  </si>
  <si>
    <t>IK 4.2</t>
  </si>
  <si>
    <t>Nilai Kinerja Anggaran atas Pelaksanaan RKA-K/L</t>
  </si>
  <si>
    <t>nilai</t>
  </si>
  <si>
    <t>IKU 2 - APT dan Merger</t>
  </si>
  <si>
    <t>Proyeksi Jumlah PTS (dari Kelembagaan)</t>
  </si>
  <si>
    <t>PT Non Pbm dan Usul Tutup *</t>
  </si>
  <si>
    <t>Basis Perhitungan Akre 4 = (2-3)</t>
  </si>
  <si>
    <t>PT Belum Terakre</t>
  </si>
  <si>
    <t>Estimasi PT Terakre *</t>
  </si>
  <si>
    <t>% PT Terakre</t>
  </si>
  <si>
    <t>87.26%</t>
  </si>
  <si>
    <t>92.62%</t>
  </si>
  <si>
    <t>93.72%</t>
  </si>
  <si>
    <t>94.02%</t>
  </si>
  <si>
    <t>94.32%</t>
  </si>
  <si>
    <t>94.64%</t>
  </si>
  <si>
    <t>Asumsi</t>
  </si>
  <si>
    <t>Setiap Tahun ada 1 PT PBm dan Usul Tutup yang terbit pencabutan izin operasionalnya</t>
  </si>
  <si>
    <t>Setiap Tahun ada 2 PT Belum Terakre yang terbit akre nya</t>
  </si>
  <si>
    <t>Merger Sudah diperhitungkan kelembagaan di tabel 2 jadi gak perlu di hitung lagi</t>
  </si>
  <si>
    <t>Uraian</t>
  </si>
  <si>
    <t>SAKIP</t>
  </si>
  <si>
    <t>ZI (r 2,5%)</t>
  </si>
  <si>
    <t>IKU 4 - Fasilitasi Mutu Pembelajaran dan SPMI</t>
  </si>
  <si>
    <t>PT Non Pbm dan Usul Tutup</t>
  </si>
  <si>
    <t>PT di undang fasilitasi (4 = (2-3))</t>
  </si>
  <si>
    <t>% Target Fasilitasi (4/2 x 100%)</t>
  </si>
  <si>
    <t>92.89%</t>
  </si>
  <si>
    <t>93.16%</t>
  </si>
  <si>
    <t>93.45%</t>
  </si>
  <si>
    <t>93.75%</t>
  </si>
  <si>
    <t>PT yang belum terakre juga tetap mendapat fasilitasi sama seperti yang terakre</t>
  </si>
  <si>
    <t>PT yang mendapat fasilitasi mutu pembelajaran jumlahnya lebih sedikit sehingga otomatis terhitung pada perhitungan fasilitasi SPMI</t>
  </si>
  <si>
    <t>Jumlah PT (Proyeksi)</t>
  </si>
  <si>
    <t>PT terfasilitasi (n)</t>
  </si>
  <si>
    <t>Jumlah Publikasi (t)</t>
  </si>
  <si>
    <t>PT Terfasilitasi
(- usul tutup)</t>
  </si>
  <si>
    <t>Catatan</t>
  </si>
  <si>
    <t>Persentase indikator melonjak tajam dari 0,55% (2025) ke 0,93% (2026). Hal ini terjadi karena jangkauan fasilitasi secara drastis berbeda dari 141 PT menjadi seluruh PT yang ada di 239 PT. ini menunjukkan komitmen pemerataan layanan yang sangat kuat</t>
  </si>
  <si>
    <t>Angka persentase menurun karena dampak dari penyusutan jumlah PT dan kenaikan target publikasi</t>
  </si>
  <si>
    <t>Fokus kepada pemerataan dalam fasilitasi karena hanya menaikan jumlah proyeksi sebanyak 50 publikasi saja pertahun. Target ini sejalan dengan 86 PT yang sebelumnya belum memiliki publikasi agar bisa mulai berkontribusi secara perlahan</t>
  </si>
  <si>
    <t xml:space="preserve"> </t>
  </si>
  <si>
    <t>Jumlah Sasaran PT</t>
  </si>
  <si>
    <t xml:space="preserve">Jumlah PT </t>
  </si>
  <si>
    <t xml:space="preserve">% Target Fasilitasi </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</si>
</sst>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theme="1"/>
      <name val="Times New Roman"/>
    </font>
    <font>
      <color theme="1"/>
      <name val="Arial"/>
      <scheme val="minor"/>
    </font>
    <font>
      <sz val="12.0"/>
      <color theme="1"/>
      <name val="Times New Roman"/>
    </font>
    <font/>
    <font>
      <i/>
      <sz val="12.0"/>
      <color theme="1"/>
      <name val="Cambria Math"/>
    </font>
    <font>
      <b/>
      <color rgb="FFFF0000"/>
      <name val="Arial"/>
      <scheme val="minor"/>
    </font>
    <font>
      <b/>
      <color rgb="FFFFFFFF"/>
      <name val="&quot;Times New Roman&quot;"/>
    </font>
    <font>
      <color rgb="FF000000"/>
      <name val="&quot;Times New Roman&quot;"/>
    </font>
    <font>
      <color theme="1"/>
      <name val="&quot;Times New Roman&quot;"/>
    </font>
    <font>
      <b/>
      <sz val="11.0"/>
      <color rgb="FF000000"/>
      <name val="Calibri"/>
    </font>
    <font>
      <sz val="11.0"/>
      <color rgb="FF000000"/>
      <name val="Calibri"/>
    </font>
    <font>
      <b/>
      <color rgb="FF000000"/>
      <name val="Calibri"/>
    </font>
    <font>
      <color rgb="FF000000"/>
      <name val="Calibri"/>
    </font>
    <font>
      <i/>
      <color theme="1"/>
      <name val="Arial"/>
      <scheme val="minor"/>
    </font>
    <font>
      <b/>
      <color theme="1"/>
      <name val="Arial"/>
      <scheme val="minor"/>
    </font>
    <font>
      <color rgb="FFFF0000"/>
      <name val="Arial"/>
      <scheme val="minor"/>
    </font>
    <font>
      <sz val="11.0"/>
      <color theme="1"/>
      <name val="Times New Roman"/>
    </font>
  </fonts>
  <fills count="10">
    <fill>
      <patternFill patternType="none"/>
    </fill>
    <fill>
      <patternFill patternType="lightGray"/>
    </fill>
    <fill>
      <patternFill patternType="solid">
        <fgColor rgb="FFB8CCE4"/>
        <bgColor rgb="FFB8CCE4"/>
      </patternFill>
    </fill>
    <fill>
      <patternFill patternType="solid">
        <fgColor rgb="FF1F3864"/>
        <bgColor rgb="FF1F3864"/>
      </patternFill>
    </fill>
    <fill>
      <patternFill patternType="solid">
        <fgColor rgb="FFDBDBDB"/>
        <bgColor rgb="FFDBDBDB"/>
      </patternFill>
    </fill>
    <fill>
      <patternFill patternType="solid">
        <fgColor rgb="FFFCE4D6"/>
        <bgColor rgb="FFFCE4D6"/>
      </patternFill>
    </fill>
    <fill>
      <patternFill patternType="solid">
        <fgColor rgb="FFE2EFDA"/>
        <bgColor rgb="FFE2EFDA"/>
      </patternFill>
    </fill>
    <fill>
      <patternFill patternType="solid">
        <fgColor rgb="FFFFF2CC"/>
        <bgColor rgb="FFFFF2CC"/>
      </patternFill>
    </fill>
    <fill>
      <patternFill patternType="solid">
        <fgColor theme="0"/>
        <bgColor theme="0"/>
      </patternFill>
    </fill>
    <fill>
      <patternFill patternType="solid">
        <fgColor rgb="FFFFFFFF"/>
        <bgColor rgb="FFFFFFFF"/>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1F3864"/>
      </left>
      <right style="thin">
        <color rgb="FF1F3864"/>
      </right>
      <top style="thin">
        <color rgb="FF1F3864"/>
      </top>
      <bottom style="thin">
        <color rgb="FF1F3864"/>
      </bottom>
    </border>
    <border>
      <right style="thin">
        <color rgb="FF000000"/>
      </right>
      <top style="thin">
        <color rgb="FF000000"/>
      </top>
      <bottom style="thin">
        <color rgb="FF000000"/>
      </bottom>
    </border>
    <border>
      <left style="thin">
        <color rgb="FF1F3864"/>
      </left>
      <top style="thin">
        <color rgb="FF1F3864"/>
      </top>
    </border>
    <border>
      <top style="thin">
        <color rgb="FF1F3864"/>
      </top>
    </border>
    <border>
      <right style="thin">
        <color rgb="FF1F3864"/>
      </right>
      <top style="thin">
        <color rgb="FF1F3864"/>
      </top>
    </border>
    <border>
      <left style="thin">
        <color rgb="FF1F3864"/>
      </left>
    </border>
    <border>
      <right style="thin">
        <color rgb="FF1F3864"/>
      </right>
    </border>
    <border>
      <left style="thin">
        <color rgb="FF1F3864"/>
      </left>
      <bottom style="thin">
        <color rgb="FF1F3864"/>
      </bottom>
    </border>
    <border>
      <bottom style="thin">
        <color rgb="FF1F3864"/>
      </bottom>
    </border>
    <border>
      <right style="thin">
        <color rgb="FF1F3864"/>
      </right>
      <bottom style="thin">
        <color rgb="FF1F3864"/>
      </bottom>
    </border>
    <border>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2" fillId="0" fontId="3" numFmtId="0" xfId="0" applyAlignment="1" applyBorder="1" applyFont="1">
      <alignment horizontal="center" shrinkToFit="0" vertical="center" wrapText="1"/>
    </xf>
    <xf borderId="2"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center" readingOrder="0" shrinkToFit="0" vertical="center" wrapText="1"/>
    </xf>
    <xf borderId="3" fillId="0" fontId="4" numFmtId="0" xfId="0" applyBorder="1" applyFont="1"/>
    <xf borderId="1" fillId="0" fontId="3" numFmtId="2" xfId="0" applyAlignment="1" applyBorder="1" applyFont="1" applyNumberFormat="1">
      <alignment horizontal="center" readingOrder="0" vertical="center"/>
    </xf>
    <xf borderId="4" fillId="0" fontId="4" numFmtId="0" xfId="0" applyBorder="1" applyFont="1"/>
    <xf borderId="1" fillId="0" fontId="3" numFmtId="2" xfId="0" applyAlignment="1" applyBorder="1" applyFont="1" applyNumberFormat="1">
      <alignment horizontal="center" shrinkToFit="0" vertical="center" wrapText="1"/>
    </xf>
    <xf borderId="1" fillId="0" fontId="3" numFmtId="0" xfId="0" applyAlignment="1" applyBorder="1" applyFont="1">
      <alignment horizontal="center" readingOrder="0" vertical="center"/>
    </xf>
    <xf borderId="1" fillId="0" fontId="3" numFmtId="10" xfId="0" applyAlignment="1" applyBorder="1" applyFont="1" applyNumberFormat="1">
      <alignment horizontal="center" vertical="center"/>
    </xf>
    <xf borderId="1" fillId="0" fontId="1" numFmtId="0" xfId="0" applyAlignment="1" applyBorder="1" applyFont="1">
      <alignment horizontal="center" vertical="bottom"/>
    </xf>
    <xf borderId="1" fillId="0" fontId="3" numFmtId="0" xfId="0" applyAlignment="1" applyBorder="1" applyFont="1">
      <alignment horizontal="center" vertical="bottom"/>
    </xf>
    <xf borderId="1" fillId="2" fontId="1" numFmtId="0" xfId="0" applyAlignment="1" applyBorder="1" applyFont="1">
      <alignment horizontal="center" readingOrder="0" shrinkToFit="0" vertical="center" wrapText="1"/>
    </xf>
    <xf borderId="2" fillId="2" fontId="1" numFmtId="0" xfId="0" applyAlignment="1" applyBorder="1" applyFont="1">
      <alignment horizontal="center" shrinkToFit="0" vertical="center" wrapText="1"/>
    </xf>
    <xf quotePrefix="1" borderId="0" fillId="0" fontId="3" numFmtId="0" xfId="0" applyAlignment="1" applyFont="1">
      <alignment readingOrder="0" shrinkToFit="0" vertical="center" wrapText="1"/>
    </xf>
    <xf borderId="5" fillId="0" fontId="3" numFmtId="0" xfId="0" applyAlignment="1" applyBorder="1" applyFont="1">
      <alignment readingOrder="0"/>
    </xf>
    <xf borderId="6"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top" wrapText="1"/>
    </xf>
    <xf quotePrefix="1" borderId="1" fillId="0" fontId="3" numFmtId="0" xfId="0" applyAlignment="1" applyBorder="1" applyFont="1">
      <alignment readingOrder="0" shrinkToFit="0" vertical="center" wrapText="1"/>
    </xf>
    <xf borderId="4" fillId="0" fontId="3" numFmtId="0" xfId="0" applyAlignment="1" applyBorder="1" applyFont="1">
      <alignment horizontal="left" readingOrder="0" shrinkToFit="0" vertical="top" wrapText="1"/>
    </xf>
    <xf borderId="1" fillId="0" fontId="3" numFmtId="0" xfId="0" applyAlignment="1" applyBorder="1" applyFont="1">
      <alignment readingOrder="0" shrinkToFit="0" vertical="bottom" wrapText="1"/>
    </xf>
    <xf borderId="1" fillId="0" fontId="3" numFmtId="0" xfId="0" applyAlignment="1" applyBorder="1" applyFont="1">
      <alignment readingOrder="0" shrinkToFit="0" textRotation="0" vertical="center" wrapText="1"/>
    </xf>
    <xf quotePrefix="1" borderId="1" fillId="0" fontId="3" numFmtId="0" xfId="0" applyAlignment="1" applyBorder="1" applyFont="1">
      <alignment readingOrder="0" shrinkToFit="0" textRotation="0" vertical="center" wrapText="1"/>
    </xf>
    <xf borderId="1" fillId="0" fontId="5" numFmtId="0" xfId="0" applyAlignment="1" applyBorder="1" applyFont="1">
      <alignment horizontal="left" readingOrder="0" shrinkToFit="0" vertical="center" wrapText="1"/>
    </xf>
    <xf borderId="0" fillId="0" fontId="6" numFmtId="0" xfId="0" applyAlignment="1" applyFont="1">
      <alignment readingOrder="0" shrinkToFit="0" wrapText="1"/>
    </xf>
    <xf borderId="7" fillId="3" fontId="7" numFmtId="0" xfId="0" applyAlignment="1" applyBorder="1" applyFill="1" applyFont="1">
      <alignment horizontal="center" readingOrder="0" vertical="center"/>
    </xf>
    <xf borderId="8" fillId="0" fontId="4" numFmtId="0" xfId="0" applyBorder="1" applyFont="1"/>
    <xf borderId="8" fillId="3" fontId="7" numFmtId="0" xfId="0" applyAlignment="1" applyBorder="1" applyFont="1">
      <alignment horizontal="center" readingOrder="0" vertical="center"/>
    </xf>
    <xf borderId="9" fillId="0" fontId="4" numFmtId="0" xfId="0" applyBorder="1" applyFont="1"/>
    <xf borderId="10" fillId="0" fontId="4" numFmtId="0" xfId="0" applyBorder="1" applyFont="1"/>
    <xf borderId="0" fillId="3" fontId="7" numFmtId="0" xfId="0" applyAlignment="1" applyFont="1">
      <alignment horizontal="center" readingOrder="0" vertical="center"/>
    </xf>
    <xf borderId="11" fillId="3" fontId="7" numFmtId="0" xfId="0" applyAlignment="1" applyBorder="1" applyFont="1">
      <alignment horizontal="center" readingOrder="0" vertical="center"/>
    </xf>
    <xf borderId="10" fillId="4" fontId="8" numFmtId="0" xfId="0" applyAlignment="1" applyBorder="1" applyFill="1" applyFont="1">
      <alignment horizontal="center" readingOrder="0"/>
    </xf>
    <xf borderId="0" fillId="4" fontId="8" numFmtId="0" xfId="0" applyAlignment="1" applyFont="1">
      <alignment readingOrder="0"/>
    </xf>
    <xf borderId="11" fillId="0" fontId="4" numFmtId="0" xfId="0" applyBorder="1" applyFont="1"/>
    <xf borderId="10" fillId="0" fontId="9" numFmtId="0" xfId="0" applyAlignment="1" applyBorder="1" applyFont="1">
      <alignment horizontal="center" readingOrder="0"/>
    </xf>
    <xf borderId="0" fillId="0" fontId="9" numFmtId="0" xfId="0" applyAlignment="1" applyFont="1">
      <alignment readingOrder="0"/>
    </xf>
    <xf borderId="0" fillId="0" fontId="9" numFmtId="0" xfId="0" applyAlignment="1" applyFont="1">
      <alignment horizontal="center" readingOrder="0"/>
    </xf>
    <xf borderId="11" fillId="0" fontId="9" numFmtId="0" xfId="0" applyAlignment="1" applyBorder="1" applyFont="1">
      <alignment horizontal="center" readingOrder="0"/>
    </xf>
    <xf borderId="12" fillId="0" fontId="9" numFmtId="0" xfId="0" applyAlignment="1" applyBorder="1" applyFont="1">
      <alignment horizontal="center" readingOrder="0"/>
    </xf>
    <xf borderId="13" fillId="0" fontId="9" numFmtId="0" xfId="0" applyAlignment="1" applyBorder="1" applyFont="1">
      <alignment readingOrder="0"/>
    </xf>
    <xf borderId="13" fillId="0" fontId="9" numFmtId="0" xfId="0" applyAlignment="1" applyBorder="1" applyFont="1">
      <alignment horizontal="center" readingOrder="0"/>
    </xf>
    <xf borderId="14" fillId="0" fontId="9" numFmtId="0" xfId="0" applyAlignment="1" applyBorder="1" applyFont="1">
      <alignment horizontal="center" readingOrder="0"/>
    </xf>
    <xf borderId="0" fillId="0" fontId="10" numFmtId="0" xfId="0" applyAlignment="1" applyFont="1">
      <alignment readingOrder="0" shrinkToFit="0" vertical="bottom" wrapText="0"/>
    </xf>
    <xf borderId="0" fillId="0" fontId="11" numFmtId="0" xfId="0" applyAlignment="1" applyFont="1">
      <alignment shrinkToFit="0" vertical="bottom" wrapText="0"/>
    </xf>
    <xf borderId="1" fillId="0" fontId="12" numFmtId="0" xfId="0" applyAlignment="1" applyBorder="1" applyFont="1">
      <alignment horizontal="center" readingOrder="0" shrinkToFit="0" vertical="center" wrapText="1"/>
    </xf>
    <xf borderId="1" fillId="5" fontId="12" numFmtId="0" xfId="0" applyAlignment="1" applyBorder="1" applyFill="1" applyFont="1">
      <alignment horizontal="center" readingOrder="0" shrinkToFit="0" vertical="center" wrapText="1"/>
    </xf>
    <xf borderId="1" fillId="6" fontId="12" numFmtId="0" xfId="0" applyAlignment="1" applyBorder="1" applyFill="1" applyFont="1">
      <alignment horizontal="center" readingOrder="0" shrinkToFit="0" vertical="center" wrapText="1"/>
    </xf>
    <xf borderId="1" fillId="0" fontId="13" numFmtId="0" xfId="0" applyAlignment="1" applyBorder="1" applyFont="1">
      <alignment horizontal="center" readingOrder="0" vertical="top"/>
    </xf>
    <xf borderId="1" fillId="5" fontId="13" numFmtId="0" xfId="0" applyAlignment="1" applyBorder="1" applyFont="1">
      <alignment horizontal="center" readingOrder="0" vertical="top"/>
    </xf>
    <xf borderId="1" fillId="6" fontId="13" numFmtId="0" xfId="0" applyAlignment="1" applyBorder="1" applyFont="1">
      <alignment horizontal="center" readingOrder="0" vertical="top"/>
    </xf>
    <xf borderId="1" fillId="0" fontId="11" numFmtId="0" xfId="0" applyAlignment="1" applyBorder="1" applyFont="1">
      <alignment horizontal="center" readingOrder="0" vertical="top"/>
    </xf>
    <xf borderId="1" fillId="0" fontId="13" numFmtId="0" xfId="0" applyAlignment="1" applyBorder="1" applyFont="1">
      <alignment horizontal="center" vertical="top"/>
    </xf>
    <xf borderId="1" fillId="5" fontId="13" numFmtId="0" xfId="0" applyAlignment="1" applyBorder="1" applyFont="1">
      <alignment horizontal="center" vertical="top"/>
    </xf>
    <xf borderId="1" fillId="6" fontId="13" numFmtId="0" xfId="0" applyAlignment="1" applyBorder="1" applyFont="1">
      <alignment horizontal="center" vertical="top"/>
    </xf>
    <xf borderId="1" fillId="6" fontId="12" numFmtId="0" xfId="0" applyAlignment="1" applyBorder="1" applyFont="1">
      <alignment horizontal="center" readingOrder="0" vertical="top"/>
    </xf>
    <xf borderId="1" fillId="5" fontId="11" numFmtId="0" xfId="0" applyAlignment="1" applyBorder="1" applyFont="1">
      <alignment horizontal="center" readingOrder="0" vertical="top"/>
    </xf>
    <xf borderId="1" fillId="6" fontId="11" numFmtId="0" xfId="0" applyAlignment="1" applyBorder="1" applyFont="1">
      <alignment horizontal="center" readingOrder="0" vertical="top"/>
    </xf>
    <xf borderId="1" fillId="6" fontId="10" numFmtId="0" xfId="0" applyAlignment="1" applyBorder="1" applyFont="1">
      <alignment horizontal="right" readingOrder="0" shrinkToFit="0" vertical="bottom" wrapText="0"/>
    </xf>
    <xf borderId="4" fillId="0" fontId="11" numFmtId="0" xfId="0" applyAlignment="1" applyBorder="1" applyFont="1">
      <alignment horizontal="center" readingOrder="0" vertical="top"/>
    </xf>
    <xf borderId="15" fillId="0" fontId="11" numFmtId="0" xfId="0" applyAlignment="1" applyBorder="1" applyFont="1">
      <alignment horizontal="center" readingOrder="0" vertical="top"/>
    </xf>
    <xf borderId="15" fillId="5" fontId="11" numFmtId="0" xfId="0" applyAlignment="1" applyBorder="1" applyFont="1">
      <alignment horizontal="center" readingOrder="0" vertical="top"/>
    </xf>
    <xf borderId="15" fillId="6" fontId="11" numFmtId="0" xfId="0" applyAlignment="1" applyBorder="1" applyFont="1">
      <alignment horizontal="center" readingOrder="0" vertical="top"/>
    </xf>
    <xf borderId="15" fillId="6" fontId="10" numFmtId="0" xfId="0" applyAlignment="1" applyBorder="1" applyFont="1">
      <alignment horizontal="right" readingOrder="0" shrinkToFit="0" vertical="bottom" wrapText="0"/>
    </xf>
    <xf borderId="0" fillId="0" fontId="11" numFmtId="0" xfId="0" applyAlignment="1" applyFont="1">
      <alignment horizontal="center" vertical="top"/>
    </xf>
    <xf borderId="0" fillId="0" fontId="11" numFmtId="0" xfId="0" applyAlignment="1" applyFont="1">
      <alignment horizontal="left" readingOrder="0" vertical="top"/>
    </xf>
    <xf borderId="0" fillId="0" fontId="2" numFmtId="0" xfId="0" applyAlignment="1" applyFont="1">
      <alignment readingOrder="0"/>
    </xf>
    <xf borderId="0" fillId="0" fontId="2" numFmtId="2" xfId="0" applyFont="1" applyNumberFormat="1"/>
    <xf borderId="0" fillId="0" fontId="10" numFmtId="0" xfId="0" applyAlignment="1" applyFont="1">
      <alignment readingOrder="0" vertical="top"/>
    </xf>
    <xf borderId="0" fillId="0" fontId="11" numFmtId="0" xfId="0" applyAlignment="1" applyFont="1">
      <alignment vertical="top"/>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10" xfId="0" applyFont="1" applyNumberFormat="1"/>
    <xf borderId="0" fillId="0" fontId="2" numFmtId="0" xfId="0" applyAlignment="1" applyFont="1">
      <alignment horizontal="center" readingOrder="0" shrinkToFit="0" wrapText="1"/>
    </xf>
    <xf borderId="0" fillId="0" fontId="14" numFmtId="3" xfId="0" applyAlignment="1" applyFont="1" applyNumberFormat="1">
      <alignment readingOrder="0"/>
    </xf>
    <xf borderId="0" fillId="0" fontId="15" numFmtId="10" xfId="0" applyFont="1" applyNumberFormat="1"/>
    <xf borderId="0" fillId="0" fontId="2" numFmtId="9" xfId="0" applyFont="1" applyNumberFormat="1"/>
    <xf borderId="0" fillId="0" fontId="2" numFmtId="3" xfId="0" applyAlignment="1" applyFont="1" applyNumberFormat="1">
      <alignment readingOrder="0"/>
    </xf>
    <xf borderId="0" fillId="7" fontId="2" numFmtId="0" xfId="0" applyAlignment="1" applyFill="1" applyFont="1">
      <alignment readingOrder="0"/>
    </xf>
    <xf borderId="0" fillId="7" fontId="2" numFmtId="3" xfId="0" applyFont="1" applyNumberFormat="1"/>
    <xf borderId="0" fillId="7" fontId="15" numFmtId="10" xfId="0" applyFont="1" applyNumberFormat="1"/>
    <xf borderId="0" fillId="0" fontId="2" numFmtId="0" xfId="0" applyFont="1"/>
    <xf borderId="0" fillId="0" fontId="16" numFmtId="0" xfId="0" applyAlignment="1" applyFont="1">
      <alignment readingOrder="0"/>
    </xf>
    <xf borderId="0" fillId="0" fontId="17" numFmtId="0" xfId="0" applyAlignment="1" applyFont="1">
      <alignment shrinkToFit="0" vertical="bottom" wrapText="1"/>
    </xf>
    <xf borderId="0" fillId="0" fontId="17" numFmtId="0" xfId="0" applyAlignment="1" applyFont="1">
      <alignment readingOrder="0" shrinkToFit="0" wrapText="1"/>
    </xf>
    <xf borderId="0" fillId="0" fontId="17" numFmtId="0" xfId="0" applyAlignment="1" applyFont="1">
      <alignment shrinkToFit="0" wrapText="1"/>
    </xf>
    <xf borderId="2" fillId="0" fontId="12" numFmtId="0" xfId="0" applyAlignment="1" applyBorder="1" applyFont="1">
      <alignment horizontal="center" readingOrder="0" shrinkToFit="0" vertical="center" wrapText="1"/>
    </xf>
    <xf borderId="2" fillId="8" fontId="12" numFmtId="0" xfId="0" applyAlignment="1" applyBorder="1" applyFill="1" applyFont="1">
      <alignment horizontal="center" readingOrder="0" shrinkToFit="0" vertical="center" wrapText="1"/>
    </xf>
    <xf borderId="1" fillId="0" fontId="11" numFmtId="0" xfId="0" applyAlignment="1" applyBorder="1" applyFont="1">
      <alignment horizontal="center" readingOrder="0" vertical="bottom"/>
    </xf>
    <xf borderId="1" fillId="0" fontId="11" numFmtId="0" xfId="0" applyAlignment="1" applyBorder="1" applyFont="1">
      <alignment horizontal="center" readingOrder="0" shrinkToFit="0" vertical="bottom" wrapText="0"/>
    </xf>
    <xf borderId="1" fillId="9" fontId="11" numFmtId="0" xfId="0" applyAlignment="1" applyBorder="1" applyFill="1" applyFont="1">
      <alignment horizontal="center" readingOrder="0" vertical="top"/>
    </xf>
    <xf borderId="1" fillId="9" fontId="11" numFmtId="10" xfId="0" applyAlignment="1" applyBorder="1" applyFont="1" applyNumberFormat="1">
      <alignment horizontal="center" readingOrder="0" vertical="bottom"/>
    </xf>
    <xf borderId="1" fillId="8" fontId="11" numFmtId="0" xfId="0" applyAlignment="1" applyBorder="1" applyFont="1">
      <alignment horizontal="center" readingOrder="0" vertical="bottom"/>
    </xf>
  </cellXfs>
  <cellStyles count="1">
    <cellStyle xfId="0" name="Normal" builtinId="0"/>
  </cellStyles>
  <dxfs count="4">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47625</xdr:colOff>
      <xdr:row>1</xdr:row>
      <xdr:rowOff>85725</xdr:rowOff>
    </xdr:from>
    <xdr:ext cx="676275" cy="419100"/>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104775</xdr:colOff>
      <xdr:row>1</xdr:row>
      <xdr:rowOff>952500</xdr:rowOff>
    </xdr:from>
    <xdr:ext cx="771525" cy="419100"/>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104775</xdr:colOff>
      <xdr:row>3</xdr:row>
      <xdr:rowOff>581025</xdr:rowOff>
    </xdr:from>
    <xdr:ext cx="1476375" cy="542925"/>
    <xdr:pic>
      <xdr:nvPicPr>
        <xdr:cNvPr id="0" name="image1.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47625</xdr:colOff>
      <xdr:row>3</xdr:row>
      <xdr:rowOff>1628775</xdr:rowOff>
    </xdr:from>
    <xdr:ext cx="1228725" cy="447675"/>
    <xdr:pic>
      <xdr:nvPicPr>
        <xdr:cNvPr id="0" name="image6.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47625</xdr:colOff>
      <xdr:row>6</xdr:row>
      <xdr:rowOff>38100</xdr:rowOff>
    </xdr:from>
    <xdr:ext cx="676275" cy="419100"/>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104775</xdr:colOff>
      <xdr:row>5</xdr:row>
      <xdr:rowOff>66675</xdr:rowOff>
    </xdr:from>
    <xdr:ext cx="638175" cy="54292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9525</xdr:colOff>
      <xdr:row>3</xdr:row>
      <xdr:rowOff>2809875</xdr:rowOff>
    </xdr:from>
    <xdr:ext cx="771525" cy="44767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57150</xdr:colOff>
      <xdr:row>8</xdr:row>
      <xdr:rowOff>38100</xdr:rowOff>
    </xdr:from>
    <xdr:ext cx="676275" cy="419100"/>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57150</xdr:colOff>
      <xdr:row>3</xdr:row>
      <xdr:rowOff>257175</xdr:rowOff>
    </xdr:from>
    <xdr:ext cx="4105275" cy="866775"/>
    <xdr:pic>
      <xdr:nvPicPr>
        <xdr:cNvPr id="0" name="image5.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57150</xdr:colOff>
      <xdr:row>2</xdr:row>
      <xdr:rowOff>228600</xdr:rowOff>
    </xdr:from>
    <xdr:ext cx="4105275" cy="1552575"/>
    <xdr:pic>
      <xdr:nvPicPr>
        <xdr:cNvPr id="0" name="image4.png" title="Gamba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1:B16" displayName="Table_1" name="Table_1" id="1">
  <tableColumns count="2">
    <tableColumn name="Tahun" id="1"/>
    <tableColumn name="Proyeksi Jumlah PTS" id="2"/>
  </tableColumns>
  <tableStyleInfo name="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0"/>
    <col customWidth="1" min="2" max="2" width="23.25"/>
    <col customWidth="1" min="3" max="3" width="6.0"/>
    <col customWidth="1" min="4" max="4" width="58.13"/>
    <col customWidth="1" min="5" max="5" width="42.75"/>
    <col customWidth="1" min="6" max="6" width="7.0"/>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ht="28.5" customHeight="1">
      <c r="A2" s="3">
        <v>1.0</v>
      </c>
      <c r="B2" s="4" t="s">
        <v>11</v>
      </c>
      <c r="C2" s="5" t="s">
        <v>12</v>
      </c>
      <c r="D2" s="6" t="s">
        <v>13</v>
      </c>
      <c r="E2" s="7" t="s">
        <v>14</v>
      </c>
      <c r="F2" s="8" t="s">
        <v>15</v>
      </c>
      <c r="G2" s="8">
        <v>89.75</v>
      </c>
      <c r="H2" s="8">
        <v>89.86</v>
      </c>
      <c r="I2" s="8">
        <v>90.0</v>
      </c>
      <c r="J2" s="8">
        <v>90.18</v>
      </c>
      <c r="K2" s="8">
        <v>90.38</v>
      </c>
      <c r="L2" s="2"/>
      <c r="M2" s="2"/>
      <c r="N2" s="2"/>
      <c r="O2" s="2"/>
      <c r="P2" s="2"/>
      <c r="Q2" s="2"/>
      <c r="R2" s="2"/>
      <c r="S2" s="2"/>
      <c r="T2" s="2"/>
      <c r="U2" s="2"/>
      <c r="V2" s="2"/>
      <c r="W2" s="2"/>
      <c r="X2" s="2"/>
      <c r="Y2" s="2"/>
      <c r="Z2" s="2"/>
    </row>
    <row r="3">
      <c r="A3" s="9"/>
      <c r="B3" s="9"/>
      <c r="C3" s="5" t="s">
        <v>16</v>
      </c>
      <c r="D3" s="6" t="s">
        <v>17</v>
      </c>
      <c r="E3" s="6" t="s">
        <v>18</v>
      </c>
      <c r="F3" s="5" t="s">
        <v>15</v>
      </c>
      <c r="G3" s="10">
        <v>92.62</v>
      </c>
      <c r="H3" s="10">
        <v>93.72</v>
      </c>
      <c r="I3" s="10">
        <v>94.02</v>
      </c>
      <c r="J3" s="10">
        <v>94.32</v>
      </c>
      <c r="K3" s="10">
        <v>94.64</v>
      </c>
      <c r="L3" s="2"/>
      <c r="M3" s="2"/>
      <c r="N3" s="2"/>
      <c r="O3" s="2"/>
      <c r="P3" s="2"/>
      <c r="Q3" s="2"/>
      <c r="R3" s="2"/>
      <c r="S3" s="2"/>
      <c r="T3" s="2"/>
      <c r="U3" s="2"/>
      <c r="V3" s="2"/>
      <c r="W3" s="2"/>
      <c r="X3" s="2"/>
      <c r="Y3" s="2"/>
      <c r="Z3" s="2"/>
    </row>
    <row r="4">
      <c r="A4" s="11"/>
      <c r="B4" s="11"/>
      <c r="C4" s="5" t="s">
        <v>19</v>
      </c>
      <c r="D4" s="6" t="s">
        <v>20</v>
      </c>
      <c r="E4" s="6" t="s">
        <v>21</v>
      </c>
      <c r="F4" s="5" t="s">
        <v>22</v>
      </c>
      <c r="G4" s="12">
        <f>'IKU3'!B5</f>
        <v>80.25</v>
      </c>
      <c r="H4" s="12">
        <f>'IKU3'!C5</f>
        <v>81.265</v>
      </c>
      <c r="I4" s="12">
        <f>'IKU3'!D5</f>
        <v>82.35</v>
      </c>
      <c r="J4" s="12">
        <f>'IKU3'!E5</f>
        <v>83.435</v>
      </c>
      <c r="K4" s="12">
        <f>'IKU3'!F5</f>
        <v>84.875</v>
      </c>
      <c r="L4" s="2"/>
      <c r="M4" s="2"/>
      <c r="N4" s="2"/>
      <c r="O4" s="2"/>
      <c r="P4" s="2"/>
      <c r="Q4" s="2"/>
      <c r="R4" s="2"/>
      <c r="S4" s="2"/>
      <c r="T4" s="2"/>
      <c r="U4" s="2"/>
      <c r="V4" s="2"/>
      <c r="W4" s="2"/>
      <c r="X4" s="2"/>
      <c r="Y4" s="2"/>
      <c r="Z4" s="2"/>
    </row>
    <row r="5">
      <c r="A5" s="3">
        <v>2.0</v>
      </c>
      <c r="B5" s="4" t="s">
        <v>23</v>
      </c>
      <c r="C5" s="5" t="s">
        <v>24</v>
      </c>
      <c r="D5" s="6" t="s">
        <v>25</v>
      </c>
      <c r="E5" s="6" t="s">
        <v>26</v>
      </c>
      <c r="F5" s="5" t="s">
        <v>15</v>
      </c>
      <c r="G5" s="8">
        <v>92.62</v>
      </c>
      <c r="H5" s="8">
        <v>92.89</v>
      </c>
      <c r="I5" s="13">
        <v>93.16</v>
      </c>
      <c r="J5" s="13">
        <v>93.45</v>
      </c>
      <c r="K5" s="13">
        <v>93.75</v>
      </c>
      <c r="L5" s="2"/>
      <c r="M5" s="2"/>
      <c r="N5" s="2"/>
      <c r="O5" s="2"/>
      <c r="P5" s="2"/>
      <c r="Q5" s="2"/>
      <c r="R5" s="2"/>
      <c r="S5" s="2"/>
      <c r="T5" s="2"/>
      <c r="U5" s="2"/>
      <c r="V5" s="2"/>
      <c r="W5" s="2"/>
      <c r="X5" s="2"/>
      <c r="Y5" s="2"/>
      <c r="Z5" s="2"/>
    </row>
    <row r="6" ht="31.5" customHeight="1">
      <c r="A6" s="11"/>
      <c r="B6" s="11"/>
      <c r="C6" s="5" t="s">
        <v>27</v>
      </c>
      <c r="D6" s="6" t="s">
        <v>28</v>
      </c>
      <c r="E6" s="7" t="s">
        <v>29</v>
      </c>
      <c r="F6" s="5" t="s">
        <v>15</v>
      </c>
      <c r="G6" s="13">
        <v>71.88</v>
      </c>
      <c r="H6" s="13">
        <v>73.32</v>
      </c>
      <c r="I6" s="13">
        <v>74.79</v>
      </c>
      <c r="J6" s="13">
        <v>76.29</v>
      </c>
      <c r="K6" s="13">
        <v>77.82</v>
      </c>
      <c r="L6" s="2"/>
      <c r="M6" s="2"/>
      <c r="N6" s="2"/>
      <c r="O6" s="2"/>
      <c r="P6" s="2"/>
      <c r="Q6" s="2"/>
      <c r="R6" s="2"/>
      <c r="S6" s="2"/>
      <c r="T6" s="2"/>
      <c r="U6" s="2"/>
      <c r="V6" s="2"/>
      <c r="W6" s="2"/>
      <c r="X6" s="2"/>
      <c r="Y6" s="2"/>
      <c r="Z6" s="2"/>
    </row>
    <row r="7">
      <c r="A7" s="3">
        <v>3.0</v>
      </c>
      <c r="B7" s="4" t="s">
        <v>30</v>
      </c>
      <c r="C7" s="5" t="s">
        <v>31</v>
      </c>
      <c r="D7" s="6" t="s">
        <v>32</v>
      </c>
      <c r="E7" s="7" t="s">
        <v>33</v>
      </c>
      <c r="F7" s="5" t="s">
        <v>15</v>
      </c>
      <c r="G7" s="13">
        <v>67.25</v>
      </c>
      <c r="H7" s="13">
        <v>72.97</v>
      </c>
      <c r="I7" s="13">
        <v>78.89</v>
      </c>
      <c r="J7" s="13">
        <v>82.71</v>
      </c>
      <c r="K7" s="13">
        <v>86.66</v>
      </c>
      <c r="L7" s="2"/>
      <c r="M7" s="2"/>
      <c r="N7" s="2"/>
      <c r="O7" s="2"/>
      <c r="P7" s="2"/>
      <c r="Q7" s="2"/>
      <c r="R7" s="2"/>
      <c r="S7" s="2"/>
      <c r="T7" s="2"/>
      <c r="U7" s="2"/>
      <c r="V7" s="2"/>
      <c r="W7" s="2"/>
      <c r="X7" s="2"/>
      <c r="Y7" s="2"/>
      <c r="Z7" s="2"/>
    </row>
    <row r="8" ht="32.25" customHeight="1">
      <c r="A8" s="9"/>
      <c r="B8" s="9"/>
      <c r="C8" s="5" t="s">
        <v>34</v>
      </c>
      <c r="D8" s="7" t="s">
        <v>35</v>
      </c>
      <c r="E8" s="7" t="s">
        <v>36</v>
      </c>
      <c r="F8" s="5" t="s">
        <v>37</v>
      </c>
      <c r="G8" s="13">
        <v>1657.0</v>
      </c>
      <c r="H8" s="13">
        <v>1692.0</v>
      </c>
      <c r="I8" s="13">
        <v>1726.0</v>
      </c>
      <c r="J8" s="13">
        <v>1761.0</v>
      </c>
      <c r="K8" s="13">
        <v>1796.0</v>
      </c>
      <c r="L8" s="2"/>
      <c r="M8" s="2"/>
      <c r="N8" s="2"/>
      <c r="O8" s="2"/>
      <c r="P8" s="2"/>
      <c r="Q8" s="2"/>
      <c r="R8" s="2"/>
      <c r="S8" s="2"/>
      <c r="T8" s="2"/>
      <c r="U8" s="2"/>
      <c r="V8" s="2"/>
      <c r="W8" s="2"/>
      <c r="X8" s="2"/>
      <c r="Y8" s="2"/>
      <c r="Z8" s="2"/>
    </row>
    <row r="9">
      <c r="A9" s="11"/>
      <c r="B9" s="11"/>
      <c r="C9" s="5" t="s">
        <v>38</v>
      </c>
      <c r="D9" s="6" t="s">
        <v>39</v>
      </c>
      <c r="E9" s="6" t="s">
        <v>40</v>
      </c>
      <c r="F9" s="5" t="s">
        <v>15</v>
      </c>
      <c r="G9" s="14">
        <f>'IKU 8'!H4</f>
        <v>0.005501365587</v>
      </c>
      <c r="H9" s="14">
        <f>'IKU 8'!H5</f>
        <v>0.008644859813</v>
      </c>
      <c r="I9" s="14">
        <f>'IKU 8'!H6</f>
        <v>0.008472600078</v>
      </c>
      <c r="J9" s="14">
        <f>'IKU 8'!H7</f>
        <v>0.008301008534</v>
      </c>
      <c r="K9" s="14">
        <f>'IKU 8'!H8</f>
        <v>0.008130081301</v>
      </c>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15" t="s">
        <v>41</v>
      </c>
      <c r="B11" s="15" t="s">
        <v>42</v>
      </c>
      <c r="C11" s="2"/>
      <c r="D11" s="2"/>
      <c r="F11" s="2"/>
      <c r="G11" s="2"/>
      <c r="H11" s="2"/>
      <c r="I11" s="2"/>
      <c r="J11" s="2"/>
      <c r="K11" s="2"/>
      <c r="L11" s="2"/>
      <c r="M11" s="2"/>
      <c r="N11" s="2"/>
      <c r="O11" s="2"/>
      <c r="P11" s="2"/>
      <c r="Q11" s="2"/>
      <c r="R11" s="2"/>
      <c r="S11" s="2"/>
      <c r="T11" s="2"/>
      <c r="U11" s="2"/>
      <c r="V11" s="2"/>
      <c r="W11" s="2"/>
      <c r="X11" s="2"/>
      <c r="Y11" s="2"/>
      <c r="Z11" s="2"/>
    </row>
    <row r="12">
      <c r="A12" s="15">
        <v>2025.0</v>
      </c>
      <c r="B12" s="16">
        <v>244.0</v>
      </c>
      <c r="C12" s="2"/>
      <c r="D12" s="2"/>
      <c r="E12" s="2"/>
      <c r="F12" s="2"/>
      <c r="G12" s="2"/>
      <c r="H12" s="2"/>
      <c r="I12" s="2"/>
      <c r="J12" s="2"/>
      <c r="K12" s="2"/>
      <c r="L12" s="2"/>
      <c r="M12" s="2"/>
      <c r="N12" s="2"/>
      <c r="O12" s="2"/>
      <c r="P12" s="2"/>
      <c r="Q12" s="2"/>
      <c r="R12" s="2"/>
      <c r="S12" s="2"/>
      <c r="T12" s="2"/>
      <c r="U12" s="2"/>
      <c r="V12" s="2"/>
      <c r="W12" s="2"/>
      <c r="X12" s="2"/>
      <c r="Y12" s="2"/>
      <c r="Z12" s="2"/>
    </row>
    <row r="13">
      <c r="A13" s="15">
        <v>2026.0</v>
      </c>
      <c r="B13" s="16">
        <v>239.0</v>
      </c>
      <c r="C13" s="2"/>
      <c r="D13" s="2"/>
      <c r="E13" s="2"/>
      <c r="F13" s="2"/>
      <c r="G13" s="2"/>
      <c r="H13" s="2"/>
      <c r="I13" s="2"/>
      <c r="J13" s="2"/>
      <c r="K13" s="2"/>
      <c r="L13" s="2"/>
      <c r="M13" s="2"/>
      <c r="N13" s="2"/>
      <c r="O13" s="2"/>
      <c r="P13" s="2"/>
      <c r="Q13" s="2"/>
      <c r="R13" s="2"/>
      <c r="S13" s="2"/>
      <c r="T13" s="2"/>
      <c r="U13" s="2"/>
      <c r="V13" s="2"/>
      <c r="W13" s="2"/>
      <c r="X13" s="2"/>
      <c r="Y13" s="2"/>
      <c r="Z13" s="2"/>
    </row>
    <row r="14">
      <c r="A14" s="15">
        <v>2027.0</v>
      </c>
      <c r="B14" s="16">
        <v>234.0</v>
      </c>
      <c r="C14" s="2"/>
      <c r="D14" s="2"/>
      <c r="E14" s="2"/>
      <c r="F14" s="2"/>
      <c r="G14" s="2"/>
      <c r="H14" s="2"/>
      <c r="I14" s="2"/>
      <c r="J14" s="2"/>
      <c r="K14" s="2"/>
      <c r="L14" s="2"/>
      <c r="M14" s="2"/>
      <c r="N14" s="2"/>
      <c r="O14" s="2"/>
      <c r="P14" s="2"/>
      <c r="Q14" s="2"/>
      <c r="R14" s="2"/>
      <c r="S14" s="2"/>
      <c r="T14" s="2"/>
      <c r="U14" s="2"/>
      <c r="V14" s="2"/>
      <c r="W14" s="2"/>
      <c r="X14" s="2"/>
      <c r="Y14" s="2"/>
      <c r="Z14" s="2"/>
    </row>
    <row r="15">
      <c r="A15" s="15">
        <v>2028.0</v>
      </c>
      <c r="B15" s="16">
        <v>229.0</v>
      </c>
      <c r="C15" s="2"/>
      <c r="D15" s="2"/>
      <c r="E15" s="2"/>
      <c r="F15" s="2"/>
      <c r="G15" s="2"/>
      <c r="H15" s="2"/>
      <c r="I15" s="2"/>
      <c r="J15" s="2"/>
      <c r="K15" s="2"/>
      <c r="L15" s="2"/>
      <c r="M15" s="2"/>
      <c r="N15" s="2"/>
      <c r="O15" s="2"/>
      <c r="P15" s="2"/>
      <c r="Q15" s="2"/>
      <c r="R15" s="2"/>
      <c r="S15" s="2"/>
      <c r="T15" s="2"/>
      <c r="U15" s="2"/>
      <c r="V15" s="2"/>
      <c r="W15" s="2"/>
      <c r="X15" s="2"/>
      <c r="Y15" s="2"/>
      <c r="Z15" s="2"/>
    </row>
    <row r="16">
      <c r="A16" s="15">
        <v>2029.0</v>
      </c>
      <c r="B16" s="16">
        <v>224.0</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6">
    <mergeCell ref="A2:A4"/>
    <mergeCell ref="B2:B4"/>
    <mergeCell ref="A5:A6"/>
    <mergeCell ref="B5:B6"/>
    <mergeCell ref="A7:A9"/>
    <mergeCell ref="B7:B9"/>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3.5"/>
    <col customWidth="1" min="2" max="2" width="21.75"/>
    <col customWidth="1" min="4" max="4" width="26.25"/>
    <col customWidth="1" min="5" max="5" width="56.38"/>
    <col customWidth="1" min="6" max="6" width="120.63"/>
    <col customWidth="1" min="7" max="7" width="88.88"/>
    <col customWidth="1" min="8" max="8" width="119.0"/>
    <col customWidth="1" min="9" max="9" width="11.75"/>
  </cols>
  <sheetData>
    <row r="1">
      <c r="A1" s="17" t="s">
        <v>43</v>
      </c>
      <c r="B1" s="1" t="s">
        <v>1</v>
      </c>
      <c r="C1" s="1" t="s">
        <v>2</v>
      </c>
      <c r="D1" s="1" t="s">
        <v>3</v>
      </c>
      <c r="E1" s="1" t="s">
        <v>44</v>
      </c>
      <c r="F1" s="1" t="s">
        <v>45</v>
      </c>
      <c r="G1" s="17" t="s">
        <v>46</v>
      </c>
      <c r="H1" s="18" t="s">
        <v>47</v>
      </c>
      <c r="I1" s="1" t="s">
        <v>5</v>
      </c>
    </row>
    <row r="2">
      <c r="A2" s="3">
        <v>1.0</v>
      </c>
      <c r="B2" s="4" t="s">
        <v>11</v>
      </c>
      <c r="C2" s="5" t="s">
        <v>12</v>
      </c>
      <c r="D2" s="6" t="s">
        <v>13</v>
      </c>
      <c r="E2" s="6" t="s">
        <v>48</v>
      </c>
      <c r="F2" s="6" t="s">
        <v>49</v>
      </c>
      <c r="G2" s="19" t="s">
        <v>50</v>
      </c>
      <c r="H2" s="20" t="s">
        <v>51</v>
      </c>
      <c r="I2" s="21" t="s">
        <v>52</v>
      </c>
    </row>
    <row r="3" ht="146.25" customHeight="1">
      <c r="A3" s="9"/>
      <c r="B3" s="9"/>
      <c r="C3" s="5" t="s">
        <v>16</v>
      </c>
      <c r="D3" s="6" t="s">
        <v>17</v>
      </c>
      <c r="E3" s="6" t="s">
        <v>53</v>
      </c>
      <c r="F3" s="22" t="s">
        <v>54</v>
      </c>
      <c r="G3" s="23" t="s">
        <v>50</v>
      </c>
      <c r="H3" s="24" t="s">
        <v>55</v>
      </c>
      <c r="I3" s="8" t="s">
        <v>56</v>
      </c>
    </row>
    <row r="4" ht="221.25" customHeight="1">
      <c r="A4" s="11"/>
      <c r="B4" s="11"/>
      <c r="C4" s="5" t="s">
        <v>19</v>
      </c>
      <c r="D4" s="6" t="s">
        <v>20</v>
      </c>
      <c r="E4" s="6" t="s">
        <v>57</v>
      </c>
      <c r="F4" s="22" t="s">
        <v>58</v>
      </c>
      <c r="G4" s="22" t="s">
        <v>59</v>
      </c>
      <c r="H4" s="6" t="s">
        <v>60</v>
      </c>
      <c r="I4" s="8" t="s">
        <v>22</v>
      </c>
    </row>
    <row r="5" ht="108.0" customHeight="1">
      <c r="A5" s="3">
        <v>2.0</v>
      </c>
      <c r="B5" s="4" t="s">
        <v>23</v>
      </c>
      <c r="C5" s="5" t="s">
        <v>24</v>
      </c>
      <c r="D5" s="6" t="s">
        <v>25</v>
      </c>
      <c r="E5" s="6" t="s">
        <v>61</v>
      </c>
      <c r="F5" s="6" t="s">
        <v>62</v>
      </c>
      <c r="G5" s="6" t="s">
        <v>63</v>
      </c>
      <c r="H5" s="25" t="s">
        <v>64</v>
      </c>
      <c r="I5" s="8" t="s">
        <v>56</v>
      </c>
    </row>
    <row r="6">
      <c r="A6" s="11"/>
      <c r="B6" s="11"/>
      <c r="C6" s="5" t="s">
        <v>27</v>
      </c>
      <c r="D6" s="6" t="s">
        <v>28</v>
      </c>
      <c r="E6" s="6" t="s">
        <v>65</v>
      </c>
      <c r="F6" s="26" t="s">
        <v>66</v>
      </c>
      <c r="G6" s="27" t="s">
        <v>50</v>
      </c>
      <c r="H6" s="22" t="s">
        <v>67</v>
      </c>
      <c r="I6" s="8" t="s">
        <v>56</v>
      </c>
    </row>
    <row r="7">
      <c r="A7" s="3">
        <v>3.0</v>
      </c>
      <c r="B7" s="4" t="s">
        <v>30</v>
      </c>
      <c r="C7" s="5" t="s">
        <v>31</v>
      </c>
      <c r="D7" s="6" t="s">
        <v>32</v>
      </c>
      <c r="E7" s="6" t="s">
        <v>68</v>
      </c>
      <c r="F7" s="6" t="s">
        <v>69</v>
      </c>
      <c r="G7" s="6" t="s">
        <v>70</v>
      </c>
      <c r="H7" s="22" t="s">
        <v>71</v>
      </c>
      <c r="I7" s="8" t="s">
        <v>56</v>
      </c>
    </row>
    <row r="8">
      <c r="A8" s="9"/>
      <c r="B8" s="9"/>
      <c r="C8" s="5" t="s">
        <v>34</v>
      </c>
      <c r="D8" s="7" t="s">
        <v>35</v>
      </c>
      <c r="E8" s="6" t="s">
        <v>72</v>
      </c>
      <c r="F8" s="22" t="s">
        <v>73</v>
      </c>
      <c r="G8" s="22" t="s">
        <v>74</v>
      </c>
      <c r="H8" s="28" t="s">
        <v>75</v>
      </c>
      <c r="I8" s="8" t="s">
        <v>76</v>
      </c>
    </row>
    <row r="9" ht="222.75" customHeight="1">
      <c r="A9" s="11"/>
      <c r="B9" s="11"/>
      <c r="C9" s="5" t="s">
        <v>38</v>
      </c>
      <c r="D9" s="6" t="s">
        <v>39</v>
      </c>
      <c r="E9" s="6" t="s">
        <v>77</v>
      </c>
      <c r="F9" s="22" t="s">
        <v>78</v>
      </c>
      <c r="G9" s="22" t="s">
        <v>79</v>
      </c>
      <c r="H9" s="22" t="s">
        <v>80</v>
      </c>
      <c r="I9" s="8" t="s">
        <v>56</v>
      </c>
    </row>
  </sheetData>
  <mergeCells count="6">
    <mergeCell ref="A2:A4"/>
    <mergeCell ref="B2:B4"/>
    <mergeCell ref="A5:A6"/>
    <mergeCell ref="B5:B6"/>
    <mergeCell ref="A7:A9"/>
    <mergeCell ref="B7:B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91.5"/>
    <col customWidth="1" min="3" max="3" width="6.5"/>
    <col customWidth="1" min="4" max="8" width="7.75"/>
  </cols>
  <sheetData>
    <row r="1">
      <c r="A1" s="29" t="s">
        <v>81</v>
      </c>
    </row>
    <row r="3">
      <c r="A3" s="30" t="s">
        <v>82</v>
      </c>
      <c r="B3" s="31"/>
      <c r="C3" s="32" t="s">
        <v>5</v>
      </c>
      <c r="D3" s="32" t="s">
        <v>83</v>
      </c>
      <c r="E3" s="31"/>
      <c r="F3" s="31"/>
      <c r="G3" s="31"/>
      <c r="H3" s="33"/>
    </row>
    <row r="4">
      <c r="A4" s="34"/>
      <c r="D4" s="35">
        <v>2025.0</v>
      </c>
      <c r="E4" s="35">
        <v>2026.0</v>
      </c>
      <c r="F4" s="35">
        <v>2027.0</v>
      </c>
      <c r="G4" s="35">
        <v>2028.0</v>
      </c>
      <c r="H4" s="36">
        <v>2029.0</v>
      </c>
    </row>
    <row r="5">
      <c r="A5" s="37" t="s">
        <v>84</v>
      </c>
      <c r="B5" s="38" t="s">
        <v>85</v>
      </c>
      <c r="H5" s="39"/>
    </row>
    <row r="6">
      <c r="A6" s="40" t="s">
        <v>86</v>
      </c>
      <c r="B6" s="41" t="s">
        <v>87</v>
      </c>
      <c r="C6" s="42" t="s">
        <v>15</v>
      </c>
      <c r="D6" s="42">
        <v>89.75</v>
      </c>
      <c r="E6" s="42">
        <v>91.55</v>
      </c>
      <c r="F6" s="42">
        <v>93.38</v>
      </c>
      <c r="G6" s="42">
        <v>95.25</v>
      </c>
      <c r="H6" s="43">
        <v>97.15</v>
      </c>
    </row>
    <row r="7">
      <c r="A7" s="40" t="s">
        <v>88</v>
      </c>
      <c r="B7" s="41" t="s">
        <v>89</v>
      </c>
      <c r="C7" s="42" t="s">
        <v>15</v>
      </c>
      <c r="D7" s="42">
        <v>90.43</v>
      </c>
      <c r="E7" s="42">
        <v>93.14</v>
      </c>
      <c r="F7" s="42">
        <v>95.93</v>
      </c>
      <c r="G7" s="42">
        <v>98.81</v>
      </c>
      <c r="H7" s="43">
        <v>100.0</v>
      </c>
    </row>
    <row r="8">
      <c r="A8" s="37" t="s">
        <v>90</v>
      </c>
      <c r="B8" s="38" t="s">
        <v>23</v>
      </c>
      <c r="H8" s="39"/>
    </row>
    <row r="9">
      <c r="A9" s="40" t="s">
        <v>88</v>
      </c>
      <c r="B9" s="41" t="s">
        <v>91</v>
      </c>
      <c r="C9" s="42" t="s">
        <v>15</v>
      </c>
      <c r="D9" s="42">
        <v>70.55</v>
      </c>
      <c r="E9" s="42">
        <v>71.96</v>
      </c>
      <c r="F9" s="42">
        <v>73.4</v>
      </c>
      <c r="G9" s="42">
        <v>74.87</v>
      </c>
      <c r="H9" s="43">
        <v>76.37</v>
      </c>
    </row>
    <row r="10">
      <c r="A10" s="40" t="s">
        <v>92</v>
      </c>
      <c r="B10" s="41" t="s">
        <v>93</v>
      </c>
      <c r="C10" s="42" t="s">
        <v>15</v>
      </c>
      <c r="D10" s="42">
        <v>11.0</v>
      </c>
      <c r="E10" s="42">
        <v>11.22</v>
      </c>
      <c r="F10" s="42">
        <v>11.44</v>
      </c>
      <c r="G10" s="42">
        <v>11.67</v>
      </c>
      <c r="H10" s="43">
        <v>11.9</v>
      </c>
    </row>
    <row r="11">
      <c r="A11" s="40" t="s">
        <v>94</v>
      </c>
      <c r="B11" s="41" t="s">
        <v>95</v>
      </c>
      <c r="C11" s="42" t="s">
        <v>15</v>
      </c>
      <c r="D11" s="42">
        <v>71.88</v>
      </c>
      <c r="E11" s="42">
        <v>73.32</v>
      </c>
      <c r="F11" s="42">
        <v>74.79</v>
      </c>
      <c r="G11" s="42">
        <v>76.29</v>
      </c>
      <c r="H11" s="43">
        <v>77.82</v>
      </c>
    </row>
    <row r="12">
      <c r="A12" s="37" t="s">
        <v>96</v>
      </c>
      <c r="B12" s="38" t="s">
        <v>30</v>
      </c>
      <c r="H12" s="39"/>
    </row>
    <row r="13">
      <c r="A13" s="40" t="s">
        <v>97</v>
      </c>
      <c r="B13" s="41" t="s">
        <v>98</v>
      </c>
      <c r="C13" s="42" t="s">
        <v>15</v>
      </c>
      <c r="D13" s="42">
        <v>62.6</v>
      </c>
      <c r="E13" s="42">
        <v>63.23</v>
      </c>
      <c r="F13" s="42">
        <v>64.5</v>
      </c>
      <c r="G13" s="42">
        <v>65.15</v>
      </c>
      <c r="H13" s="43">
        <v>65.8</v>
      </c>
    </row>
    <row r="14">
      <c r="A14" s="40" t="s">
        <v>99</v>
      </c>
      <c r="B14" s="41" t="s">
        <v>100</v>
      </c>
      <c r="C14" s="42" t="s">
        <v>15</v>
      </c>
      <c r="D14" s="42">
        <v>48.5</v>
      </c>
      <c r="E14" s="42">
        <v>49.47</v>
      </c>
      <c r="F14" s="42">
        <v>50.46</v>
      </c>
      <c r="G14" s="42">
        <v>51.47</v>
      </c>
      <c r="H14" s="43">
        <v>52.5</v>
      </c>
    </row>
    <row r="15">
      <c r="A15" s="37" t="s">
        <v>101</v>
      </c>
      <c r="B15" s="38" t="s">
        <v>102</v>
      </c>
      <c r="H15" s="39"/>
    </row>
    <row r="16">
      <c r="A16" s="40" t="s">
        <v>103</v>
      </c>
      <c r="B16" s="41" t="s">
        <v>104</v>
      </c>
      <c r="C16" s="42" t="s">
        <v>105</v>
      </c>
      <c r="D16" s="42" t="s">
        <v>106</v>
      </c>
      <c r="E16" s="42" t="s">
        <v>106</v>
      </c>
      <c r="F16" s="42" t="s">
        <v>106</v>
      </c>
      <c r="G16" s="42" t="s">
        <v>106</v>
      </c>
      <c r="H16" s="43" t="s">
        <v>106</v>
      </c>
    </row>
    <row r="17">
      <c r="A17" s="44" t="s">
        <v>107</v>
      </c>
      <c r="B17" s="45" t="s">
        <v>108</v>
      </c>
      <c r="C17" s="46" t="s">
        <v>109</v>
      </c>
      <c r="D17" s="46">
        <v>98.7</v>
      </c>
      <c r="E17" s="46">
        <v>98.8</v>
      </c>
      <c r="F17" s="46">
        <v>98.9</v>
      </c>
      <c r="G17" s="46">
        <v>99.0</v>
      </c>
      <c r="H17" s="47">
        <v>99.1</v>
      </c>
    </row>
  </sheetData>
  <mergeCells count="8">
    <mergeCell ref="A1:H1"/>
    <mergeCell ref="A3:B4"/>
    <mergeCell ref="C3:C4"/>
    <mergeCell ref="D3:H3"/>
    <mergeCell ref="B5:H5"/>
    <mergeCell ref="B8:H8"/>
    <mergeCell ref="B12:H12"/>
    <mergeCell ref="B15:H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t="s">
        <v>110</v>
      </c>
      <c r="D1" s="49"/>
      <c r="E1" s="49"/>
      <c r="F1" s="49"/>
      <c r="G1" s="49"/>
    </row>
    <row r="2" ht="46.5" customHeight="1">
      <c r="A2" s="50" t="s">
        <v>41</v>
      </c>
      <c r="B2" s="50" t="s">
        <v>111</v>
      </c>
      <c r="C2" s="51" t="s">
        <v>112</v>
      </c>
      <c r="D2" s="50" t="s">
        <v>113</v>
      </c>
      <c r="E2" s="50" t="s">
        <v>114</v>
      </c>
      <c r="F2" s="52" t="s">
        <v>115</v>
      </c>
      <c r="G2" s="52" t="s">
        <v>116</v>
      </c>
    </row>
    <row r="3">
      <c r="A3" s="53">
        <v>1.0</v>
      </c>
      <c r="B3" s="53">
        <v>2.0</v>
      </c>
      <c r="C3" s="54">
        <v>3.0</v>
      </c>
      <c r="D3" s="53">
        <v>4.0</v>
      </c>
      <c r="E3" s="53">
        <v>5.0</v>
      </c>
      <c r="F3" s="55">
        <v>6.0</v>
      </c>
      <c r="G3" s="55">
        <v>7.0</v>
      </c>
    </row>
    <row r="4">
      <c r="A4" s="56">
        <v>2024.0</v>
      </c>
      <c r="B4" s="57"/>
      <c r="C4" s="58"/>
      <c r="D4" s="57"/>
      <c r="E4" s="57"/>
      <c r="F4" s="59"/>
      <c r="G4" s="60" t="s">
        <v>117</v>
      </c>
    </row>
    <row r="5">
      <c r="A5" s="56">
        <v>2025.0</v>
      </c>
      <c r="B5" s="56">
        <v>244.0</v>
      </c>
      <c r="C5" s="61">
        <v>18.0</v>
      </c>
      <c r="D5" s="56">
        <v>226.0</v>
      </c>
      <c r="E5" s="56">
        <v>14.0</v>
      </c>
      <c r="F5" s="62">
        <v>227.0</v>
      </c>
      <c r="G5" s="63" t="s">
        <v>118</v>
      </c>
    </row>
    <row r="6">
      <c r="A6" s="56">
        <v>2026.0</v>
      </c>
      <c r="B6" s="56">
        <v>239.0</v>
      </c>
      <c r="C6" s="61">
        <v>17.0</v>
      </c>
      <c r="D6" s="56">
        <v>222.0</v>
      </c>
      <c r="E6" s="56">
        <v>12.0</v>
      </c>
      <c r="F6" s="62">
        <v>223.0</v>
      </c>
      <c r="G6" s="63" t="s">
        <v>119</v>
      </c>
    </row>
    <row r="7">
      <c r="A7" s="56">
        <v>2027.0</v>
      </c>
      <c r="B7" s="56">
        <v>234.0</v>
      </c>
      <c r="C7" s="61">
        <v>16.0</v>
      </c>
      <c r="D7" s="56">
        <v>218.0</v>
      </c>
      <c r="E7" s="56">
        <v>10.0</v>
      </c>
      <c r="F7" s="62">
        <v>219.0</v>
      </c>
      <c r="G7" s="63" t="s">
        <v>120</v>
      </c>
    </row>
    <row r="8">
      <c r="A8" s="56">
        <v>2028.0</v>
      </c>
      <c r="B8" s="56">
        <v>229.0</v>
      </c>
      <c r="C8" s="61">
        <v>15.0</v>
      </c>
      <c r="D8" s="56">
        <v>214.0</v>
      </c>
      <c r="E8" s="56">
        <v>8.0</v>
      </c>
      <c r="F8" s="62">
        <v>215.0</v>
      </c>
      <c r="G8" s="63" t="s">
        <v>121</v>
      </c>
    </row>
    <row r="9">
      <c r="A9" s="64">
        <v>2029.0</v>
      </c>
      <c r="B9" s="65">
        <v>224.0</v>
      </c>
      <c r="C9" s="66">
        <v>14.0</v>
      </c>
      <c r="D9" s="65">
        <v>210.0</v>
      </c>
      <c r="E9" s="65">
        <v>6.0</v>
      </c>
      <c r="F9" s="67">
        <v>211.0</v>
      </c>
      <c r="G9" s="68" t="s">
        <v>122</v>
      </c>
    </row>
    <row r="10">
      <c r="A10" s="69"/>
      <c r="B10" s="69"/>
      <c r="C10" s="69"/>
      <c r="D10" s="69"/>
      <c r="E10" s="69"/>
      <c r="F10" s="69"/>
      <c r="G10" s="49"/>
    </row>
    <row r="11">
      <c r="A11" s="48" t="s">
        <v>123</v>
      </c>
      <c r="B11" s="49"/>
      <c r="C11" s="49"/>
      <c r="D11" s="49"/>
      <c r="E11" s="49"/>
      <c r="F11" s="49"/>
      <c r="G11" s="49"/>
    </row>
    <row r="12">
      <c r="A12" s="70" t="s">
        <v>124</v>
      </c>
    </row>
    <row r="13">
      <c r="A13" s="70" t="s">
        <v>125</v>
      </c>
    </row>
    <row r="14">
      <c r="A14" s="70" t="s">
        <v>126</v>
      </c>
    </row>
  </sheetData>
  <mergeCells count="4">
    <mergeCell ref="A1:C1"/>
    <mergeCell ref="A12:G12"/>
    <mergeCell ref="A13:G13"/>
    <mergeCell ref="A14:G1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6" width="6.63"/>
  </cols>
  <sheetData>
    <row r="2">
      <c r="A2" s="71" t="s">
        <v>127</v>
      </c>
      <c r="B2" s="71">
        <v>2025.0</v>
      </c>
      <c r="C2" s="71">
        <v>2026.0</v>
      </c>
      <c r="D2" s="71">
        <v>2027.0</v>
      </c>
      <c r="E2" s="71">
        <v>2028.0</v>
      </c>
      <c r="F2" s="71">
        <v>2029.0</v>
      </c>
    </row>
    <row r="3">
      <c r="A3" s="71" t="s">
        <v>128</v>
      </c>
      <c r="B3" s="71">
        <v>85.5</v>
      </c>
      <c r="C3" s="71">
        <v>85.65</v>
      </c>
      <c r="D3" s="71">
        <v>85.9</v>
      </c>
      <c r="E3" s="71">
        <v>86.1</v>
      </c>
      <c r="F3" s="71">
        <v>87.0</v>
      </c>
    </row>
    <row r="4">
      <c r="A4" s="71" t="s">
        <v>129</v>
      </c>
      <c r="B4" s="71">
        <v>75.0</v>
      </c>
      <c r="C4" s="71">
        <v>76.88</v>
      </c>
      <c r="D4" s="71">
        <v>78.8</v>
      </c>
      <c r="E4" s="71">
        <v>80.77</v>
      </c>
      <c r="F4" s="71">
        <v>82.75</v>
      </c>
    </row>
    <row r="5">
      <c r="A5" s="71" t="s">
        <v>109</v>
      </c>
      <c r="B5" s="72">
        <f t="shared" ref="B5:F5" si="1">AVERAGE(B3:B4)</f>
        <v>80.25</v>
      </c>
      <c r="C5" s="72">
        <f t="shared" si="1"/>
        <v>81.265</v>
      </c>
      <c r="D5" s="72">
        <f t="shared" si="1"/>
        <v>82.35</v>
      </c>
      <c r="E5" s="72">
        <f t="shared" si="1"/>
        <v>83.435</v>
      </c>
      <c r="F5" s="72">
        <f t="shared" si="1"/>
        <v>84.875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t="s">
        <v>130</v>
      </c>
      <c r="E1" s="49"/>
    </row>
    <row r="2" ht="39.75" customHeight="1">
      <c r="A2" s="50" t="s">
        <v>41</v>
      </c>
      <c r="B2" s="50" t="s">
        <v>111</v>
      </c>
      <c r="C2" s="51" t="s">
        <v>131</v>
      </c>
      <c r="D2" s="52" t="s">
        <v>132</v>
      </c>
      <c r="E2" s="52" t="s">
        <v>133</v>
      </c>
    </row>
    <row r="3">
      <c r="A3" s="53">
        <v>1.0</v>
      </c>
      <c r="B3" s="53">
        <v>2.0</v>
      </c>
      <c r="C3" s="54">
        <v>3.0</v>
      </c>
      <c r="D3" s="55">
        <v>4.0</v>
      </c>
      <c r="E3" s="55">
        <v>5.0</v>
      </c>
    </row>
    <row r="4">
      <c r="A4" s="56">
        <v>2025.0</v>
      </c>
      <c r="B4" s="56">
        <v>244.0</v>
      </c>
      <c r="C4" s="61">
        <v>18.0</v>
      </c>
      <c r="D4" s="62">
        <v>226.0</v>
      </c>
      <c r="E4" s="63" t="s">
        <v>118</v>
      </c>
    </row>
    <row r="5">
      <c r="A5" s="56">
        <v>2026.0</v>
      </c>
      <c r="B5" s="56">
        <v>239.0</v>
      </c>
      <c r="C5" s="61">
        <v>17.0</v>
      </c>
      <c r="D5" s="62">
        <v>222.0</v>
      </c>
      <c r="E5" s="63" t="s">
        <v>134</v>
      </c>
    </row>
    <row r="6">
      <c r="A6" s="56">
        <v>2027.0</v>
      </c>
      <c r="B6" s="56">
        <v>234.0</v>
      </c>
      <c r="C6" s="61">
        <v>16.0</v>
      </c>
      <c r="D6" s="62">
        <v>218.0</v>
      </c>
      <c r="E6" s="63" t="s">
        <v>135</v>
      </c>
    </row>
    <row r="7">
      <c r="A7" s="56">
        <v>2028.0</v>
      </c>
      <c r="B7" s="56">
        <v>229.0</v>
      </c>
      <c r="C7" s="61">
        <v>15.0</v>
      </c>
      <c r="D7" s="62">
        <v>214.0</v>
      </c>
      <c r="E7" s="63" t="s">
        <v>136</v>
      </c>
    </row>
    <row r="8">
      <c r="A8" s="64">
        <v>2029.0</v>
      </c>
      <c r="B8" s="65">
        <v>224.0</v>
      </c>
      <c r="C8" s="66">
        <v>14.0</v>
      </c>
      <c r="D8" s="67">
        <v>210.0</v>
      </c>
      <c r="E8" s="68" t="s">
        <v>137</v>
      </c>
    </row>
    <row r="9">
      <c r="A9" s="49"/>
      <c r="B9" s="49"/>
      <c r="C9" s="49"/>
      <c r="D9" s="49"/>
      <c r="E9" s="49"/>
    </row>
    <row r="10">
      <c r="A10" s="73" t="s">
        <v>123</v>
      </c>
      <c r="B10" s="74"/>
      <c r="C10" s="74"/>
      <c r="D10" s="74"/>
      <c r="E10" s="74"/>
    </row>
    <row r="11">
      <c r="A11" s="70" t="s">
        <v>124</v>
      </c>
    </row>
    <row r="12">
      <c r="A12" s="70" t="s">
        <v>138</v>
      </c>
    </row>
    <row r="13">
      <c r="A13" s="70" t="s">
        <v>139</v>
      </c>
    </row>
  </sheetData>
  <mergeCells count="4">
    <mergeCell ref="A1:D1"/>
    <mergeCell ref="A11:E11"/>
    <mergeCell ref="A12:E12"/>
    <mergeCell ref="A13:E1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3" max="3" width="14.0"/>
    <col customWidth="1" min="4" max="4" width="15.5"/>
    <col hidden="1" min="6" max="6" width="12.63"/>
  </cols>
  <sheetData>
    <row r="1">
      <c r="B1" s="75" t="s">
        <v>140</v>
      </c>
      <c r="C1" s="76" t="s">
        <v>141</v>
      </c>
      <c r="D1" s="76" t="s">
        <v>142</v>
      </c>
      <c r="F1" s="77"/>
      <c r="G1" s="78" t="s">
        <v>143</v>
      </c>
    </row>
    <row r="2">
      <c r="A2" s="71">
        <v>2023.0</v>
      </c>
      <c r="B2" s="71"/>
      <c r="C2" s="71"/>
      <c r="D2" s="79">
        <v>36390.0</v>
      </c>
      <c r="E2" s="80"/>
      <c r="F2" s="81"/>
    </row>
    <row r="3">
      <c r="A3" s="71">
        <v>2024.0</v>
      </c>
      <c r="B3" s="71"/>
      <c r="C3" s="71"/>
      <c r="D3" s="79">
        <v>69943.0</v>
      </c>
      <c r="E3" s="80"/>
      <c r="F3" s="81"/>
    </row>
    <row r="4">
      <c r="A4" s="71">
        <v>2025.0</v>
      </c>
      <c r="B4" s="71">
        <v>244.0</v>
      </c>
      <c r="C4" s="71">
        <v>141.0</v>
      </c>
      <c r="D4" s="82">
        <v>25630.0</v>
      </c>
      <c r="E4" s="80">
        <f t="shared" ref="E4:E8" si="1">C4/D4</f>
        <v>0.005501365587</v>
      </c>
      <c r="F4" s="81">
        <f t="shared" ref="F4:F8" si="2">D4/C4</f>
        <v>181.7730496</v>
      </c>
      <c r="G4" s="71">
        <v>141.0</v>
      </c>
      <c r="H4" s="77">
        <f t="shared" ref="H4:H8" si="3">G4/D4</f>
        <v>0.005501365587</v>
      </c>
    </row>
    <row r="5">
      <c r="A5" s="71">
        <v>2026.0</v>
      </c>
      <c r="B5" s="83">
        <v>239.0</v>
      </c>
      <c r="C5" s="83">
        <f t="shared" ref="C5:C8" si="4">B5</f>
        <v>239</v>
      </c>
      <c r="D5" s="84">
        <f t="shared" ref="D5:D8" si="5">D4+50</f>
        <v>25680</v>
      </c>
      <c r="E5" s="85">
        <f t="shared" si="1"/>
        <v>0.009306853583</v>
      </c>
      <c r="F5" s="81">
        <f t="shared" si="2"/>
        <v>107.4476987</v>
      </c>
      <c r="G5" s="86">
        <f>B5-17</f>
        <v>222</v>
      </c>
      <c r="H5" s="77">
        <f t="shared" si="3"/>
        <v>0.008644859813</v>
      </c>
    </row>
    <row r="6">
      <c r="A6" s="71">
        <v>2027.0</v>
      </c>
      <c r="B6" s="83">
        <v>234.0</v>
      </c>
      <c r="C6" s="83">
        <f t="shared" si="4"/>
        <v>234</v>
      </c>
      <c r="D6" s="84">
        <f t="shared" si="5"/>
        <v>25730</v>
      </c>
      <c r="E6" s="85">
        <f t="shared" si="1"/>
        <v>0.009094442285</v>
      </c>
      <c r="F6" s="81">
        <f t="shared" si="2"/>
        <v>109.957265</v>
      </c>
      <c r="G6" s="86">
        <f>B6-16</f>
        <v>218</v>
      </c>
      <c r="H6" s="77">
        <f t="shared" si="3"/>
        <v>0.008472600078</v>
      </c>
    </row>
    <row r="7">
      <c r="A7" s="71">
        <v>2028.0</v>
      </c>
      <c r="B7" s="83">
        <v>229.0</v>
      </c>
      <c r="C7" s="83">
        <f t="shared" si="4"/>
        <v>229</v>
      </c>
      <c r="D7" s="84">
        <f t="shared" si="5"/>
        <v>25780</v>
      </c>
      <c r="E7" s="85">
        <f t="shared" si="1"/>
        <v>0.008882854926</v>
      </c>
      <c r="F7" s="81">
        <f t="shared" si="2"/>
        <v>112.5764192</v>
      </c>
      <c r="G7" s="86">
        <f>B7-15</f>
        <v>214</v>
      </c>
      <c r="H7" s="77">
        <f t="shared" si="3"/>
        <v>0.008301008534</v>
      </c>
    </row>
    <row r="8">
      <c r="A8" s="71">
        <v>2029.0</v>
      </c>
      <c r="B8" s="83">
        <v>224.0</v>
      </c>
      <c r="C8" s="83">
        <f t="shared" si="4"/>
        <v>224</v>
      </c>
      <c r="D8" s="84">
        <f t="shared" si="5"/>
        <v>25830</v>
      </c>
      <c r="E8" s="85">
        <f t="shared" si="1"/>
        <v>0.008672086721</v>
      </c>
      <c r="F8" s="81">
        <f t="shared" si="2"/>
        <v>115.3125</v>
      </c>
      <c r="G8" s="86">
        <f>B8-14</f>
        <v>210</v>
      </c>
      <c r="H8" s="77">
        <f t="shared" si="3"/>
        <v>0.008130081301</v>
      </c>
    </row>
    <row r="9">
      <c r="E9" s="87"/>
    </row>
    <row r="10" hidden="1">
      <c r="B10" s="71" t="s">
        <v>144</v>
      </c>
    </row>
    <row r="11" hidden="1">
      <c r="B11" s="88" t="s">
        <v>145</v>
      </c>
    </row>
    <row r="12" hidden="1">
      <c r="B12" s="89" t="s">
        <v>146</v>
      </c>
    </row>
    <row r="13" hidden="1">
      <c r="B13" s="90" t="s">
        <v>147</v>
      </c>
    </row>
    <row r="15">
      <c r="E15" s="72"/>
      <c r="H15" s="72"/>
    </row>
    <row r="20">
      <c r="M20" s="71" t="s">
        <v>148</v>
      </c>
    </row>
  </sheetData>
  <mergeCells count="3">
    <mergeCell ref="B11:E11"/>
    <mergeCell ref="B12:E12"/>
    <mergeCell ref="B13:E1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s>
  <sheetData>
    <row r="1">
      <c r="A1" s="91" t="s">
        <v>41</v>
      </c>
      <c r="B1" s="91" t="s">
        <v>111</v>
      </c>
      <c r="C1" s="92" t="s">
        <v>149</v>
      </c>
      <c r="D1" s="92" t="s">
        <v>112</v>
      </c>
      <c r="E1" s="92" t="s">
        <v>150</v>
      </c>
      <c r="F1" s="92" t="s">
        <v>151</v>
      </c>
    </row>
    <row r="2">
      <c r="A2" s="93">
        <v>2025.0</v>
      </c>
      <c r="B2" s="93">
        <v>244.0</v>
      </c>
      <c r="C2" s="94">
        <v>152.0</v>
      </c>
      <c r="D2" s="95">
        <v>18.0</v>
      </c>
      <c r="E2" s="95">
        <v>226.0</v>
      </c>
      <c r="F2" s="96">
        <v>0.6725</v>
      </c>
    </row>
    <row r="3">
      <c r="A3" s="93">
        <v>2026.0</v>
      </c>
      <c r="B3" s="97">
        <v>239.0</v>
      </c>
      <c r="C3" s="94">
        <v>162.0</v>
      </c>
      <c r="D3" s="95">
        <v>17.0</v>
      </c>
      <c r="E3" s="95">
        <v>222.0</v>
      </c>
      <c r="F3" s="96">
        <v>0.7297</v>
      </c>
    </row>
    <row r="4">
      <c r="A4" s="93">
        <v>2027.0</v>
      </c>
      <c r="B4" s="97">
        <v>234.0</v>
      </c>
      <c r="C4" s="94">
        <v>172.0</v>
      </c>
      <c r="D4" s="95">
        <v>16.0</v>
      </c>
      <c r="E4" s="95">
        <v>218.0</v>
      </c>
      <c r="F4" s="96">
        <v>0.7889</v>
      </c>
    </row>
    <row r="5">
      <c r="A5" s="93">
        <v>2028.0</v>
      </c>
      <c r="B5" s="97">
        <v>229.0</v>
      </c>
      <c r="C5" s="94">
        <v>177.0</v>
      </c>
      <c r="D5" s="95">
        <v>15.0</v>
      </c>
      <c r="E5" s="95">
        <v>214.0</v>
      </c>
      <c r="F5" s="96">
        <v>0.8271</v>
      </c>
    </row>
    <row r="6">
      <c r="A6" s="93">
        <v>2029.0</v>
      </c>
      <c r="B6" s="97">
        <v>224.0</v>
      </c>
      <c r="C6" s="94">
        <v>182.0</v>
      </c>
      <c r="D6" s="95">
        <v>14.0</v>
      </c>
      <c r="E6" s="95">
        <v>210.0</v>
      </c>
      <c r="F6" s="96">
        <v>0.8666</v>
      </c>
    </row>
  </sheetData>
  <drawing r:id="rId1"/>
</worksheet>
</file>