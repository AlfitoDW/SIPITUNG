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E:\Keuangan\utk Apl. Sibuk\"/>
    </mc:Choice>
  </mc:AlternateContent>
  <xr:revisionPtr revIDLastSave="0" documentId="13_ncr:1_{A4146AC8-136C-40A3-A394-E2A50BF6E7D8}" xr6:coauthVersionLast="47" xr6:coauthVersionMax="47" xr10:uidLastSave="{00000000-0000-0000-0000-000000000000}"/>
  <bookViews>
    <workbookView xWindow="-120" yWindow="-120" windowWidth="29040" windowHeight="15720" tabRatio="745" firstSheet="1" activeTab="1" xr2:uid="{A2375E84-70B7-4248-BC29-00D24D3C4DB2}"/>
  </bookViews>
  <sheets>
    <sheet name="RefAnggaran" sheetId="17" state="hidden" r:id="rId1"/>
    <sheet name="User Pokja, PPK, KPA dan PUMK" sheetId="25" r:id="rId2"/>
    <sheet name="Akun Daf. Nominatif" sheetId="24" r:id="rId3"/>
    <sheet name="Ref Pegawai" sheetId="2" r:id="rId4"/>
    <sheet name="521111" sheetId="11" state="hidden" r:id="rId5"/>
    <sheet name="521115" sheetId="13" r:id="rId6"/>
    <sheet name="521119" sheetId="12" state="hidden" r:id="rId7"/>
    <sheet name="521211" sheetId="14" state="hidden" r:id="rId8"/>
    <sheet name="521213" sheetId="8" r:id="rId9"/>
    <sheet name="521811" sheetId="15" state="hidden" r:id="rId10"/>
    <sheet name="522141" sheetId="16" state="hidden" r:id="rId11"/>
    <sheet name="522151" sheetId="4" r:id="rId12"/>
    <sheet name="523111" sheetId="18" state="hidden" r:id="rId13"/>
    <sheet name="523121" sheetId="19" state="hidden" r:id="rId14"/>
    <sheet name="524111" sheetId="5" r:id="rId15"/>
    <sheet name="524113" sheetId="20" r:id="rId16"/>
    <sheet name="524114" sheetId="21" r:id="rId17"/>
    <sheet name="524119" sheetId="22" r:id="rId18"/>
    <sheet name="Perjadin Kolektif-1" sheetId="6" r:id="rId19"/>
    <sheet name="SPD-Terlampir" sheetId="7" r:id="rId20"/>
    <sheet name="Catatan" sheetId="23"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TGL1" localSheetId="2">'[1]Lembar 1'!$H$39</definedName>
    <definedName name="________TGL1" localSheetId="0">'[1]Lembar 1'!$H$39</definedName>
    <definedName name="________TGL1">'[2]Lembar 1'!$H$39</definedName>
    <definedName name="________TGL2" localSheetId="2">'[1]Lembar 1'!$Z$39</definedName>
    <definedName name="________TGL2" localSheetId="0">'[1]Lembar 1'!$Z$39</definedName>
    <definedName name="________TGL2">'[2]Lembar 1'!$Z$39</definedName>
    <definedName name="_______TGL1" localSheetId="2">#REF!</definedName>
    <definedName name="_______TGL1" localSheetId="0">#REF!</definedName>
    <definedName name="_______TGL1" localSheetId="19">#REF!</definedName>
    <definedName name="_______TGL1">#REF!</definedName>
    <definedName name="_______TGL2" localSheetId="2">#REF!</definedName>
    <definedName name="_______TGL2" localSheetId="0">#REF!</definedName>
    <definedName name="_______TGL2" localSheetId="19">#REF!</definedName>
    <definedName name="_______TGL2">#REF!</definedName>
    <definedName name="______TGL1" localSheetId="2">#REF!</definedName>
    <definedName name="______TGL1" localSheetId="0">#REF!</definedName>
    <definedName name="______TGL1" localSheetId="19">#REF!</definedName>
    <definedName name="______TGL1">#REF!</definedName>
    <definedName name="______TGL2" localSheetId="2">#REF!</definedName>
    <definedName name="______TGL2" localSheetId="19">#REF!</definedName>
    <definedName name="______TGL2">#REF!</definedName>
    <definedName name="_____TGL1" localSheetId="2">'[1]Lembar 1'!$H$39</definedName>
    <definedName name="_____TGL1" localSheetId="0">'[1]Lembar 1'!$H$39</definedName>
    <definedName name="_____TGL1">'[2]Lembar 1'!$H$39</definedName>
    <definedName name="_____TGL2" localSheetId="2">'[1]Lembar 1'!$Z$39</definedName>
    <definedName name="_____TGL2" localSheetId="0">'[1]Lembar 1'!$Z$39</definedName>
    <definedName name="_____TGL2">'[2]Lembar 1'!$Z$39</definedName>
    <definedName name="____TGL1" localSheetId="2">'[1]Lembar 1'!$H$39</definedName>
    <definedName name="____TGL1" localSheetId="0">'[1]Lembar 1'!$H$39</definedName>
    <definedName name="____TGL1">'[2]Lembar 1'!$H$39</definedName>
    <definedName name="____TGL2" localSheetId="2">'[1]Lembar 1'!$Z$39</definedName>
    <definedName name="____TGL2" localSheetId="0">'[1]Lembar 1'!$Z$39</definedName>
    <definedName name="____TGL2">'[2]Lembar 1'!$Z$39</definedName>
    <definedName name="___TGL1" localSheetId="2">'[1]Lembar 1'!$H$39</definedName>
    <definedName name="___TGL1" localSheetId="0">'[1]Lembar 1'!$H$39</definedName>
    <definedName name="___TGL1">'[2]Lembar 1'!$H$39</definedName>
    <definedName name="___TGL2" localSheetId="2">'[1]Lembar 1'!$Z$39</definedName>
    <definedName name="___TGL2" localSheetId="0">'[1]Lembar 1'!$Z$39</definedName>
    <definedName name="___TGL2">'[2]Lembar 1'!$Z$39</definedName>
    <definedName name="__TGL1" localSheetId="2">'[1]Lembar 1'!$H$39</definedName>
    <definedName name="__TGL1" localSheetId="0">'[1]Lembar 1'!$H$39</definedName>
    <definedName name="__TGL1">'[2]Lembar 1'!$H$39</definedName>
    <definedName name="__TGL2" localSheetId="2">'[1]Lembar 1'!$Z$39</definedName>
    <definedName name="__TGL2" localSheetId="0">'[1]Lembar 1'!$Z$39</definedName>
    <definedName name="__TGL2">'[2]Lembar 1'!$Z$39</definedName>
    <definedName name="_xlnm._FilterDatabase" localSheetId="14" hidden="1">'524111'!$D$13:$F$46</definedName>
    <definedName name="_xlnm._FilterDatabase" localSheetId="15" hidden="1">'524113'!$D$13:$F$45</definedName>
    <definedName name="_xlnm._FilterDatabase" localSheetId="16" hidden="1">'524114'!$D$13:$F$45</definedName>
    <definedName name="_xlnm._FilterDatabase" localSheetId="17" hidden="1">'524119'!$D$13:$F$46</definedName>
    <definedName name="_xlnm._FilterDatabase" localSheetId="2" hidden="1">'Akun Daf. Nominatif'!$A$1:$B$1</definedName>
    <definedName name="_xlnm._FilterDatabase" localSheetId="3" hidden="1">'Ref Pegawai'!$E$1:$G$123</definedName>
    <definedName name="_xlnm._FilterDatabase" localSheetId="1" hidden="1">'User Pokja, PPK, KPA dan PUMK'!$B$1:$B$13</definedName>
    <definedName name="_Order1" hidden="1">0</definedName>
    <definedName name="_Order2" hidden="1">255</definedName>
    <definedName name="_TGL1" localSheetId="2">#REF!</definedName>
    <definedName name="_TGL1" localSheetId="0">#REF!</definedName>
    <definedName name="_TGL1" localSheetId="19">#REF!</definedName>
    <definedName name="_TGL1">#REF!</definedName>
    <definedName name="_TGL2" localSheetId="2">#REF!</definedName>
    <definedName name="_TGL2" localSheetId="0">#REF!</definedName>
    <definedName name="_TGL2" localSheetId="19">#REF!</definedName>
    <definedName name="_TGL2">#REF!</definedName>
    <definedName name="aaa">[3]Db!$A$2:$A$15</definedName>
    <definedName name="ALAMAT" localSheetId="2">#REF!</definedName>
    <definedName name="ALAMAT" localSheetId="0">#REF!</definedName>
    <definedName name="ALAMAT" localSheetId="19">#REF!</definedName>
    <definedName name="ALAMAT">#REF!</definedName>
    <definedName name="anjab" localSheetId="2">[4]sampel!#REF!</definedName>
    <definedName name="anjab" localSheetId="0">[4]sampel!#REF!</definedName>
    <definedName name="anjab">[4]sampel!#REF!</definedName>
    <definedName name="asda" localSheetId="2">#REF!</definedName>
    <definedName name="asda" localSheetId="0">#REF!</definedName>
    <definedName name="asda" localSheetId="19">#REF!</definedName>
    <definedName name="asda">#REF!</definedName>
    <definedName name="dafd" localSheetId="2">#REF!</definedName>
    <definedName name="dafd" localSheetId="0">#REF!</definedName>
    <definedName name="dafd" localSheetId="19">#REF!</definedName>
    <definedName name="dafd">#REF!</definedName>
    <definedName name="Daftar_Rekanan" localSheetId="2">[5]REF!$Y$6:$AB$10</definedName>
    <definedName name="Daftar_Rekanan" localSheetId="0">[5]REF!$Y$6:$AB$10</definedName>
    <definedName name="Daftar_Rekanan">[6]REF!$Y$6:$AB$10</definedName>
    <definedName name="_xlnm.Database" localSheetId="2">#REF!</definedName>
    <definedName name="_xlnm.Database" localSheetId="0">#REF!</definedName>
    <definedName name="_xlnm.Database">#REF!</definedName>
    <definedName name="db_F">'[7]FUNGSIONAL '!$B$7:$C$90</definedName>
    <definedName name="db_S" localSheetId="2">#REF!</definedName>
    <definedName name="db_S" localSheetId="0">#REF!</definedName>
    <definedName name="db_S">#REF!</definedName>
    <definedName name="FFF" localSheetId="2">[4]sampel!#REF!</definedName>
    <definedName name="FFF" localSheetId="0">[4]sampel!#REF!</definedName>
    <definedName name="FFF">[4]sampel!#REF!</definedName>
    <definedName name="FK" localSheetId="2">[4]sampel!#REF!</definedName>
    <definedName name="FK" localSheetId="0">[4]sampel!#REF!</definedName>
    <definedName name="FK">[4]sampel!#REF!</definedName>
    <definedName name="FT" localSheetId="2">[4]sampel!#REF!</definedName>
    <definedName name="FT" localSheetId="0">[4]sampel!#REF!</definedName>
    <definedName name="FT">[4]sampel!#REF!</definedName>
    <definedName name="G" localSheetId="2" hidden="1">[8]A!#REF!</definedName>
    <definedName name="G" localSheetId="0" hidden="1">[8]A!#REF!</definedName>
    <definedName name="G" hidden="1">[8]A!#REF!</definedName>
    <definedName name="Gbaru" hidden="1">[8]A!#REF!</definedName>
    <definedName name="GGGG" hidden="1">[9]A!#REF!</definedName>
    <definedName name="jadwal" localSheetId="2">#REF!</definedName>
    <definedName name="jadwal" localSheetId="0">#REF!</definedName>
    <definedName name="jadwal" localSheetId="19">#REF!</definedName>
    <definedName name="jadwal">#REF!</definedName>
    <definedName name="jadwal1" localSheetId="2">#REF!</definedName>
    <definedName name="jadwal1" localSheetId="0">#REF!</definedName>
    <definedName name="jadwal1" localSheetId="19">#REF!</definedName>
    <definedName name="jadwal1">#REF!</definedName>
    <definedName name="Jenis_Pembayaran" localSheetId="2">[5]REF!$V$28:$V$33</definedName>
    <definedName name="Jenis_Pembayaran" localSheetId="0">[5]REF!$V$28:$V$33</definedName>
    <definedName name="Jenis_Pembayaran">[6]REF!$V$28:$V$33</definedName>
    <definedName name="JO" localSheetId="0">[10]sampel!#REF!</definedName>
    <definedName name="JO">[10]sampel!#REF!</definedName>
    <definedName name="JP" localSheetId="0">[10]sampel!#REF!</definedName>
    <definedName name="JP">[10]sampel!#REF!</definedName>
    <definedName name="JPRI" localSheetId="0">[10]sampel!#REF!</definedName>
    <definedName name="JPRI">[10]sampel!#REF!</definedName>
    <definedName name="JUMLAH" localSheetId="2">#REF!</definedName>
    <definedName name="JUMLAH" localSheetId="0">#REF!</definedName>
    <definedName name="JUMLAH" localSheetId="19">#REF!</definedName>
    <definedName name="JUMLAH">#REF!</definedName>
    <definedName name="JV" localSheetId="2">[10]sampel!#REF!</definedName>
    <definedName name="JV" localSheetId="0">[10]sampel!#REF!</definedName>
    <definedName name="JV">[10]sampel!#REF!</definedName>
    <definedName name="JVA" localSheetId="2">[10]sampel!#REF!</definedName>
    <definedName name="JVA" localSheetId="0">[10]sampel!#REF!</definedName>
    <definedName name="JVA">[10]sampel!#REF!</definedName>
    <definedName name="JVAL" localSheetId="0">[10]sampel!#REF!</definedName>
    <definedName name="JVAL">[10]sampel!#REF!</definedName>
    <definedName name="JVALN" localSheetId="0">[4]sampel!#REF!</definedName>
    <definedName name="JVALN">[4]sampel!#REF!</definedName>
    <definedName name="JVALU" localSheetId="0">[10]sampel!#REF!</definedName>
    <definedName name="JVALU">[10]sampel!#REF!</definedName>
    <definedName name="JVV">[4]sampel!#REF!</definedName>
    <definedName name="Keg_Output_Akun" localSheetId="2">[5]REF!$N$6:$N$127</definedName>
    <definedName name="Keg_Output_Akun" localSheetId="0">[5]REF!$N$6:$N$127</definedName>
    <definedName name="Keg_Output_Akun">[6]REF!$N$6:$N$127</definedName>
    <definedName name="Keg_Output_Komp_Akun" localSheetId="2">[5]REF!$L$6:$S$127</definedName>
    <definedName name="Keg_Output_Komp_Akun" localSheetId="0">[5]REF!$L$6:$S$127</definedName>
    <definedName name="Keg_Output_Komp_Akun">[6]REF!$L$6:$S$127</definedName>
    <definedName name="Klabel" localSheetId="2">[5]REF!$U$5:$U$14</definedName>
    <definedName name="Klabel" localSheetId="0">[5]REF!$U$5:$U$14</definedName>
    <definedName name="Klabel">[6]REF!$U$5:$U$14</definedName>
    <definedName name="Kode" localSheetId="2">[5]REF!$H$27:$H$58</definedName>
    <definedName name="Kode" localSheetId="0">[5]REF!$H$27:$H$58</definedName>
    <definedName name="Kode">[6]REF!$H$27:$H$58</definedName>
    <definedName name="KOTA" localSheetId="2">#REF!</definedName>
    <definedName name="KOTA" localSheetId="0">#REF!</definedName>
    <definedName name="KOTA" localSheetId="19">#REF!</definedName>
    <definedName name="KOTA">#REF!</definedName>
    <definedName name="KPP" localSheetId="2">#REF!</definedName>
    <definedName name="KPP" localSheetId="0">#REF!</definedName>
    <definedName name="KPP" localSheetId="19">#REF!</definedName>
    <definedName name="KPP">#REF!</definedName>
    <definedName name="masud" localSheetId="2">[4]sampel!#REF!</definedName>
    <definedName name="masud" localSheetId="0">[4]sampel!#REF!</definedName>
    <definedName name="masud">[4]sampel!#REF!</definedName>
    <definedName name="NAMA" localSheetId="2">#REF!</definedName>
    <definedName name="NAMA" localSheetId="0">#REF!</definedName>
    <definedName name="NAMA" localSheetId="19">#REF!</definedName>
    <definedName name="NAMA">#REF!</definedName>
    <definedName name="Nama_Buku" localSheetId="2">[5]REF!$H$7:$I$16</definedName>
    <definedName name="Nama_Buku" localSheetId="0">[5]REF!$H$7:$I$16</definedName>
    <definedName name="Nama_Buku">[6]REF!$H$7:$I$16</definedName>
    <definedName name="NAMA1" localSheetId="2">#REF!</definedName>
    <definedName name="NAMA1" localSheetId="0">#REF!</definedName>
    <definedName name="NAMA1" localSheetId="19">#REF!</definedName>
    <definedName name="NAMA1">#REF!</definedName>
    <definedName name="NAMA2" localSheetId="2">#REF!</definedName>
    <definedName name="NAMA2" localSheetId="0">#REF!</definedName>
    <definedName name="NAMA2" localSheetId="19">#REF!</definedName>
    <definedName name="NAMA2">#REF!</definedName>
    <definedName name="Output_01" localSheetId="2">[5]REF!$N$6:$N$27</definedName>
    <definedName name="Output_01" localSheetId="0">[5]REF!$N$6:$N$27</definedName>
    <definedName name="Output_01">[6]REF!$N$6:$N$27</definedName>
    <definedName name="Output_02" localSheetId="2">[5]REF!$N$28</definedName>
    <definedName name="Output_02" localSheetId="0">[5]REF!$N$28</definedName>
    <definedName name="Output_02">[6]REF!$N$28</definedName>
    <definedName name="Output_03" localSheetId="2">[5]REF!$N$29:$N$30</definedName>
    <definedName name="Output_03" localSheetId="0">[5]REF!$N$29:$N$30</definedName>
    <definedName name="Output_03">[6]REF!$N$29:$N$30</definedName>
    <definedName name="Output_04" localSheetId="2">[5]REF!$N$31:$N$36</definedName>
    <definedName name="Output_04" localSheetId="0">[5]REF!$N$31:$N$36</definedName>
    <definedName name="Output_04">[6]REF!$N$31:$N$36</definedName>
    <definedName name="Output_06" localSheetId="2">[5]REF!$N$37</definedName>
    <definedName name="Output_06" localSheetId="0">[5]REF!$N$37</definedName>
    <definedName name="Output_06">[6]REF!$N$37</definedName>
    <definedName name="PAUD" localSheetId="0" hidden="1">[8]A!#REF!</definedName>
    <definedName name="PAUD" hidden="1">[8]A!#REF!</definedName>
    <definedName name="_xlnm.Print_Area" localSheetId="4">'521111'!$A$1:$M$21</definedName>
    <definedName name="_xlnm.Print_Area" localSheetId="5">'521115'!$A$1:$P$30</definedName>
    <definedName name="_xlnm.Print_Area" localSheetId="6">'521119'!$A$1:$M$21</definedName>
    <definedName name="_xlnm.Print_Area" localSheetId="7">'521211'!$A$1:$M$21</definedName>
    <definedName name="_xlnm.Print_Area" localSheetId="8">'521213'!$A$1:$Q$32</definedName>
    <definedName name="_xlnm.Print_Area" localSheetId="9">'521811'!$A$1:$M$21</definedName>
    <definedName name="_xlnm.Print_Area" localSheetId="10">'522141'!$A$1:$M$21</definedName>
    <definedName name="_xlnm.Print_Area" localSheetId="11">'522151'!$A$1:$Q$32</definedName>
    <definedName name="_xlnm.Print_Area" localSheetId="12">'523111'!$A$1:$M$21</definedName>
    <definedName name="_xlnm.Print_Area" localSheetId="13">'523121'!$A$1:$M$21</definedName>
    <definedName name="_xlnm.Print_Area" localSheetId="14">'524111'!$B$1:$U$58</definedName>
    <definedName name="_xlnm.Print_Area" localSheetId="15">'524113'!$B$1:$S$57</definedName>
    <definedName name="_xlnm.Print_Area" localSheetId="16">'524114'!$B$1:$S$57</definedName>
    <definedName name="_xlnm.Print_Area" localSheetId="17">'524119'!$B$1:$U$58</definedName>
    <definedName name="_xlnm.Print_Area" localSheetId="18">'Perjadin Kolektif-1'!$A$1:$O$25</definedName>
    <definedName name="_xlnm.Print_Area" localSheetId="19">'SPD-Terlampir'!$B$1:$F$37</definedName>
    <definedName name="_xlnm.Print_Titles" localSheetId="14">'524111'!$11:$13</definedName>
    <definedName name="_xlnm.Print_Titles" localSheetId="15">'524113'!$11:$13</definedName>
    <definedName name="_xlnm.Print_Titles" localSheetId="16">'524114'!$11:$13</definedName>
    <definedName name="_xlnm.Print_Titles" localSheetId="17">'524119'!$11:$13</definedName>
    <definedName name="_xlnm.Print_Titles" localSheetId="18">'Perjadin Kolektif-1'!$9:$9</definedName>
    <definedName name="Rekanan" localSheetId="2">[5]REF!$Y$6:$Y$10</definedName>
    <definedName name="Rekanan" localSheetId="0">[5]REF!$Y$6:$Y$10</definedName>
    <definedName name="Rekanan">[6]REF!$Y$6:$Y$10</definedName>
    <definedName name="Roll" localSheetId="0">[10]sampel!#REF!</definedName>
    <definedName name="Roll">[10]sampel!#REF!</definedName>
    <definedName name="Rolling" localSheetId="0">[10]sampel!#REF!</definedName>
    <definedName name="Rolling">[10]sampel!#REF!</definedName>
    <definedName name="sat_konv">[11]Db!$A$2:$A$15</definedName>
    <definedName name="Sifat_Pembayaran" localSheetId="2">[5]REF!$V$19:$V$24</definedName>
    <definedName name="Sifat_Pembayaran" localSheetId="0">[5]REF!$V$19:$V$24</definedName>
    <definedName name="Sifat_Pembayaran">[6]REF!$V$19:$V$24</definedName>
    <definedName name="ST" localSheetId="0">[12]sampel!#REF!</definedName>
    <definedName name="ST">[12]sampel!#REF!</definedName>
    <definedName name="TERBILANG" localSheetId="2">#REF!</definedName>
    <definedName name="TERBILANG" localSheetId="0">#REF!</definedName>
    <definedName name="TERBILANG" localSheetId="19">#REF!</definedName>
    <definedName name="TERBILANG">#REF!</definedName>
    <definedName name="URAIAN" localSheetId="2">#REF!</definedName>
    <definedName name="URAIAN" localSheetId="0">#REF!</definedName>
    <definedName name="URAIAN" localSheetId="19">#REF!</definedName>
    <definedName name="URAIAN">#REF!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2" l="1"/>
  <c r="O15" i="21"/>
  <c r="O16" i="21"/>
  <c r="O17" i="21"/>
  <c r="O14" i="21"/>
  <c r="B18" i="21"/>
  <c r="B19" i="21" s="1"/>
  <c r="O15" i="20"/>
  <c r="O16" i="20"/>
  <c r="O17" i="20"/>
  <c r="O14" i="20"/>
  <c r="B18" i="20"/>
  <c r="B19" i="20" s="1"/>
  <c r="Q15" i="5"/>
  <c r="Q16" i="5"/>
  <c r="Q17" i="5"/>
  <c r="Q18" i="5"/>
  <c r="Q19" i="5"/>
  <c r="Q14" i="5"/>
  <c r="O45" i="22"/>
  <c r="N45" i="22"/>
  <c r="L45" i="22"/>
  <c r="K45" i="22"/>
  <c r="I45" i="22"/>
  <c r="H45" i="22"/>
  <c r="F45" i="22"/>
  <c r="E45" i="22"/>
  <c r="D45" i="22"/>
  <c r="U17" i="22"/>
  <c r="T17" i="22"/>
  <c r="S17" i="22"/>
  <c r="R17" i="22"/>
  <c r="M17" i="22"/>
  <c r="Q17" i="22" s="1"/>
  <c r="J17" i="22"/>
  <c r="G17" i="22"/>
  <c r="U16" i="22"/>
  <c r="T16" i="22"/>
  <c r="S16" i="22"/>
  <c r="R16" i="22"/>
  <c r="Q16" i="22"/>
  <c r="M16" i="22"/>
  <c r="J16" i="22"/>
  <c r="G16" i="22"/>
  <c r="U15" i="22"/>
  <c r="T15" i="22"/>
  <c r="S15" i="22"/>
  <c r="R15" i="22"/>
  <c r="M15" i="22"/>
  <c r="J15" i="22"/>
  <c r="G15" i="22"/>
  <c r="B15" i="22"/>
  <c r="B16" i="22" s="1"/>
  <c r="B17" i="22" s="1"/>
  <c r="B18" i="22" s="1"/>
  <c r="B19" i="22" s="1"/>
  <c r="B20" i="22" s="1"/>
  <c r="U14" i="22"/>
  <c r="T14" i="22"/>
  <c r="S14" i="22"/>
  <c r="R14" i="22"/>
  <c r="M14" i="22"/>
  <c r="M45" i="22" s="1"/>
  <c r="J14" i="22"/>
  <c r="J45" i="22" s="1"/>
  <c r="G14" i="22"/>
  <c r="G45" i="22" s="1"/>
  <c r="L44" i="21"/>
  <c r="K44" i="21"/>
  <c r="I44" i="21"/>
  <c r="H44" i="21"/>
  <c r="F44" i="21"/>
  <c r="E44" i="21"/>
  <c r="D44" i="21"/>
  <c r="S17" i="21"/>
  <c r="R17" i="21"/>
  <c r="Q17" i="21"/>
  <c r="P17" i="21"/>
  <c r="M17" i="21"/>
  <c r="J17" i="21"/>
  <c r="G17" i="21"/>
  <c r="S16" i="21"/>
  <c r="R16" i="21"/>
  <c r="Q16" i="21"/>
  <c r="P16" i="21"/>
  <c r="M16" i="21"/>
  <c r="J16" i="21"/>
  <c r="G16" i="21"/>
  <c r="S15" i="21"/>
  <c r="R15" i="21"/>
  <c r="Q15" i="21"/>
  <c r="P15" i="21"/>
  <c r="M15" i="21"/>
  <c r="J15" i="21"/>
  <c r="G15" i="21"/>
  <c r="B15" i="21"/>
  <c r="B16" i="21" s="1"/>
  <c r="B17" i="21" s="1"/>
  <c r="S14" i="21"/>
  <c r="R14" i="21"/>
  <c r="Q14" i="21"/>
  <c r="P14" i="21"/>
  <c r="M14" i="21"/>
  <c r="J14" i="21"/>
  <c r="G14" i="21"/>
  <c r="L44" i="20"/>
  <c r="K44" i="20"/>
  <c r="I44" i="20"/>
  <c r="H44" i="20"/>
  <c r="F44" i="20"/>
  <c r="E44" i="20"/>
  <c r="D44" i="20"/>
  <c r="S17" i="20"/>
  <c r="R17" i="20"/>
  <c r="Q17" i="20"/>
  <c r="P17" i="20"/>
  <c r="M17" i="20"/>
  <c r="J17" i="20"/>
  <c r="G17" i="20"/>
  <c r="S16" i="20"/>
  <c r="R16" i="20"/>
  <c r="Q16" i="20"/>
  <c r="P16" i="20"/>
  <c r="M16" i="20"/>
  <c r="J16" i="20"/>
  <c r="G16" i="20"/>
  <c r="S15" i="20"/>
  <c r="R15" i="20"/>
  <c r="Q15" i="20"/>
  <c r="P15" i="20"/>
  <c r="M15" i="20"/>
  <c r="J15" i="20"/>
  <c r="G15" i="20"/>
  <c r="B15" i="20"/>
  <c r="B16" i="20" s="1"/>
  <c r="B17" i="20" s="1"/>
  <c r="S14" i="20"/>
  <c r="R14" i="20"/>
  <c r="Q14" i="20"/>
  <c r="P14" i="20"/>
  <c r="M14" i="20"/>
  <c r="J14" i="20"/>
  <c r="G14" i="20"/>
  <c r="O45" i="5"/>
  <c r="N45" i="5"/>
  <c r="L8" i="19"/>
  <c r="J8" i="19"/>
  <c r="F8" i="19"/>
  <c r="D8" i="19"/>
  <c r="K7" i="19"/>
  <c r="L7" i="19" s="1"/>
  <c r="F7" i="19"/>
  <c r="D7" i="19"/>
  <c r="A7" i="19"/>
  <c r="A8" i="19" s="1"/>
  <c r="L6" i="19"/>
  <c r="F6" i="19"/>
  <c r="D6" i="19"/>
  <c r="J8" i="18"/>
  <c r="L8" i="18" s="1"/>
  <c r="F8" i="18"/>
  <c r="D8" i="18"/>
  <c r="K7" i="18"/>
  <c r="L7" i="18" s="1"/>
  <c r="F7" i="18"/>
  <c r="D7" i="18"/>
  <c r="A7" i="18"/>
  <c r="A8" i="18" s="1"/>
  <c r="L6" i="18"/>
  <c r="F6" i="18"/>
  <c r="D6" i="18"/>
  <c r="G44" i="21" l="1"/>
  <c r="O44" i="21"/>
  <c r="J44" i="20"/>
  <c r="G44" i="20"/>
  <c r="Q15" i="22"/>
  <c r="M44" i="21"/>
  <c r="J44" i="21"/>
  <c r="M44" i="20"/>
  <c r="Q14" i="22"/>
  <c r="Q45" i="22" s="1"/>
  <c r="O44" i="20"/>
  <c r="L8" i="16" l="1"/>
  <c r="J8" i="16"/>
  <c r="F8" i="16"/>
  <c r="D8" i="16"/>
  <c r="K7" i="16"/>
  <c r="L7" i="16" s="1"/>
  <c r="F7" i="16"/>
  <c r="D7" i="16"/>
  <c r="A7" i="16"/>
  <c r="A8" i="16" s="1"/>
  <c r="L6" i="16"/>
  <c r="F6" i="16"/>
  <c r="D6" i="16"/>
  <c r="J8" i="15"/>
  <c r="L8" i="15" s="1"/>
  <c r="F8" i="15"/>
  <c r="D8" i="15"/>
  <c r="K7" i="15"/>
  <c r="L7" i="15" s="1"/>
  <c r="F7" i="15"/>
  <c r="D7" i="15"/>
  <c r="A7" i="15"/>
  <c r="A8" i="15" s="1"/>
  <c r="L6" i="15"/>
  <c r="F6" i="15"/>
  <c r="D6" i="15"/>
  <c r="J8" i="14"/>
  <c r="L8" i="14" s="1"/>
  <c r="F8" i="14"/>
  <c r="D8" i="14"/>
  <c r="L7" i="14"/>
  <c r="K7" i="14"/>
  <c r="F7" i="14"/>
  <c r="D7" i="14"/>
  <c r="A7" i="14"/>
  <c r="A8" i="14" s="1"/>
  <c r="L6" i="14"/>
  <c r="F6" i="14"/>
  <c r="D6" i="14"/>
  <c r="G16" i="13"/>
  <c r="F16" i="13"/>
  <c r="P14" i="13"/>
  <c r="O14" i="13"/>
  <c r="N14" i="13"/>
  <c r="M14" i="13"/>
  <c r="H14" i="13"/>
  <c r="E14" i="13"/>
  <c r="D14" i="13"/>
  <c r="C14" i="13"/>
  <c r="P13" i="13"/>
  <c r="O13" i="13"/>
  <c r="N13" i="13"/>
  <c r="M13" i="13"/>
  <c r="H13" i="13"/>
  <c r="I13" i="13" s="1"/>
  <c r="E13" i="13"/>
  <c r="D13" i="13"/>
  <c r="C13" i="13"/>
  <c r="A13" i="13"/>
  <c r="A14" i="13" s="1"/>
  <c r="P12" i="13"/>
  <c r="O12" i="13"/>
  <c r="N12" i="13"/>
  <c r="M12" i="13"/>
  <c r="H12" i="13"/>
  <c r="H16" i="13" s="1"/>
  <c r="E12" i="13"/>
  <c r="D12" i="13"/>
  <c r="C12" i="13"/>
  <c r="J8" i="12"/>
  <c r="L8" i="12" s="1"/>
  <c r="F8" i="12"/>
  <c r="D8" i="12"/>
  <c r="K7" i="12"/>
  <c r="L7" i="12" s="1"/>
  <c r="F7" i="12"/>
  <c r="D7" i="12"/>
  <c r="A7" i="12"/>
  <c r="A8" i="12" s="1"/>
  <c r="L6" i="12"/>
  <c r="F6" i="12"/>
  <c r="D6" i="12"/>
  <c r="L8" i="11"/>
  <c r="L6" i="11"/>
  <c r="J8" i="11"/>
  <c r="K7" i="11"/>
  <c r="L7" i="11" s="1"/>
  <c r="F8" i="11"/>
  <c r="F7" i="11"/>
  <c r="F6" i="11"/>
  <c r="D8" i="11"/>
  <c r="D7" i="11"/>
  <c r="A7" i="11"/>
  <c r="A8" i="11" s="1"/>
  <c r="D6" i="11"/>
  <c r="I45" i="5"/>
  <c r="H45" i="5"/>
  <c r="F45" i="5"/>
  <c r="L45" i="5"/>
  <c r="K45" i="5"/>
  <c r="M17" i="5"/>
  <c r="M16" i="5"/>
  <c r="M15" i="5"/>
  <c r="M14" i="5"/>
  <c r="J17" i="5"/>
  <c r="J16" i="5"/>
  <c r="J15" i="5"/>
  <c r="J14" i="5"/>
  <c r="G17" i="5"/>
  <c r="G16" i="5"/>
  <c r="G15" i="5"/>
  <c r="G14" i="5"/>
  <c r="H18" i="8"/>
  <c r="G18" i="8"/>
  <c r="Q16" i="8"/>
  <c r="P16" i="8"/>
  <c r="O16" i="8"/>
  <c r="N16" i="8"/>
  <c r="I16" i="8"/>
  <c r="J16" i="8" s="1"/>
  <c r="F16" i="8"/>
  <c r="E16" i="8"/>
  <c r="D16" i="8"/>
  <c r="Q15" i="8"/>
  <c r="P15" i="8"/>
  <c r="O15" i="8"/>
  <c r="N15" i="8"/>
  <c r="I15" i="8"/>
  <c r="J15" i="8" s="1"/>
  <c r="F15" i="8"/>
  <c r="E15" i="8"/>
  <c r="D15" i="8"/>
  <c r="A15" i="8"/>
  <c r="A16" i="8" s="1"/>
  <c r="Q14" i="8"/>
  <c r="P14" i="8"/>
  <c r="O14" i="8"/>
  <c r="N14" i="8"/>
  <c r="I14" i="8"/>
  <c r="F14" i="8"/>
  <c r="E14" i="8"/>
  <c r="D14" i="8"/>
  <c r="K124" i="2"/>
  <c r="K125" i="2"/>
  <c r="K126" i="2"/>
  <c r="K127" i="2"/>
  <c r="K128" i="2"/>
  <c r="K129" i="2"/>
  <c r="K130" i="2"/>
  <c r="K131" i="2"/>
  <c r="K132" i="2"/>
  <c r="K133" i="2"/>
  <c r="K134" i="2"/>
  <c r="K135" i="2"/>
  <c r="K136" i="2"/>
  <c r="K137" i="2"/>
  <c r="J45" i="5" l="1"/>
  <c r="G45" i="5"/>
  <c r="M45" i="5"/>
  <c r="I18" i="8"/>
  <c r="I14" i="13"/>
  <c r="I12" i="13"/>
  <c r="J14" i="8"/>
  <c r="J18" i="8" s="1"/>
  <c r="I16" i="13" l="1"/>
  <c r="Q15" i="4" l="1"/>
  <c r="Q16" i="4"/>
  <c r="Q14" i="4"/>
  <c r="U15" i="5"/>
  <c r="U16" i="5"/>
  <c r="U17" i="5"/>
  <c r="U14" i="5"/>
  <c r="E13" i="6" l="1"/>
  <c r="E14" i="6"/>
  <c r="E12" i="6"/>
  <c r="S15" i="5"/>
  <c r="T15" i="5"/>
  <c r="S16" i="5"/>
  <c r="T16" i="5"/>
  <c r="S17" i="5"/>
  <c r="T17" i="5"/>
  <c r="T14" i="5"/>
  <c r="S14" i="5"/>
  <c r="D14" i="4"/>
  <c r="E13" i="7" l="1"/>
  <c r="E27" i="7"/>
  <c r="E16" i="7"/>
  <c r="E11" i="6" l="1"/>
  <c r="E10" i="6"/>
  <c r="D14" i="6"/>
  <c r="D13" i="6"/>
  <c r="D12" i="6"/>
  <c r="D11" i="6"/>
  <c r="D10" i="6"/>
  <c r="C14" i="6"/>
  <c r="C13" i="6"/>
  <c r="C12" i="6"/>
  <c r="C11" i="6"/>
  <c r="C10" i="6"/>
  <c r="A11" i="6"/>
  <c r="A12" i="6" s="1"/>
  <c r="A13" i="6" s="1"/>
  <c r="A14" i="6" s="1"/>
  <c r="R17" i="5"/>
  <c r="R16" i="5"/>
  <c r="R15" i="5"/>
  <c r="R14" i="5"/>
  <c r="B15" i="5"/>
  <c r="B16" i="5" s="1"/>
  <c r="B17" i="5" s="1"/>
  <c r="B18" i="5" s="1"/>
  <c r="B19" i="5" s="1"/>
  <c r="B20" i="5" s="1"/>
  <c r="E45" i="5"/>
  <c r="D45" i="5"/>
  <c r="F16" i="4"/>
  <c r="F15" i="4"/>
  <c r="F14" i="4"/>
  <c r="K14" i="4" s="1"/>
  <c r="E16" i="4"/>
  <c r="E15" i="4"/>
  <c r="E14" i="4"/>
  <c r="D16" i="4"/>
  <c r="D15" i="4"/>
  <c r="H18" i="4"/>
  <c r="G18" i="4"/>
  <c r="P16" i="4"/>
  <c r="O16" i="4"/>
  <c r="N16" i="4"/>
  <c r="I16" i="4"/>
  <c r="J16" i="4" s="1"/>
  <c r="P15" i="4"/>
  <c r="O15" i="4"/>
  <c r="N15" i="4"/>
  <c r="I15" i="4"/>
  <c r="J15" i="4" s="1"/>
  <c r="A15" i="4"/>
  <c r="P14" i="4"/>
  <c r="O14" i="4"/>
  <c r="N14" i="4"/>
  <c r="I14" i="4"/>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2" i="2"/>
  <c r="K15" i="4" l="1"/>
  <c r="L15" i="4" s="1"/>
  <c r="J14" i="13"/>
  <c r="K14" i="13" s="1"/>
  <c r="L14" i="13" s="1"/>
  <c r="K16" i="8"/>
  <c r="L16" i="8" s="1"/>
  <c r="M16" i="8" s="1"/>
  <c r="K16" i="4"/>
  <c r="L16" i="4" s="1"/>
  <c r="K14" i="8"/>
  <c r="L14" i="8" s="1"/>
  <c r="J12" i="13"/>
  <c r="K12" i="13" s="1"/>
  <c r="J13" i="13"/>
  <c r="K13" i="13" s="1"/>
  <c r="L13" i="13" s="1"/>
  <c r="K15" i="8"/>
  <c r="L15" i="8" s="1"/>
  <c r="M15" i="8" s="1"/>
  <c r="I18" i="4"/>
  <c r="A16" i="4"/>
  <c r="J14" i="4"/>
  <c r="L18" i="8" l="1"/>
  <c r="M14" i="8"/>
  <c r="M18" i="8" s="1"/>
  <c r="K16" i="13"/>
  <c r="L12" i="13"/>
  <c r="L16" i="13" s="1"/>
  <c r="L14" i="4"/>
  <c r="Q45" i="5"/>
  <c r="M15" i="4"/>
  <c r="J18" i="4"/>
  <c r="M16" i="4"/>
  <c r="L18" i="4" l="1"/>
  <c r="M14" i="4"/>
  <c r="M18" i="4" s="1"/>
</calcChain>
</file>

<file path=xl/sharedStrings.xml><?xml version="1.0" encoding="utf-8"?>
<sst xmlns="http://schemas.openxmlformats.org/spreadsheetml/2006/main" count="2248" uniqueCount="1059">
  <si>
    <t>no</t>
  </si>
  <si>
    <t>nama</t>
  </si>
  <si>
    <t>nip</t>
  </si>
  <si>
    <t>nik</t>
  </si>
  <si>
    <t>npwp</t>
  </si>
  <si>
    <t>gol. ruang</t>
  </si>
  <si>
    <t>status</t>
  </si>
  <si>
    <t>nama rek</t>
  </si>
  <si>
    <t>no rek</t>
  </si>
  <si>
    <t>Bank</t>
  </si>
  <si>
    <t>Achmadi</t>
  </si>
  <si>
    <t>196806271989031004</t>
  </si>
  <si>
    <t>3201132706680005</t>
  </si>
  <si>
    <t>774280168403000</t>
  </si>
  <si>
    <t>PNS</t>
  </si>
  <si>
    <t>ACHMADI</t>
  </si>
  <si>
    <t>0008226918</t>
  </si>
  <si>
    <t>BNI</t>
  </si>
  <si>
    <t>Adhy Purnama</t>
  </si>
  <si>
    <t>198104182010121002</t>
  </si>
  <si>
    <t>3603231804810007</t>
  </si>
  <si>
    <t>594386401426000</t>
  </si>
  <si>
    <t>ADHY PURNAMA, SE</t>
  </si>
  <si>
    <t>0018125748</t>
  </si>
  <si>
    <t>Afrida Anis</t>
  </si>
  <si>
    <t>197002051994032002</t>
  </si>
  <si>
    <t>3276054502700012</t>
  </si>
  <si>
    <t>699452207412000</t>
  </si>
  <si>
    <t>AFRIDA ANIS</t>
  </si>
  <si>
    <t>0008202034</t>
  </si>
  <si>
    <t>Agung Permana N</t>
  </si>
  <si>
    <t>198308022015041001</t>
  </si>
  <si>
    <t>3273230208830004</t>
  </si>
  <si>
    <t>722549797429000</t>
  </si>
  <si>
    <t>AGUNG PERMANA NURRACHMAN</t>
  </si>
  <si>
    <t>0397880661</t>
  </si>
  <si>
    <t>Agus Muhammad Ali</t>
  </si>
  <si>
    <t>197610072008121001</t>
  </si>
  <si>
    <t>3671010710760008</t>
  </si>
  <si>
    <t>253128854416000</t>
  </si>
  <si>
    <t>0273029029</t>
  </si>
  <si>
    <t>Ahmad Mustaadi</t>
  </si>
  <si>
    <t>196605181989021002</t>
  </si>
  <si>
    <t>3275051805660003</t>
  </si>
  <si>
    <t>688766625432000</t>
  </si>
  <si>
    <t>0293668029</t>
  </si>
  <si>
    <t>-</t>
  </si>
  <si>
    <t>Non PNS</t>
  </si>
  <si>
    <t xml:space="preserve">BPK ACHMAD SYAEFULLAH 
</t>
  </si>
  <si>
    <t>1043454118</t>
  </si>
  <si>
    <t>Alfikri Mirza Rosadi</t>
  </si>
  <si>
    <t>198902202015041001</t>
  </si>
  <si>
    <t>1376012002890003</t>
  </si>
  <si>
    <t>664170735204000</t>
  </si>
  <si>
    <t>ALFIKRI MIRZA ROSADI</t>
  </si>
  <si>
    <t>0397562977</t>
  </si>
  <si>
    <t>Asri Fika Agusti</t>
  </si>
  <si>
    <t>198708192009122006</t>
  </si>
  <si>
    <t>1372015908870021</t>
  </si>
  <si>
    <t>Ibu ASRI FIKA AGUSTI</t>
  </si>
  <si>
    <t>0298112103</t>
  </si>
  <si>
    <t>Damayanti</t>
  </si>
  <si>
    <t>196505291987032001</t>
  </si>
  <si>
    <t>3175066905650003</t>
  </si>
  <si>
    <t>688766682006000</t>
  </si>
  <si>
    <t>DAMAYANTI</t>
  </si>
  <si>
    <t>0008493815</t>
  </si>
  <si>
    <t>Dhita Widya Putri</t>
  </si>
  <si>
    <t>198804082019032016</t>
  </si>
  <si>
    <t>3271064804880002</t>
  </si>
  <si>
    <t>352690937404000</t>
  </si>
  <si>
    <t>Sdri DHITA WIDYA PUTRI</t>
  </si>
  <si>
    <t>0160555506</t>
  </si>
  <si>
    <t>Dian Rusdiana</t>
  </si>
  <si>
    <t>197610142005012001</t>
  </si>
  <si>
    <t>DIAN RUSDIANA, SPD</t>
  </si>
  <si>
    <t>0067421091</t>
  </si>
  <si>
    <t>Elih Ermawati</t>
  </si>
  <si>
    <t>198609152009122006</t>
  </si>
  <si>
    <t>3275085508860013</t>
  </si>
  <si>
    <t>697161602432000</t>
  </si>
  <si>
    <t>ELIH ERMAWATI</t>
  </si>
  <si>
    <t>0197302653</t>
  </si>
  <si>
    <t>Endang Sutisna</t>
  </si>
  <si>
    <t>197406292005011001</t>
  </si>
  <si>
    <t>3276022906740008</t>
  </si>
  <si>
    <t>688754233412000</t>
  </si>
  <si>
    <t>ENDANG SUTISNA</t>
  </si>
  <si>
    <t>0114764956</t>
  </si>
  <si>
    <t>Felizia Novi Kristanti</t>
  </si>
  <si>
    <t>199211192020122011</t>
  </si>
  <si>
    <t>928201151656000</t>
  </si>
  <si>
    <t>Sdri FELIZIA NOVI KRISTANTI</t>
  </si>
  <si>
    <t>1174723604</t>
  </si>
  <si>
    <t>Finda Tyas Alfianti</t>
  </si>
  <si>
    <t>199608302019032012</t>
  </si>
  <si>
    <t>3372047008960004</t>
  </si>
  <si>
    <t>Sdri FINDA TYAS ALFIANTI</t>
  </si>
  <si>
    <t>0824967255</t>
  </si>
  <si>
    <t>Fiqih Hidayah</t>
  </si>
  <si>
    <t>199206142015041002</t>
  </si>
  <si>
    <t>3175031406920005</t>
  </si>
  <si>
    <t>737981464432000</t>
  </si>
  <si>
    <t>FIQIH HIDAYAH</t>
  </si>
  <si>
    <t>0397559771</t>
  </si>
  <si>
    <t>Fita Pervita Sari</t>
  </si>
  <si>
    <t>199103122019032021</t>
  </si>
  <si>
    <t>3322075203910001</t>
  </si>
  <si>
    <t>IbU FITA PERVITA SARI</t>
  </si>
  <si>
    <t>0827549789</t>
  </si>
  <si>
    <t>Herlina</t>
  </si>
  <si>
    <t>197004171992032002</t>
  </si>
  <si>
    <t>3175045704700003</t>
  </si>
  <si>
    <t>688766690005000</t>
  </si>
  <si>
    <t>HERLINA</t>
  </si>
  <si>
    <t>0307865253</t>
  </si>
  <si>
    <t>Hidayat</t>
  </si>
  <si>
    <t>198608012015041003</t>
  </si>
  <si>
    <t>3175090108860009</t>
  </si>
  <si>
    <t>678348889009000</t>
  </si>
  <si>
    <t>HIDAYAT</t>
  </si>
  <si>
    <t>0397801225</t>
  </si>
  <si>
    <t>Ibnu Syarif</t>
  </si>
  <si>
    <t>196411271987031002</t>
  </si>
  <si>
    <t>3171052711640001</t>
  </si>
  <si>
    <t>688766328024000</t>
  </si>
  <si>
    <t>IBNU SYARIF</t>
  </si>
  <si>
    <t>0008226872</t>
  </si>
  <si>
    <t>Ikhsan Riyanda</t>
  </si>
  <si>
    <t>198303202010121003</t>
  </si>
  <si>
    <t>3275032003830018</t>
  </si>
  <si>
    <t>263956575412000</t>
  </si>
  <si>
    <t>IKHSAN RIYANDA, SE</t>
  </si>
  <si>
    <t>0221957526</t>
  </si>
  <si>
    <t>Ina Agustiani</t>
  </si>
  <si>
    <t>199008102019032015</t>
  </si>
  <si>
    <t>3175105008900004</t>
  </si>
  <si>
    <t>Sdri INA AGUSTIANI</t>
  </si>
  <si>
    <t>0346345487</t>
  </si>
  <si>
    <t>Irmi Asnita</t>
  </si>
  <si>
    <t>196807171987032001</t>
  </si>
  <si>
    <t>3201015707680005</t>
  </si>
  <si>
    <t>688766666403000</t>
  </si>
  <si>
    <t>IRMI ASNITA</t>
  </si>
  <si>
    <t>0008226838</t>
  </si>
  <si>
    <t>Lukman Hakim</t>
  </si>
  <si>
    <t>3275090609800012</t>
  </si>
  <si>
    <t>253119184071000</t>
  </si>
  <si>
    <t>LUKMAN HAKIM, S.AK</t>
  </si>
  <si>
    <t>0172361108</t>
  </si>
  <si>
    <t>Minarti Sukmajati</t>
  </si>
  <si>
    <t>3175106906960007</t>
  </si>
  <si>
    <t>841562184009000</t>
  </si>
  <si>
    <t xml:space="preserve">SDRI MINARTI SUKMAJATI 
</t>
  </si>
  <si>
    <t>0420269282</t>
  </si>
  <si>
    <t>Mulhadi HM</t>
  </si>
  <si>
    <t>199204072015041001</t>
  </si>
  <si>
    <t>7308160704920001</t>
  </si>
  <si>
    <t>737792366005000</t>
  </si>
  <si>
    <t>MULHADI HM</t>
  </si>
  <si>
    <t>0361657840</t>
  </si>
  <si>
    <t>Norsanty</t>
  </si>
  <si>
    <t>196411031992032001</t>
  </si>
  <si>
    <t>3276054311640005</t>
  </si>
  <si>
    <t>686766484412000</t>
  </si>
  <si>
    <t>0436554114</t>
  </si>
  <si>
    <t>Noviyanto</t>
  </si>
  <si>
    <t>198111262008121001</t>
  </si>
  <si>
    <t>3275112611810004</t>
  </si>
  <si>
    <t>253270904432000</t>
  </si>
  <si>
    <t>NOVIYANTO</t>
  </si>
  <si>
    <t>0172856645</t>
  </si>
  <si>
    <t>Nur Fadillah</t>
  </si>
  <si>
    <t>3275045903860013</t>
  </si>
  <si>
    <t>348345349432000</t>
  </si>
  <si>
    <t>NUR FADILAH</t>
  </si>
  <si>
    <t>0197301149</t>
  </si>
  <si>
    <t>Nurul Amalia Putri</t>
  </si>
  <si>
    <t>3275085512960003</t>
  </si>
  <si>
    <t>866477516447000</t>
  </si>
  <si>
    <t xml:space="preserve">SDRI NURUL AMALIA PUTRI 
</t>
  </si>
  <si>
    <t>0791876430</t>
  </si>
  <si>
    <t>Nurul Fajri</t>
  </si>
  <si>
    <t>199409272019032028</t>
  </si>
  <si>
    <t>3275116709940006</t>
  </si>
  <si>
    <t>NURUL FAJRI</t>
  </si>
  <si>
    <t>0824967197</t>
  </si>
  <si>
    <t>Paristiyanti Nurwardani</t>
  </si>
  <si>
    <t>196305071990022001</t>
  </si>
  <si>
    <t>3203014705630016</t>
  </si>
  <si>
    <t>259754364406000</t>
  </si>
  <si>
    <t>1330097022735</t>
  </si>
  <si>
    <t>Mandiri</t>
  </si>
  <si>
    <t>Prayitno</t>
  </si>
  <si>
    <t>3174082203800005</t>
  </si>
  <si>
    <t>695075515061000</t>
  </si>
  <si>
    <t>Bpk Prayitno</t>
  </si>
  <si>
    <t>0688730614</t>
  </si>
  <si>
    <t>Prita Ekasari</t>
  </si>
  <si>
    <t>198410142009122008</t>
  </si>
  <si>
    <t>3275035410840016</t>
  </si>
  <si>
    <t>599515301407000</t>
  </si>
  <si>
    <t>PRITA EKASARI</t>
  </si>
  <si>
    <t>0197304242</t>
  </si>
  <si>
    <t>Putri Romi Eka Cikitha</t>
  </si>
  <si>
    <t>3175104206980003</t>
  </si>
  <si>
    <t>411372519447000</t>
  </si>
  <si>
    <t xml:space="preserve">SDRI PUTRI ROMI EKA CIKITHA 
</t>
  </si>
  <si>
    <t>0899712083</t>
  </si>
  <si>
    <t>Raafita Agustiana</t>
  </si>
  <si>
    <t>198508282010122004</t>
  </si>
  <si>
    <t>3578036808850002</t>
  </si>
  <si>
    <t>255713943615000</t>
  </si>
  <si>
    <t>RAAFITA AGUSTIANA</t>
  </si>
  <si>
    <t>0220706377</t>
  </si>
  <si>
    <t>Ririh Diyah Pratista</t>
  </si>
  <si>
    <t>909024275542000</t>
  </si>
  <si>
    <t>Sdri RIRIH DIYAH PRATISTA</t>
  </si>
  <si>
    <t>0824967211</t>
  </si>
  <si>
    <t>Risma Testir</t>
  </si>
  <si>
    <t>1246321236910331</t>
  </si>
  <si>
    <t>912875820203000</t>
  </si>
  <si>
    <t>RISMA TESTIR</t>
  </si>
  <si>
    <t>0824967233</t>
  </si>
  <si>
    <t>Sarmedi</t>
  </si>
  <si>
    <t>3173012602790005</t>
  </si>
  <si>
    <t>722755436034000</t>
  </si>
  <si>
    <t>SARMEDI</t>
  </si>
  <si>
    <t>0488466215</t>
  </si>
  <si>
    <t>Sigit Nugroho</t>
  </si>
  <si>
    <t>3175062607960004</t>
  </si>
  <si>
    <t>865743249004000</t>
  </si>
  <si>
    <t xml:space="preserve">SDR SIGIT NUGROHO 
</t>
  </si>
  <si>
    <t>0770053567</t>
  </si>
  <si>
    <t>Siswadi</t>
  </si>
  <si>
    <t>196409151994121001</t>
  </si>
  <si>
    <t>3175071509640011</t>
  </si>
  <si>
    <t>688766252008000</t>
  </si>
  <si>
    <t>SISWADI</t>
  </si>
  <si>
    <t>0008598750</t>
  </si>
  <si>
    <t>Siswanto</t>
  </si>
  <si>
    <t>196701181992031003</t>
  </si>
  <si>
    <t>3275111801670001</t>
  </si>
  <si>
    <t>092521178407000</t>
  </si>
  <si>
    <t>SISWANTO</t>
  </si>
  <si>
    <t>0214922525</t>
  </si>
  <si>
    <t>Siti Sulastri</t>
  </si>
  <si>
    <t>196407041988032001</t>
  </si>
  <si>
    <t>3275124407640001</t>
  </si>
  <si>
    <t>688766476432000</t>
  </si>
  <si>
    <t>SITI SULASTRI</t>
  </si>
  <si>
    <t>0008491636</t>
  </si>
  <si>
    <t>Sri Mastuti</t>
  </si>
  <si>
    <t>196305161989022001</t>
  </si>
  <si>
    <t>3276105605630002</t>
  </si>
  <si>
    <t>688754316072000</t>
  </si>
  <si>
    <t>SRI MASTUTI, SKOM</t>
  </si>
  <si>
    <t>0008484517</t>
  </si>
  <si>
    <t>Sukiyana</t>
  </si>
  <si>
    <t>196812081989021001</t>
  </si>
  <si>
    <t>3175080126800011</t>
  </si>
  <si>
    <t>688766344005000</t>
  </si>
  <si>
    <t>SUKIYANA</t>
  </si>
  <si>
    <t>0008226769</t>
  </si>
  <si>
    <t>Suparman</t>
  </si>
  <si>
    <t>196705191987031006</t>
  </si>
  <si>
    <t>3175061905670001</t>
  </si>
  <si>
    <t>755960788004000</t>
  </si>
  <si>
    <t>SUPARMAN</t>
  </si>
  <si>
    <t>0008226985</t>
  </si>
  <si>
    <t>Suratmi</t>
  </si>
  <si>
    <t>196809101986112001</t>
  </si>
  <si>
    <t>3276105009680001</t>
  </si>
  <si>
    <t>688718410412000</t>
  </si>
  <si>
    <t>SURATMI</t>
  </si>
  <si>
    <t>0201697456</t>
  </si>
  <si>
    <t>Syarifudin</t>
  </si>
  <si>
    <t>196706061988031004</t>
  </si>
  <si>
    <t>3173010606700018</t>
  </si>
  <si>
    <t>688766534034000</t>
  </si>
  <si>
    <t>SYARIFUDIN, S.SOS</t>
  </si>
  <si>
    <t>0008226929</t>
  </si>
  <si>
    <t>Taufan Setyo Pranggono</t>
  </si>
  <si>
    <t>198303162010121006</t>
  </si>
  <si>
    <t>3275051603830019</t>
  </si>
  <si>
    <t>367289113432000</t>
  </si>
  <si>
    <t>TAUFAN SETYO PRANGGONO, S.KOM</t>
  </si>
  <si>
    <t>0221963721</t>
  </si>
  <si>
    <t>Taufiq Alamsyah</t>
  </si>
  <si>
    <t>196507121988101001</t>
  </si>
  <si>
    <t>3201021207650008</t>
  </si>
  <si>
    <t>688766278403000</t>
  </si>
  <si>
    <t>TAUFIQ ALAMSYAH, SH</t>
  </si>
  <si>
    <t>0008599038</t>
  </si>
  <si>
    <t>Titah Widihastuti</t>
  </si>
  <si>
    <t>198312302010122003</t>
  </si>
  <si>
    <t>3175107012830004</t>
  </si>
  <si>
    <t>678780578009000</t>
  </si>
  <si>
    <t>TITAH WIDIHASTUTI</t>
  </si>
  <si>
    <t>0218584998</t>
  </si>
  <si>
    <t>Tri Munanto</t>
  </si>
  <si>
    <t>198601212010121003</t>
  </si>
  <si>
    <t>3174102101860003</t>
  </si>
  <si>
    <t>248877086013000</t>
  </si>
  <si>
    <t>TRI MUNANTO</t>
  </si>
  <si>
    <t>0146384615</t>
  </si>
  <si>
    <t>Welfird Phodra Sipahutar</t>
  </si>
  <si>
    <t>199506162019031003</t>
  </si>
  <si>
    <t>1276021606950001</t>
  </si>
  <si>
    <t>Sdr WELFRID PHEDRA SIPAHUTAR</t>
  </si>
  <si>
    <t>0824967186</t>
  </si>
  <si>
    <t>Wiji Murdoko</t>
  </si>
  <si>
    <t>3519153010860001</t>
  </si>
  <si>
    <t>545306680621000</t>
  </si>
  <si>
    <t>Bpk WIJI MURDOKO</t>
  </si>
  <si>
    <t>0566632742</t>
  </si>
  <si>
    <t>Wilhelmus Jeremy</t>
  </si>
  <si>
    <t>3275030308980013</t>
  </si>
  <si>
    <t>410455828043000</t>
  </si>
  <si>
    <t xml:space="preserve">WILHELMUS JEREMY GOENAWAN 
</t>
  </si>
  <si>
    <t>1154150500</t>
  </si>
  <si>
    <t>Yan Medya Putri</t>
  </si>
  <si>
    <t>197101162005012001</t>
  </si>
  <si>
    <t>3275095601710002</t>
  </si>
  <si>
    <t>594025884432000</t>
  </si>
  <si>
    <t>YAN MEDYA PUTRI, SE</t>
  </si>
  <si>
    <t>0234941689</t>
  </si>
  <si>
    <t>Yeni Handayani</t>
  </si>
  <si>
    <t>198404022015042002</t>
  </si>
  <si>
    <t>3175014204840007</t>
  </si>
  <si>
    <t>472793371001000</t>
  </si>
  <si>
    <t>YENI HANDAYANI</t>
  </si>
  <si>
    <t>0397534031</t>
  </si>
  <si>
    <t>Yudha Satria</t>
  </si>
  <si>
    <t>199207042019031013</t>
  </si>
  <si>
    <t>1371030407920004</t>
  </si>
  <si>
    <t>Sdr YUDHA SATRIA</t>
  </si>
  <si>
    <t>0824967200</t>
  </si>
  <si>
    <t>Yulianti AS</t>
  </si>
  <si>
    <t>196507041987032001</t>
  </si>
  <si>
    <t>3175094407650003</t>
  </si>
  <si>
    <t>184018083009000</t>
  </si>
  <si>
    <t>IBU YULIANTI IRIAWAN, SE</t>
  </si>
  <si>
    <t>0008599050</t>
  </si>
  <si>
    <t>Prof. Dr. E.S. Margianti, S.E., M.M.</t>
  </si>
  <si>
    <t>3276024305540010</t>
  </si>
  <si>
    <t>055741540412001</t>
  </si>
  <si>
    <t>EKO SRI MARGIANTI</t>
  </si>
  <si>
    <t>50220016237</t>
  </si>
  <si>
    <t>DKI</t>
  </si>
  <si>
    <t>Muhamad Hasan</t>
  </si>
  <si>
    <t>3216020806950006</t>
  </si>
  <si>
    <t>SDR MUHAMAD HASAN</t>
  </si>
  <si>
    <t>0350311530</t>
  </si>
  <si>
    <t>Indra Chaidir</t>
  </si>
  <si>
    <t>3175042405780003</t>
  </si>
  <si>
    <t>498436708005000</t>
  </si>
  <si>
    <t>458883370</t>
  </si>
  <si>
    <t>Prof. Dr. Ing. Adang Suhendra, S.Si., S.Kom., M.Sc</t>
  </si>
  <si>
    <t>3276021203690020</t>
  </si>
  <si>
    <t>473735066407000</t>
  </si>
  <si>
    <t>DR ING ADANG SUHENDRA</t>
  </si>
  <si>
    <t>50220009834</t>
  </si>
  <si>
    <t>Purba Purnama</t>
  </si>
  <si>
    <t>3277031006820010</t>
  </si>
  <si>
    <t>481536605421000</t>
  </si>
  <si>
    <t>1250170922</t>
  </si>
  <si>
    <t>Ivan Chen</t>
  </si>
  <si>
    <t>3372032704810001</t>
  </si>
  <si>
    <t>776167827526000</t>
  </si>
  <si>
    <t>0152527771</t>
  </si>
  <si>
    <t>BCA</t>
  </si>
  <si>
    <t>Hisar Sirait</t>
  </si>
  <si>
    <t>3276031107650010</t>
  </si>
  <si>
    <t>575705710412000</t>
  </si>
  <si>
    <t>0091424604</t>
  </si>
  <si>
    <t>Lidia Sandra</t>
  </si>
  <si>
    <t>5103054507750000</t>
  </si>
  <si>
    <t>798418091905000</t>
  </si>
  <si>
    <t>1461559617</t>
  </si>
  <si>
    <t>Rahmat Nurcahyo</t>
  </si>
  <si>
    <t>3171010206690000</t>
  </si>
  <si>
    <t>249277948013000</t>
  </si>
  <si>
    <t>0006651650</t>
  </si>
  <si>
    <t>Setia Abikusna</t>
  </si>
  <si>
    <t>3201021608720000</t>
  </si>
  <si>
    <t>573986015403000</t>
  </si>
  <si>
    <t>1185415609</t>
  </si>
  <si>
    <t>Tonny Defriyana TS</t>
  </si>
  <si>
    <t>1371092812840002</t>
  </si>
  <si>
    <t>14821194920100</t>
  </si>
  <si>
    <t>1030006183970</t>
  </si>
  <si>
    <t>Sutresna Wati</t>
  </si>
  <si>
    <t>696020676432000</t>
  </si>
  <si>
    <t>0417595642</t>
  </si>
  <si>
    <t>N.P Adhitya W</t>
  </si>
  <si>
    <t>3175100610930002</t>
  </si>
  <si>
    <t>748720943009000</t>
  </si>
  <si>
    <t>1670061019930</t>
  </si>
  <si>
    <t>Dr. Dra. Erna Ermawati Chotim, M.Si.</t>
  </si>
  <si>
    <t>3271067009670010</t>
  </si>
  <si>
    <t>092358217404000</t>
  </si>
  <si>
    <t>Erna Ermawati Chotim</t>
  </si>
  <si>
    <t>80101001993501</t>
  </si>
  <si>
    <t>BRI</t>
  </si>
  <si>
    <t>Sasmito Budi Utomo, Ssi. Mti</t>
  </si>
  <si>
    <t>3317206510760000</t>
  </si>
  <si>
    <t>470340431043000</t>
  </si>
  <si>
    <t>Bpk Sasmito Budi Utomo</t>
  </si>
  <si>
    <t>0400585620</t>
  </si>
  <si>
    <t>Ir. Desiana Vidayanti, MT</t>
  </si>
  <si>
    <t>3173085612680000</t>
  </si>
  <si>
    <t>574395380086000</t>
  </si>
  <si>
    <t>Desiana Vidayanti</t>
  </si>
  <si>
    <t>1262853237</t>
  </si>
  <si>
    <t>Dr. Ir. Dwita Suastiyanti, M.Si</t>
  </si>
  <si>
    <t>3674065609650010</t>
  </si>
  <si>
    <t>684706559411000</t>
  </si>
  <si>
    <t>Dwita Suastiyanti</t>
  </si>
  <si>
    <t>004933205</t>
  </si>
  <si>
    <t>Dr. Ifan Iskandar, S.Pd., PG</t>
  </si>
  <si>
    <t>3276021405720001</t>
  </si>
  <si>
    <t>571653344412000</t>
  </si>
  <si>
    <t>Ifan Iskandar</t>
  </si>
  <si>
    <t>0012439262</t>
  </si>
  <si>
    <t>Dr. Herwina Bahar, MA</t>
  </si>
  <si>
    <t>3674046412680000</t>
  </si>
  <si>
    <t>786656157411000</t>
  </si>
  <si>
    <t>Herwina Bahar</t>
  </si>
  <si>
    <t>0272345819</t>
  </si>
  <si>
    <t>Lilis Nuraida</t>
  </si>
  <si>
    <t>3271044910620003</t>
  </si>
  <si>
    <t>70534094404001</t>
  </si>
  <si>
    <t>0376177094</t>
  </si>
  <si>
    <t>Prima Satria</t>
  </si>
  <si>
    <t>199110142022031004</t>
  </si>
  <si>
    <t>1306141410910000</t>
  </si>
  <si>
    <t>725386510202000</t>
  </si>
  <si>
    <t>Sdr PRIMA SATRIA</t>
  </si>
  <si>
    <t>0377194961</t>
  </si>
  <si>
    <t>Aprie Wellandira Suhardi</t>
  </si>
  <si>
    <t>199804052022032015</t>
  </si>
  <si>
    <t>3174074504980003</t>
  </si>
  <si>
    <t>651878373012000</t>
  </si>
  <si>
    <t>Sdri APRIE WELLANDIRA SUHARDI</t>
  </si>
  <si>
    <t>1378321653</t>
  </si>
  <si>
    <t>Maulani Yasintha</t>
  </si>
  <si>
    <t>199707092022032015</t>
  </si>
  <si>
    <t>3175104907970000</t>
  </si>
  <si>
    <t>651919276009000</t>
  </si>
  <si>
    <t>MAULANI YASINTHA</t>
  </si>
  <si>
    <t>1378321675</t>
  </si>
  <si>
    <t>Elsita Yusera</t>
  </si>
  <si>
    <t>3175075504940009</t>
  </si>
  <si>
    <t>908011430008000</t>
  </si>
  <si>
    <t>0805853772</t>
  </si>
  <si>
    <t>199911102022032004</t>
  </si>
  <si>
    <t>3175095011990004</t>
  </si>
  <si>
    <t>651879603009000</t>
  </si>
  <si>
    <t>Sdri ALMADINDA</t>
  </si>
  <si>
    <t>1378321642</t>
  </si>
  <si>
    <t>Regina Dwi Vania</t>
  </si>
  <si>
    <t>199707182022032013</t>
  </si>
  <si>
    <t>3174045807970005</t>
  </si>
  <si>
    <t>869428920017000</t>
  </si>
  <si>
    <t>REGINA DWI VANIA</t>
  </si>
  <si>
    <t>1378321686</t>
  </si>
  <si>
    <t>Virna Pradini Nazhar</t>
  </si>
  <si>
    <t>198709042022032004</t>
  </si>
  <si>
    <t>3174094409870004</t>
  </si>
  <si>
    <t>757235478017000</t>
  </si>
  <si>
    <t>VIRNA PRADINI NAZHAR</t>
  </si>
  <si>
    <t>1378321697</t>
  </si>
  <si>
    <t>Naorah Putri A</t>
  </si>
  <si>
    <t>199806032022032015</t>
  </si>
  <si>
    <t>3215034306980003</t>
  </si>
  <si>
    <t>768808131408000</t>
  </si>
  <si>
    <t>Sdri NAORAH PUTRI ANGGELIA</t>
  </si>
  <si>
    <t>1378321664</t>
  </si>
  <si>
    <t>Lisye Nurzaman</t>
  </si>
  <si>
    <t>3603176801700003</t>
  </si>
  <si>
    <t>093100444451001</t>
  </si>
  <si>
    <t>8840445870</t>
  </si>
  <si>
    <t>Kardinah Indrianna Meutia, S.Pi., MM</t>
  </si>
  <si>
    <t>718725740432000</t>
  </si>
  <si>
    <t>kardinah indriana meutia</t>
  </si>
  <si>
    <t>121101006677500</t>
  </si>
  <si>
    <t>Lily wulandari, SE</t>
  </si>
  <si>
    <t>3201024603690004</t>
  </si>
  <si>
    <t>077691814403000</t>
  </si>
  <si>
    <t>Ibu Lily Wulandari</t>
  </si>
  <si>
    <t>1284450866</t>
  </si>
  <si>
    <t>Ika Triana, S.Pd., MM.</t>
  </si>
  <si>
    <t>896158508086000</t>
  </si>
  <si>
    <t>IKA TRIANA</t>
  </si>
  <si>
    <t>5271063807</t>
  </si>
  <si>
    <t>199610292022032016</t>
  </si>
  <si>
    <t>3171076910960002</t>
  </si>
  <si>
    <t>851647347008000</t>
  </si>
  <si>
    <t>Sdri MAGHFIRA SYALENDRI ALQADRI</t>
  </si>
  <si>
    <t>1374414747</t>
  </si>
  <si>
    <t>Tantri Rinjani</t>
  </si>
  <si>
    <t>198609102010012029</t>
  </si>
  <si>
    <t>1672015009860004</t>
  </si>
  <si>
    <t>443839576309000</t>
  </si>
  <si>
    <t>Ibu Tantri Rinjani</t>
  </si>
  <si>
    <t>1596820914</t>
  </si>
  <si>
    <t>Ibu PARISTIYANTI NURWARDANI</t>
  </si>
  <si>
    <t>IV/d</t>
  </si>
  <si>
    <t>III/d</t>
  </si>
  <si>
    <t>ibu NORSANTY</t>
  </si>
  <si>
    <t>IV/a</t>
  </si>
  <si>
    <t>IV/b</t>
  </si>
  <si>
    <t>196301091994031002</t>
  </si>
  <si>
    <t>3174040901630002</t>
  </si>
  <si>
    <t>688766658017000</t>
  </si>
  <si>
    <t>BOY ALEXANDRY</t>
  </si>
  <si>
    <t>0008493247</t>
  </si>
  <si>
    <t>III/c</t>
  </si>
  <si>
    <t>Bpk AGUS MUHAMMAD ALI</t>
  </si>
  <si>
    <t>198009062008121004</t>
  </si>
  <si>
    <t>III/a</t>
  </si>
  <si>
    <t>III/b</t>
  </si>
  <si>
    <t>348432949201000</t>
  </si>
  <si>
    <t>198610302019031004</t>
  </si>
  <si>
    <t>759512965009000</t>
  </si>
  <si>
    <t>916142748201000</t>
  </si>
  <si>
    <t>095432696017000</t>
  </si>
  <si>
    <t>3512085911920001</t>
  </si>
  <si>
    <t>II/d</t>
  </si>
  <si>
    <t>198603192009122007</t>
  </si>
  <si>
    <t>II/c</t>
  </si>
  <si>
    <t>835441312432000</t>
  </si>
  <si>
    <t>912822475526000</t>
  </si>
  <si>
    <t>916246143114000</t>
  </si>
  <si>
    <t>199412132019032022</t>
  </si>
  <si>
    <t>915854608505000</t>
  </si>
  <si>
    <t>199603072019032019</t>
  </si>
  <si>
    <t>Bpk AHMAD MUSTAADI</t>
  </si>
  <si>
    <t>199507282022031010</t>
  </si>
  <si>
    <t>1271032807950006</t>
  </si>
  <si>
    <t>811142959124000</t>
  </si>
  <si>
    <t>Sdr ANTONIUS PANTUN ANDIKA MANURUNG</t>
  </si>
  <si>
    <t>1378321700</t>
  </si>
  <si>
    <t>3174095410760010</t>
  </si>
  <si>
    <t>Maghfira Syalendri Alqodri</t>
  </si>
  <si>
    <t>Almadinda</t>
  </si>
  <si>
    <t>Boy Alexandry</t>
  </si>
  <si>
    <t>Antonius Pantun Andika Manurung</t>
  </si>
  <si>
    <t>3206356503990001</t>
  </si>
  <si>
    <t>Syifa Luthfiah Fatimah</t>
  </si>
  <si>
    <t>3201022007990007</t>
  </si>
  <si>
    <t>Andika Hegar Syahbowo</t>
  </si>
  <si>
    <t>3276053009680003</t>
  </si>
  <si>
    <t>3171064110660003</t>
  </si>
  <si>
    <t>Sunarti</t>
  </si>
  <si>
    <t>Ahmad Syaefullah</t>
  </si>
  <si>
    <t>3175080911660006</t>
  </si>
  <si>
    <t>Rosidi</t>
  </si>
  <si>
    <t>3175085102840003</t>
  </si>
  <si>
    <t>Anita</t>
  </si>
  <si>
    <t>3174045312970010</t>
  </si>
  <si>
    <t>Latifah Umul Hasanah</t>
  </si>
  <si>
    <t>1601146706770004</t>
  </si>
  <si>
    <t>Nurhayati</t>
  </si>
  <si>
    <t>3201221504950006</t>
  </si>
  <si>
    <t>Narji</t>
  </si>
  <si>
    <t>3276050509700009</t>
  </si>
  <si>
    <t>Darmawan</t>
  </si>
  <si>
    <t>3201221706010013</t>
  </si>
  <si>
    <t>Wawan setiawan</t>
  </si>
  <si>
    <t>3175046603730001</t>
  </si>
  <si>
    <t>Sopiyah</t>
  </si>
  <si>
    <t>3175012508930001</t>
  </si>
  <si>
    <t>Anis Susilo</t>
  </si>
  <si>
    <t>3175011607830012</t>
  </si>
  <si>
    <t>Supri Riyadi</t>
  </si>
  <si>
    <t>3201292109900009</t>
  </si>
  <si>
    <t>Zaenal Abidin</t>
  </si>
  <si>
    <t>3275121010820004</t>
  </si>
  <si>
    <t>Imam Wahyudi</t>
  </si>
  <si>
    <t>3175080304710005</t>
  </si>
  <si>
    <t>Barokah</t>
  </si>
  <si>
    <t>3201101804820008</t>
  </si>
  <si>
    <t>Eko prasetyo</t>
  </si>
  <si>
    <t>3201051004830002</t>
  </si>
  <si>
    <t>Abdul rahman</t>
  </si>
  <si>
    <t>3209343010830001</t>
  </si>
  <si>
    <t>Endin</t>
  </si>
  <si>
    <t>3175100410840006</t>
  </si>
  <si>
    <t>Sopiyan</t>
  </si>
  <si>
    <t>3276022305710002</t>
  </si>
  <si>
    <t>Imam subardi</t>
  </si>
  <si>
    <t>3276051701860002</t>
  </si>
  <si>
    <t>Ahmad fauzi</t>
  </si>
  <si>
    <t>3175100502820012</t>
  </si>
  <si>
    <t>Anen</t>
  </si>
  <si>
    <t>3515081712750002</t>
  </si>
  <si>
    <t>Budiono</t>
  </si>
  <si>
    <t>3210132301910041</t>
  </si>
  <si>
    <t>Zezen mutaqin</t>
  </si>
  <si>
    <t>3275084900788010</t>
  </si>
  <si>
    <t>198807092015042001</t>
  </si>
  <si>
    <t>1439048798</t>
  </si>
  <si>
    <t xml:space="preserve">SDRI SYIFA LUTHFIAH FATIMAH </t>
  </si>
  <si>
    <t>1354304894</t>
  </si>
  <si>
    <t>638376723425000</t>
  </si>
  <si>
    <t>910964915435000</t>
  </si>
  <si>
    <t>0370562014</t>
  </si>
  <si>
    <t>IBU SUNARTI</t>
  </si>
  <si>
    <t>IBU NURHAYATI</t>
  </si>
  <si>
    <t>0649796355</t>
  </si>
  <si>
    <t>0649840454</t>
  </si>
  <si>
    <t>0649714791</t>
  </si>
  <si>
    <t>0482123320</t>
  </si>
  <si>
    <t>0433409136</t>
  </si>
  <si>
    <t>0649708131</t>
  </si>
  <si>
    <t>0649802236</t>
  </si>
  <si>
    <t>0649919539</t>
  </si>
  <si>
    <t>0481955940</t>
  </si>
  <si>
    <t>0649919540</t>
  </si>
  <si>
    <t>ROSIDI</t>
  </si>
  <si>
    <t>BAROKAH</t>
  </si>
  <si>
    <t>ABDUL RAHMAN</t>
  </si>
  <si>
    <t>BPK AHMAD FAUZI</t>
  </si>
  <si>
    <t>BPK ANEN</t>
  </si>
  <si>
    <t>BPK BUDIONO</t>
  </si>
  <si>
    <t>0647536592</t>
  </si>
  <si>
    <t>0488077670</t>
  </si>
  <si>
    <t>BPK ENDIN</t>
  </si>
  <si>
    <t>BPK SOPIYAN</t>
  </si>
  <si>
    <t>BPK IMAM WAHYUDI</t>
  </si>
  <si>
    <t>BPK EKO PRASETYO</t>
  </si>
  <si>
    <t>BPK IMAM SUBARDI</t>
  </si>
  <si>
    <t>BPK ZEZEN MUTAQIN</t>
  </si>
  <si>
    <t>IBU ANITA</t>
  </si>
  <si>
    <t>1371869628</t>
  </si>
  <si>
    <t>SDRI LATIFAH UMUL HASANAH</t>
  </si>
  <si>
    <t>1178000613</t>
  </si>
  <si>
    <t>0371160336</t>
  </si>
  <si>
    <t>SDR NARJI</t>
  </si>
  <si>
    <t>1327369594</t>
  </si>
  <si>
    <t>BPK DARMAWAN</t>
  </si>
  <si>
    <t>1323314118</t>
  </si>
  <si>
    <t>SDR WAWAN SETIAWAN</t>
  </si>
  <si>
    <t>1506199967</t>
  </si>
  <si>
    <t>IBU SOPIYAH</t>
  </si>
  <si>
    <t>1371979357</t>
  </si>
  <si>
    <t>SDR ANIS SUSILO</t>
  </si>
  <si>
    <t>SDR SUPRI RIYADI</t>
  </si>
  <si>
    <t>SDR JAENAL ABIDIN</t>
  </si>
  <si>
    <t>1385209100</t>
  </si>
  <si>
    <t>1372320917</t>
  </si>
  <si>
    <t>0409785235</t>
  </si>
  <si>
    <t>PPh 21</t>
  </si>
  <si>
    <t>Lampiran :</t>
  </si>
  <si>
    <t>Surat Keputusan Kepala LLDIKTI Wilayah III selaku KPA</t>
  </si>
  <si>
    <t>DI LINGKUNGAN LEMBAGA LAYANAN PENDIDIKAN TINGGI WILAYAH III JAKARTA TAHUN ANGGARAN 2023</t>
  </si>
  <si>
    <t>No.</t>
  </si>
  <si>
    <t>Nama</t>
  </si>
  <si>
    <t>NIK</t>
  </si>
  <si>
    <t>NPWP</t>
  </si>
  <si>
    <t>Gol</t>
  </si>
  <si>
    <t>Honorarium</t>
  </si>
  <si>
    <t>Dasar Pengenaan Pajak (DPP)</t>
  </si>
  <si>
    <t>PPH 21</t>
  </si>
  <si>
    <t xml:space="preserve">Jumlah Diterima </t>
  </si>
  <si>
    <t>Atas Nama Rekening</t>
  </si>
  <si>
    <t>Nomor Rekening</t>
  </si>
  <si>
    <t>Jml Jam</t>
  </si>
  <si>
    <t>Rp./Jam</t>
  </si>
  <si>
    <t>Jml Bruto</t>
  </si>
  <si>
    <t>Tarif **</t>
  </si>
  <si>
    <t>Jml Pajak</t>
  </si>
  <si>
    <t>A</t>
  </si>
  <si>
    <t>B</t>
  </si>
  <si>
    <t>C</t>
  </si>
  <si>
    <t>D</t>
  </si>
  <si>
    <t>E</t>
  </si>
  <si>
    <t>F</t>
  </si>
  <si>
    <t>G</t>
  </si>
  <si>
    <t>I=H</t>
  </si>
  <si>
    <t>K</t>
  </si>
  <si>
    <t>N</t>
  </si>
  <si>
    <t>O</t>
  </si>
  <si>
    <t>Jumlah</t>
  </si>
  <si>
    <t>Terbilang   :</t>
  </si>
  <si>
    <t>"</t>
  </si>
  <si>
    <t xml:space="preserve">* Sesuai Tarif PPh 21 UU No. 36 Pasal 17 (1)a Tahun 2008 Tentang Pajak Penghasilan </t>
  </si>
  <si>
    <t xml:space="preserve">** Sesua PMK No. 252/PMK/03/2008  Pasal 20 Ayat 1 Tentang Petunjuk Pelaksanaan Pemotongan Pajak atas Penghasilan Sehubungan Pekerjaan, Jasa, dan Kegiatan Orang Pribadi </t>
  </si>
  <si>
    <t xml:space="preserve">Mengetahui/Menyetujui </t>
  </si>
  <si>
    <t>Lunas dibayar tanggal:</t>
  </si>
  <si>
    <t xml:space="preserve">an. Kuasa Pengguna Anggaran </t>
  </si>
  <si>
    <t>Bendahara Pengeluaran,</t>
  </si>
  <si>
    <t>Pejabat Pembuat Komitmen</t>
  </si>
  <si>
    <t>NIP. 19708192009122006</t>
  </si>
  <si>
    <t>NIP. 19860915 200912 2006</t>
  </si>
  <si>
    <t>Nomor : XXX/LL3/KP.04.01/2023 Tgl 16 Januari 2023</t>
  </si>
  <si>
    <t>KEGIATAN  xxxxxxxxxxxxxxxxxxxxxxxxxxxxxxxxxxxxxxxxxxxxxxxxxxxxxx</t>
  </si>
  <si>
    <t>DI LEMBAGA LAYANAN PENDIDIKAN TINGGI WIL III, BEKASI  TANGGAL 26 JANUARI 2023</t>
  </si>
  <si>
    <t>PNS / Non PNS</t>
  </si>
  <si>
    <t>J</t>
  </si>
  <si>
    <t>Jakarta,    Februari 2023</t>
  </si>
  <si>
    <t>M</t>
  </si>
  <si>
    <t>K= ( J x I )</t>
  </si>
  <si>
    <t>L = ( H-K )</t>
  </si>
  <si>
    <t>H = F x G</t>
  </si>
  <si>
    <t>Surat Tugas Kepala LLDIKTI Wilayah III selaku KPA</t>
  </si>
  <si>
    <t>DI LINGKUNGAN LEMBAGA LAYANAN PENDIDIKAN TINGGI WILAYAH III JAKARTA TAHUN ANGGARAN 2022</t>
  </si>
  <si>
    <t>No</t>
  </si>
  <si>
    <t>Jml Hari</t>
  </si>
  <si>
    <t>Transport (Rp.)</t>
  </si>
  <si>
    <t>Jumlah Diterima (Rp.)</t>
  </si>
  <si>
    <t xml:space="preserve">Jumlah </t>
  </si>
  <si>
    <t>Nomor : XXXXXXXXXXXXXX  Tgl 16 Januari 2023</t>
  </si>
  <si>
    <t xml:space="preserve">Lampiran Surat Perjalanan Dinas </t>
  </si>
  <si>
    <t xml:space="preserve">DI LINGKUNGAN LEMBAGA LAYANAN PENDIDIKAN TINGGI (LLDIKTI) WILAYAH III </t>
  </si>
  <si>
    <t>Nama Pelaksana SPD</t>
  </si>
  <si>
    <t xml:space="preserve">NIP </t>
  </si>
  <si>
    <t xml:space="preserve">Pangkat </t>
  </si>
  <si>
    <t>Gol.</t>
  </si>
  <si>
    <t xml:space="preserve">Jabatan </t>
  </si>
  <si>
    <t>Tempat Kedudukan Asal</t>
  </si>
  <si>
    <t>Tingkat Biaya Perjalanan Dinas</t>
  </si>
  <si>
    <t xml:space="preserve">Alat Angkut yang Digunakan </t>
  </si>
  <si>
    <t>Nomor Surat Tugas</t>
  </si>
  <si>
    <t>Tanggal Surat Tugas</t>
  </si>
  <si>
    <t>Tanggal Keberangkatan dari Tempat Kedudukan Asal</t>
  </si>
  <si>
    <t>Tanggal Tiba Kembali Kedudukan Asal</t>
  </si>
  <si>
    <t>Lama Perjalanan Dinas (Hari)</t>
  </si>
  <si>
    <t xml:space="preserve">Keterangan </t>
  </si>
  <si>
    <t>DKI Jakarta</t>
  </si>
  <si>
    <t>Tingkat  C</t>
  </si>
  <si>
    <t>Angkutan Umum</t>
  </si>
  <si>
    <t>Nomor  : XXX /LL3/TU.02.05/2022  Tanggal. 1 Januari 2023</t>
  </si>
  <si>
    <t>DAFTAR TIM PADA KEGIATAN XXXXXXXXXXXXXXXXXXXXXXXXXXXXXXXXXXX</t>
  </si>
  <si>
    <t>PADA PERIODE XXXXXXXXXXXXXXXXXXXXXXXXXXXXX</t>
  </si>
  <si>
    <t>XXX /LL3/TU.02.05/2023</t>
  </si>
  <si>
    <t>XX Januari 2023</t>
  </si>
  <si>
    <t>01 Januari 2023</t>
  </si>
  <si>
    <t>Bekasi</t>
  </si>
  <si>
    <t>Lembaga Layanan Pendidikan Tinggi Wilayah III Jakarta</t>
  </si>
  <si>
    <t>Kementerian Pendidikan, Kebudayaan, Riset dan Teknologi</t>
  </si>
  <si>
    <t xml:space="preserve">       Lembar Ke:</t>
  </si>
  <si>
    <t>1 (satu)</t>
  </si>
  <si>
    <t>Republik Indonesia</t>
  </si>
  <si>
    <t>Kode No:</t>
  </si>
  <si>
    <t>Nomor:</t>
  </si>
  <si>
    <t>2014.994.002.I.524111</t>
  </si>
  <si>
    <t>SURAT PERJALANAN DINAS (SPD)</t>
  </si>
  <si>
    <t>1.</t>
  </si>
  <si>
    <t>"terlampir"</t>
  </si>
  <si>
    <t>2.</t>
  </si>
  <si>
    <t>Nama/NIP pegawai yang melaksanakan perjalanan dinas</t>
  </si>
  <si>
    <t>3.</t>
  </si>
  <si>
    <t>a. Pangkat dan Golongan</t>
  </si>
  <si>
    <t>a.</t>
  </si>
  <si>
    <t>b. Jabatan/Instansi</t>
  </si>
  <si>
    <t>b.</t>
  </si>
  <si>
    <t>c. Tingkat Biaya Perjalanan Dinas</t>
  </si>
  <si>
    <t>c.</t>
  </si>
  <si>
    <t>4.</t>
  </si>
  <si>
    <t>Maksud Perjalanan Dinas</t>
  </si>
  <si>
    <t>5.</t>
  </si>
  <si>
    <t>Alat angkutan yang dipergunakan</t>
  </si>
  <si>
    <t>6.</t>
  </si>
  <si>
    <t>a. Tempat Berangkat</t>
  </si>
  <si>
    <t>b. Tempat Tujuan</t>
  </si>
  <si>
    <t>7.</t>
  </si>
  <si>
    <t>a. Lamanya Perjalanan Dinas</t>
  </si>
  <si>
    <t>b. Tanggal Berangkat</t>
  </si>
  <si>
    <t>c. Tanggal Harus Kembali/tiba di tempat baru</t>
  </si>
  <si>
    <t>8.</t>
  </si>
  <si>
    <t>Pengikut:    Nama</t>
  </si>
  <si>
    <t>Tanggal Lahir</t>
  </si>
  <si>
    <t>Keterangan</t>
  </si>
  <si>
    <t>9.</t>
  </si>
  <si>
    <t>Pembebanan Anggaran</t>
  </si>
  <si>
    <t>a. Instansi</t>
  </si>
  <si>
    <t>Lembaga Layanan Pendidikan Tinggi Wilayah III</t>
  </si>
  <si>
    <t>b. Akun</t>
  </si>
  <si>
    <t>524119 - Belanja Perjalanan Dinas Paket Meeting Luar Kota</t>
  </si>
  <si>
    <t>10.</t>
  </si>
  <si>
    <t>Keterangan Lain-Lain</t>
  </si>
  <si>
    <t>*coret yang tidak perlu</t>
  </si>
  <si>
    <t>Dikeluarkan di Jakarta</t>
  </si>
  <si>
    <t xml:space="preserve">        /L3/PP/KWT/2023</t>
  </si>
  <si>
    <t>Email</t>
  </si>
  <si>
    <t>P</t>
  </si>
  <si>
    <t>Delapan Juta Empat Ratus Ribu Rupiah</t>
  </si>
  <si>
    <t>Nara Sumber</t>
  </si>
  <si>
    <t>Ketua</t>
  </si>
  <si>
    <t>Sekretaris</t>
  </si>
  <si>
    <t>Anggota</t>
  </si>
  <si>
    <t>nurwardaniparistiyanti@gmail.com</t>
  </si>
  <si>
    <t>yulianti.iriawan@gmail.com</t>
  </si>
  <si>
    <t>taufan.prast@gmail.com</t>
  </si>
  <si>
    <t>agusnurfauzi1976@gmail.com</t>
  </si>
  <si>
    <t>noviyanto26@gmail.com</t>
  </si>
  <si>
    <t>tri.munanto@gmail.com</t>
  </si>
  <si>
    <t>meprita.84@gmail.com</t>
  </si>
  <si>
    <t>lukman_pdgd@yahoo.com</t>
  </si>
  <si>
    <t>elihadnin@gmail.com</t>
  </si>
  <si>
    <t>ikhsanriyanda@yahoo.com</t>
  </si>
  <si>
    <t>titah.widihastuti@gmail.com</t>
  </si>
  <si>
    <t>raafita.tiana@gmail.com</t>
  </si>
  <si>
    <t>mulhadi92@gmail.com</t>
  </si>
  <si>
    <t>denny.1886@gmail.com</t>
  </si>
  <si>
    <t>Herlinaasoleh@gmail.com</t>
  </si>
  <si>
    <t>asrifika09@gmai.com</t>
  </si>
  <si>
    <t>afrida.anis@yahoo.com</t>
  </si>
  <si>
    <t>wijimurdoko@gmail.com</t>
  </si>
  <si>
    <t>ina.agustiani10@gmail.com</t>
  </si>
  <si>
    <t>yudadise@gmail.com</t>
  </si>
  <si>
    <t>yanmedya1@gmail.com</t>
  </si>
  <si>
    <t>dianlldikti@gmail.com</t>
  </si>
  <si>
    <t>endragu@gmail.com</t>
  </si>
  <si>
    <t>rosadialfikri@gmail.com</t>
  </si>
  <si>
    <t>fiqihhidayah29@gmail.com</t>
  </si>
  <si>
    <t>yeni02handa@gmail.com</t>
  </si>
  <si>
    <t>syarifudinfree@yahoo.com</t>
  </si>
  <si>
    <t>adhypurnama1982@gmail.com</t>
  </si>
  <si>
    <t>nurfadillah.illa86@gmail.com</t>
  </si>
  <si>
    <t>27nurulfajri@gmail.com</t>
  </si>
  <si>
    <t>findatyasalfianti@gmail.com</t>
  </si>
  <si>
    <t>welfridphendra@gmail.com</t>
  </si>
  <si>
    <t>rismatestir94@gmail.com</t>
  </si>
  <si>
    <t>fitapervita.s@gmial.com</t>
  </si>
  <si>
    <t>dhitawidya@gmail.com</t>
  </si>
  <si>
    <t>pratistach@gmail.com</t>
  </si>
  <si>
    <t>suratmisurat3@gmail.com</t>
  </si>
  <si>
    <t>endangsutisna003@gmail.com</t>
  </si>
  <si>
    <t>achmadi1968@gmail.com</t>
  </si>
  <si>
    <t>irmi.asnita@gmail.com</t>
  </si>
  <si>
    <t>damayanti.maya6505@gemail.com</t>
  </si>
  <si>
    <t>ahmad_mustaadi@yahoo.co.id</t>
  </si>
  <si>
    <t>suparman.sm67@gmail.com</t>
  </si>
  <si>
    <t>sukiyana65@gmail.com</t>
  </si>
  <si>
    <t>feliznvkr@gmail.com</t>
  </si>
  <si>
    <t>Jml Keg</t>
  </si>
  <si>
    <t>DAFTAR PEMBAYARAN HONORARIUM PANITIA</t>
  </si>
  <si>
    <t>DAFTAR PEMBAYARAN TRANSPORT DAN UANG HARIAN PERJALANAN DINAS</t>
  </si>
  <si>
    <t>Uang Harian Biasa</t>
  </si>
  <si>
    <t>Satuan</t>
  </si>
  <si>
    <t>Uang Harian Fullboard</t>
  </si>
  <si>
    <t>Uang Harian Fullday</t>
  </si>
  <si>
    <t>F = D x E</t>
  </si>
  <si>
    <t xml:space="preserve">H </t>
  </si>
  <si>
    <t>I = G x H</t>
  </si>
  <si>
    <t>L = J x K</t>
  </si>
  <si>
    <t>M = C + F + I + L</t>
  </si>
  <si>
    <t>Q</t>
  </si>
  <si>
    <t xml:space="preserve">I </t>
  </si>
  <si>
    <t>521111 Belanja Keperluan Perkantoran</t>
  </si>
  <si>
    <t>Uraian Belanja</t>
  </si>
  <si>
    <t>Toko X</t>
  </si>
  <si>
    <t>CV. X</t>
  </si>
  <si>
    <t>CV. Y</t>
  </si>
  <si>
    <t>PPN</t>
  </si>
  <si>
    <t>Jumlah di Transfer</t>
  </si>
  <si>
    <t>H</t>
  </si>
  <si>
    <t>PPH 22</t>
  </si>
  <si>
    <t>PPH 23</t>
  </si>
  <si>
    <t>L = G - (H+J+K)</t>
  </si>
  <si>
    <t>521115 Belanja Honor Operasional Satuan Kerja</t>
  </si>
  <si>
    <t>521119 Belanja Barang Operasional Lainnya</t>
  </si>
  <si>
    <t>DAFTAR PEMBAYARAN HONORARIUM OPERASIONAL SATUAN KERJA</t>
  </si>
  <si>
    <t>BULAN XXXX 2023</t>
  </si>
  <si>
    <t>521211 Belanja Bahan</t>
  </si>
  <si>
    <t>521213 Belanja Honor Output Kegiatan</t>
  </si>
  <si>
    <t>521811 Belanja Barang Persediaan Barang Konsumsi</t>
  </si>
  <si>
    <t>522141 Belanja Sewa</t>
  </si>
  <si>
    <t>DAFTAR PEMBAYARAN HONORARIUM NARASUMBER DAN MODERATOR</t>
  </si>
  <si>
    <t xml:space="preserve">Kementerian Negara </t>
  </si>
  <si>
    <t>Unit Eselon I</t>
  </si>
  <si>
    <t>Unit Satker</t>
  </si>
  <si>
    <t>Program</t>
  </si>
  <si>
    <t>Sasaran Program</t>
  </si>
  <si>
    <t>Klasifikasi Rincian Output</t>
  </si>
  <si>
    <t>Rincian Output</t>
  </si>
  <si>
    <t xml:space="preserve">Kegiatan </t>
  </si>
  <si>
    <t xml:space="preserve">Kemendikbudristekdikti </t>
  </si>
  <si>
    <t>Sekretaris Jenderal</t>
  </si>
  <si>
    <t xml:space="preserve">Lembaga Layanan penddidikan Tinggi </t>
  </si>
  <si>
    <t>Program Pendidikan Tinggi</t>
  </si>
  <si>
    <t>Terwujudnya tata kelola LLDIKTI Wilayah III yang berkualitas</t>
  </si>
  <si>
    <t>Fasilitasi dan Pembinaan Lembaga</t>
  </si>
  <si>
    <t>Lembaga Pendidikan Tinggi Akademik dan Vokasi yang mendapatkan layanan pembinaan peningkatan mutu</t>
  </si>
  <si>
    <t>Program Dukungan Manajemen</t>
  </si>
  <si>
    <t>Meningkatnya akses, kualitas pembelajaran, dan relevansi pendidikan tinggi</t>
  </si>
  <si>
    <t>Bantuan Pendidikan  Tinggi</t>
  </si>
  <si>
    <t>Lembaga Pendidikan Tinggi Akademik dan Vokasi yang mendapat layanan rekomendasi</t>
  </si>
  <si>
    <t>Meningkatnya kualitas dosen dan tenaga kependidikan</t>
  </si>
  <si>
    <t>Layanan Dukungan Manajemen Internal</t>
  </si>
  <si>
    <t>Dosen Non PNS yang Menerima Tunjangan Profesi/Layanan Umum</t>
  </si>
  <si>
    <t>Layanan Perkantoran</t>
  </si>
  <si>
    <t xml:space="preserve">Jabatan dalam Tugas </t>
  </si>
  <si>
    <t xml:space="preserve">Jenis Belanja </t>
  </si>
  <si>
    <t>IKU LLDikti dan PT</t>
  </si>
  <si>
    <t>Belanja Honor Operasional Satuan Kerja</t>
  </si>
  <si>
    <t>Uang Harian</t>
  </si>
  <si>
    <t>ATK</t>
  </si>
  <si>
    <t>Kesiapan kerja lulusan</t>
  </si>
  <si>
    <t>Honorarium Penanggung Jawab(UAPPA/Barang-W)</t>
  </si>
  <si>
    <t xml:space="preserve">Penanggungjawab </t>
  </si>
  <si>
    <t>Spanduk</t>
  </si>
  <si>
    <t>Mahasiswa di luar kampus</t>
  </si>
  <si>
    <t>Honorarium Koordinator(UAPPA/Barang-W)</t>
  </si>
  <si>
    <t>Seminar Kit</t>
  </si>
  <si>
    <t>Dosen di luar kampus</t>
  </si>
  <si>
    <t>Honorarium Anggota/Petugas(UAPPA/Barang-W)</t>
  </si>
  <si>
    <t>Wakil Ketua</t>
  </si>
  <si>
    <t>Penjilidan</t>
  </si>
  <si>
    <t>Kualifikasi dosen</t>
  </si>
  <si>
    <t>Honorarium Panitia Pengadaan Barang  (Non Konstruksi)pagu pengadaan di atas  Rp500 juta s.d. Rp1 miliar</t>
  </si>
  <si>
    <t>Transpor</t>
  </si>
  <si>
    <t>Penerapan riset dosen</t>
  </si>
  <si>
    <t>Honorarium Ketua/Wakil Ketua (UAKPA/Barang)</t>
  </si>
  <si>
    <t>Taksi</t>
  </si>
  <si>
    <t>Kemitraan program studi</t>
  </si>
  <si>
    <t>Honorarium Pengurus/Penyimpan Bmn Tingkat Kuasa Pengguna Barang</t>
  </si>
  <si>
    <t xml:space="preserve">Tiket Pesawat </t>
  </si>
  <si>
    <t>Narasumber</t>
  </si>
  <si>
    <t>Pembelajaran dalam kelas</t>
  </si>
  <si>
    <t>Honorarium Pejabat Kuasa Pengguna Anggaran (pagu dana di atas  Rp250 miliar s.d. Rp500 miliar)</t>
  </si>
  <si>
    <t>Akomodasi Hotel</t>
  </si>
  <si>
    <t>Pembahas</t>
  </si>
  <si>
    <t>Akreditasi Internasional</t>
  </si>
  <si>
    <t>Honorarium Pejabat Pembuat Komitmen (pagu dana di atas  Rp250 miliar s.d. Rp500 miliar)</t>
  </si>
  <si>
    <t>Moderator</t>
  </si>
  <si>
    <t>Keunggulan layanan</t>
  </si>
  <si>
    <t>Honorarium Pejabat  Penguji Tagihan  &amp; Penandatangan  Spm (pagu dana di atas  Rp250 miliar s.d. Rp500 miliar)</t>
  </si>
  <si>
    <t>Arsitektur Perguruan Tinggi Swasta (PTS)</t>
  </si>
  <si>
    <t>Honorarium Bendahara  Pengeluaran (pagu dana di atas  Rp250 miliar s.d. Rp500 miliar)</t>
  </si>
  <si>
    <t>Kampus Merdeka</t>
  </si>
  <si>
    <t>Honorarium Staf  Pengelola (pagu dana di atas  Rp250 miliar s.d. Rp500 miliar)</t>
  </si>
  <si>
    <t>Tiga dosa dan antikorupsi</t>
  </si>
  <si>
    <t>Honorarium Pejabat Pengadaan Barang/Jasa</t>
  </si>
  <si>
    <t>Link and match PTS</t>
  </si>
  <si>
    <t>Jabatan Dalam Tugas</t>
  </si>
  <si>
    <t>522151 Belanja Jasa Profesi</t>
  </si>
  <si>
    <t>523111 Belanja Pemeliharaan Gedung dan Bangunan</t>
  </si>
  <si>
    <t>523121 Belanja Pemeliharaan Peralatan dan Mesin</t>
  </si>
  <si>
    <t>Taksi PP</t>
  </si>
  <si>
    <t>Tiket Pesawat</t>
  </si>
  <si>
    <t>524111 Belanja Perjalanan Dinas Biasa</t>
  </si>
  <si>
    <t>524113 Belanja Perjalanan Dinas Dalam Kota</t>
  </si>
  <si>
    <t>524114 Belanja Perjalanan Dinas Paket Meeting Dalam Kota</t>
  </si>
  <si>
    <t>524119 Belanja Perjalanan Dinas Paket Meeting Luar Kota</t>
  </si>
  <si>
    <t xml:space="preserve">Akomodasi Hotel </t>
  </si>
  <si>
    <t>Jakarta,     Februari 2023</t>
  </si>
  <si>
    <t>Tanggal,     Februari 2023</t>
  </si>
  <si>
    <t>Catatan</t>
  </si>
  <si>
    <t>ada menu yang untuk memasukan Nomor dan Tanggal Surat Tugas</t>
  </si>
  <si>
    <t>ada menu yang untuk memasukan Nomor dan Tanggal Surat Keputusan</t>
  </si>
  <si>
    <t>ada menu tanggal mulai dan tanggal berakhir Kegiatan</t>
  </si>
  <si>
    <t>KODE</t>
  </si>
  <si>
    <t>DESKRIPSI</t>
  </si>
  <si>
    <t>Belanja Gaji Pokok PNS</t>
  </si>
  <si>
    <t>Belanja Pembulatan Gaji PNS</t>
  </si>
  <si>
    <t>Belanja Tunj. Suami/Istri PNS</t>
  </si>
  <si>
    <t>Belanja Tunj. Anak PNS</t>
  </si>
  <si>
    <t>Belanja Tunj. Struktural PNS</t>
  </si>
  <si>
    <t>Belanja Tunj. Fungsional PNS</t>
  </si>
  <si>
    <t>Belanja Tunj. PPh PNS</t>
  </si>
  <si>
    <t>Belanja Tunj. Beras PNS</t>
  </si>
  <si>
    <t>Belanja Uang Makan PNS</t>
  </si>
  <si>
    <t>Belanja Tunjangan Umum PNS</t>
  </si>
  <si>
    <t>Belanja Tunjangan Profesi Dosen</t>
  </si>
  <si>
    <t>Belanja Tunjangan Kehormatan Profesor</t>
  </si>
  <si>
    <t>Belanja Tunjangan Tenaga Pendidik Non PNS</t>
  </si>
  <si>
    <t>Belanja Uang Lembur</t>
  </si>
  <si>
    <t>Belanja Keperluan Perkantoran</t>
  </si>
  <si>
    <t>Belanja Penambah Daya Tahan Tubuh</t>
  </si>
  <si>
    <t>Belanja Barang Operasional Lainnya</t>
  </si>
  <si>
    <t>Belanja Barang Operasional - Penanganan Pandemi COVID-19</t>
  </si>
  <si>
    <t>Belanja Bahan</t>
  </si>
  <si>
    <t>Belanja Honor Output Kegiatan</t>
  </si>
  <si>
    <t>Belanja Barang Non Operasional Lainnya</t>
  </si>
  <si>
    <t>Belanja Barang Persediaan Barang Konsumsi</t>
  </si>
  <si>
    <t>Belanja Langganan Listrik</t>
  </si>
  <si>
    <t>Belanja Langganan Telepon</t>
  </si>
  <si>
    <t>Belanja Langganan Air</t>
  </si>
  <si>
    <t>Belanja Sewa</t>
  </si>
  <si>
    <t>Belanja Jasa Profesi</t>
  </si>
  <si>
    <t>Belanja Jasa Lainnya</t>
  </si>
  <si>
    <t>Belanja Jasa - Penanganan Pandemi COVID-19</t>
  </si>
  <si>
    <t>Belanja Pemeliharaan Gedung dan Bangunan</t>
  </si>
  <si>
    <t>Belanja Pemeliharaan Peralatan dan Mesin</t>
  </si>
  <si>
    <t>Belanja Perjalanan Dinas Biasa</t>
  </si>
  <si>
    <t>Belanja Perjalanan Dinas Dalam Kota</t>
  </si>
  <si>
    <t>Belanja Perjalanan Dinas Paket Meeting Dalam Kota</t>
  </si>
  <si>
    <t>Belanja Perjalanan Dinas Paket Meeting Luar Kota</t>
  </si>
  <si>
    <t>Daftar Nominatif</t>
  </si>
  <si>
    <t>Lukman</t>
  </si>
  <si>
    <t>nama_unit_kerja</t>
  </si>
  <si>
    <t>Nama User</t>
  </si>
  <si>
    <t>Kepala Bagian Umum</t>
  </si>
  <si>
    <t>Ketua Kelompok Kerja Keuangan</t>
  </si>
  <si>
    <t>Ketua Kelompok Kerja Hukum, Kepegawaian, dan Tata Laksana</t>
  </si>
  <si>
    <t>Ketua Kelompok Kerja Tata Usaha dan BMN</t>
  </si>
  <si>
    <t>Ketua Kelompok Kerja Humas dan Kerjasama</t>
  </si>
  <si>
    <t>Ketua Kelompok Kerja Kelembagaan dan Penjaminan Mutu Eksternal</t>
  </si>
  <si>
    <t>Putri Romi Eka Chikita</t>
  </si>
  <si>
    <t>Ketua Kelompok Kerja Sistem Informasi dan PDDitki</t>
  </si>
  <si>
    <t>Ketua Kelompok Kerja Pembelajaran dan Kemahasiswaan</t>
  </si>
  <si>
    <t>Finda Tias Alfianti</t>
  </si>
  <si>
    <t>Ketua Kelompok Kerja Pendidik dan Tenaga Kependidikan</t>
  </si>
  <si>
    <t>Ketua Kelompok Kerja Riset dan Pengabdian Masyarakat</t>
  </si>
  <si>
    <t>Kuasa Pengguna Anggaran</t>
  </si>
  <si>
    <t>Mulhadi MH</t>
  </si>
  <si>
    <t xml:space="preserve">User </t>
  </si>
  <si>
    <t>Pemegang Uang Muka Kerja Keuangan</t>
  </si>
  <si>
    <t>Pemegang Uang Muka Kerja Hukum, Kepegawaian, dan Tata Laksana</t>
  </si>
  <si>
    <t>Pemegang Uang Muka Kerja Tata Usaha dan BMN</t>
  </si>
  <si>
    <t>Pemegang Uang Muka Kerja Humas dan Kerjasama</t>
  </si>
  <si>
    <t>Pemegang Uang Muka Kerja Kelembagaan dan Penjaminan Mutu Eksternal</t>
  </si>
  <si>
    <t>Pemegang Uang Muka Kerja Sistem Informasi dan PDDitki</t>
  </si>
  <si>
    <t>Pemegang Uang Muka Kerja Pembelajaran dan Kemahasiswaan</t>
  </si>
  <si>
    <t>Pemegang Uang Muka Kerja Pendidik dan Tenaga Kependidikan</t>
  </si>
  <si>
    <t>Pemegang Uang Muka Kerja Riset dan Pengabdian Masyarakat</t>
  </si>
  <si>
    <t>PIC Keuangan 1</t>
  </si>
  <si>
    <t>PIC Keuangan 2</t>
  </si>
  <si>
    <t>PIC Keuangan 3</t>
  </si>
  <si>
    <t>PIC Keuangan 4</t>
  </si>
  <si>
    <t>PIC Keuangan 5</t>
  </si>
  <si>
    <t>197805112003121002</t>
  </si>
  <si>
    <t>3174091105780011</t>
  </si>
  <si>
    <t>641361472017000</t>
  </si>
  <si>
    <t>PIC Keuangan 6</t>
  </si>
  <si>
    <t>NO</t>
  </si>
  <si>
    <t>Pass</t>
  </si>
  <si>
    <t>pic1</t>
  </si>
  <si>
    <t>pic2</t>
  </si>
  <si>
    <t>pic3</t>
  </si>
  <si>
    <t>pic4</t>
  </si>
  <si>
    <t>pic6</t>
  </si>
  <si>
    <t>pic5</t>
  </si>
  <si>
    <t>pumk.pp</t>
  </si>
  <si>
    <t>pumk.hkt</t>
  </si>
  <si>
    <t>pumk.tu</t>
  </si>
  <si>
    <t>pumk.humas</t>
  </si>
  <si>
    <t>pumk.kl</t>
  </si>
  <si>
    <t>pumk.si</t>
  </si>
  <si>
    <t>pumk.belmawa</t>
  </si>
  <si>
    <t>pumk.ptk</t>
  </si>
  <si>
    <t>pumk.riset</t>
  </si>
  <si>
    <t>pokja.pp</t>
  </si>
  <si>
    <t>pokja.hkt</t>
  </si>
  <si>
    <t>pokja.tu</t>
  </si>
  <si>
    <t>pokja.humas</t>
  </si>
  <si>
    <t>pokja.kl</t>
  </si>
  <si>
    <t>pokja.si</t>
  </si>
  <si>
    <t>pokja.belmawa</t>
  </si>
  <si>
    <t>pokja.ptk</t>
  </si>
  <si>
    <t>pokja.riset</t>
  </si>
  <si>
    <t>ppk</t>
  </si>
  <si>
    <t>kabag.tu</t>
  </si>
  <si>
    <t>kpa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</si>
</sst>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_(* \(#,##0\);_(* &quot;-&quot;_);_(@_)"/>
    <numFmt numFmtId="165" formatCode="_(* #,##0_);_(* \(#,##0\);_(* &quot;-&quot;??_);_(@_)"/>
    <numFmt numFmtId="166" formatCode="_-* #,##0_-;\-* #,##0_-;_-* &quot;-&quot;??_-;_-@_-"/>
  </numFmts>
  <fonts count="37" x14ac:knownFonts="1">
    <font>
      <b/>
      <sz val="12"/>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scheme val="minor"/>
    </font>
    <font>
      <sz val="11"/>
      <color theme="1"/>
      <name val="Calibri"/>
      <family val="2"/>
      <charset val="1"/>
      <scheme val="minor"/>
    </font>
    <font>
      <b/>
      <sz val="12"/>
      <color theme="1"/>
      <name val="Times New Roman"/>
      <family val="1"/>
    </font>
    <font>
      <sz val="10"/>
      <name val="Arial"/>
      <family val="2"/>
    </font>
    <font>
      <b/>
      <sz val="12"/>
      <name val="Times New Roman"/>
      <family val="1"/>
    </font>
    <font>
      <b/>
      <i/>
      <sz val="12"/>
      <color theme="1"/>
      <name val="Times New Roman"/>
      <family val="1"/>
    </font>
    <font>
      <sz val="12"/>
      <color theme="1"/>
      <name val="Times New Roman"/>
      <family val="1"/>
    </font>
    <font>
      <b/>
      <i/>
      <sz val="14"/>
      <name val="Times New Roman"/>
      <family val="1"/>
    </font>
    <font>
      <b/>
      <i/>
      <sz val="12"/>
      <name val="Times New Roman"/>
      <family val="1"/>
    </font>
    <font>
      <b/>
      <sz val="12"/>
      <color rgb="FFFF0000"/>
      <name val="Times New Roman"/>
      <family val="1"/>
    </font>
    <font>
      <sz val="12"/>
      <name val="Times New Roman"/>
      <family val="1"/>
    </font>
    <font>
      <i/>
      <sz val="9"/>
      <color theme="1"/>
      <name val="Times New Roman"/>
      <family val="1"/>
    </font>
    <font>
      <sz val="11"/>
      <color theme="1"/>
      <name val="Times New Roman"/>
      <family val="1"/>
    </font>
    <font>
      <b/>
      <i/>
      <sz val="11"/>
      <color theme="1"/>
      <name val="Times New Roman"/>
      <family val="1"/>
    </font>
    <font>
      <sz val="11"/>
      <color rgb="FFFF0000"/>
      <name val="Times New Roman"/>
      <family val="1"/>
    </font>
    <font>
      <b/>
      <sz val="11"/>
      <color theme="1"/>
      <name val="Times New Roman"/>
      <family val="1"/>
    </font>
    <font>
      <b/>
      <sz val="11"/>
      <name val="Times New Roman"/>
      <family val="1"/>
    </font>
    <font>
      <sz val="11"/>
      <name val="Times New Roman"/>
      <family val="1"/>
    </font>
    <font>
      <sz val="12"/>
      <color theme="1"/>
      <name val="Calibri"/>
      <family val="2"/>
      <scheme val="minor"/>
    </font>
    <font>
      <sz val="11"/>
      <color theme="0"/>
      <name val="Times New Roman"/>
      <family val="1"/>
    </font>
    <font>
      <sz val="11"/>
      <color theme="0"/>
      <name val="Calibri"/>
      <family val="2"/>
      <charset val="1"/>
      <scheme val="minor"/>
    </font>
    <font>
      <sz val="11"/>
      <color theme="1"/>
      <name val="Calibri"/>
      <family val="2"/>
      <scheme val="minor"/>
    </font>
    <font>
      <b/>
      <i/>
      <sz val="14"/>
      <color theme="1"/>
      <name val="Calibri"/>
      <family val="2"/>
      <scheme val="minor"/>
    </font>
    <font>
      <b/>
      <sz val="14"/>
      <color theme="1"/>
      <name val="Calibri"/>
      <family val="2"/>
      <scheme val="minor"/>
    </font>
    <font>
      <sz val="14"/>
      <color theme="1"/>
      <name val="Times New Roman"/>
      <family val="1"/>
    </font>
    <font>
      <sz val="14"/>
      <color theme="1"/>
      <name val="Calibri"/>
      <family val="2"/>
      <scheme val="minor"/>
    </font>
    <font>
      <b/>
      <sz val="12"/>
      <color theme="1"/>
      <name val="Calibri"/>
      <family val="2"/>
      <scheme val="minor"/>
    </font>
    <font>
      <b/>
      <sz val="11"/>
      <color theme="1"/>
      <name val="Calibri"/>
      <family val="2"/>
      <scheme val="minor"/>
    </font>
    <font>
      <sz val="11"/>
      <name val="Calibri"/>
      <family val="2"/>
      <charset val="1"/>
      <scheme val="minor"/>
    </font>
    <font>
      <i/>
      <sz val="11"/>
      <color theme="1"/>
      <name val="Calibri"/>
      <family val="2"/>
      <scheme val="minor"/>
    </font>
    <font>
      <u/>
      <sz val="11"/>
      <color theme="10"/>
      <name val="Calibri"/>
      <family val="2"/>
      <charset val="1"/>
      <scheme val="minor"/>
    </font>
    <font>
      <sz val="11"/>
      <color rgb="FF000000"/>
      <name val="Calibri"/>
      <family val="2"/>
    </font>
    <font>
      <b/>
      <sz val="11"/>
      <color rgb="FF000000"/>
      <name val="Calibri"/>
      <family val="2"/>
    </font>
  </fonts>
  <fills count="1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medium">
        <color indexed="64"/>
      </bottom>
      <diagonal/>
    </border>
    <border>
      <left style="thin">
        <color indexed="64"/>
      </left>
      <right/>
      <top/>
      <bottom/>
      <diagonal/>
    </border>
  </borders>
  <cellStyleXfs count="9">
    <xf numFmtId="0" fontId="0" fillId="0" borderId="0"/>
    <xf numFmtId="0" fontId="5" fillId="0" borderId="0"/>
    <xf numFmtId="0" fontId="7" fillId="0" borderId="0"/>
    <xf numFmtId="43" fontId="8" fillId="0" borderId="0" applyFont="0" applyFill="0" applyBorder="0" applyAlignment="0" applyProtection="0"/>
    <xf numFmtId="0" fontId="25" fillId="0" borderId="0"/>
    <xf numFmtId="0" fontId="4" fillId="0" borderId="0"/>
    <xf numFmtId="0" fontId="34" fillId="0" borderId="0" applyNumberFormat="0" applyFill="0" applyBorder="0" applyAlignment="0" applyProtection="0"/>
    <xf numFmtId="0" fontId="35" fillId="0" borderId="0"/>
    <xf numFmtId="0" fontId="3" fillId="0" borderId="0"/>
  </cellStyleXfs>
  <cellXfs count="189">
    <xf numFmtId="0" fontId="0" fillId="0" borderId="0" xfId="0"/>
    <xf numFmtId="0" fontId="6" fillId="0" borderId="0" xfId="0" applyFont="1"/>
    <xf numFmtId="0" fontId="0" fillId="2" borderId="1" xfId="0" applyFill="1" applyBorder="1"/>
    <xf numFmtId="0" fontId="0" fillId="0" borderId="0" xfId="0" applyAlignment="1">
      <alignment horizontal="center"/>
    </xf>
    <xf numFmtId="0" fontId="0" fillId="0" borderId="0" xfId="0" quotePrefix="1"/>
    <xf numFmtId="0" fontId="6" fillId="0" borderId="0" xfId="0" quotePrefix="1" applyFont="1"/>
    <xf numFmtId="0" fontId="0" fillId="2" borderId="2" xfId="0" applyFill="1" applyBorder="1"/>
    <xf numFmtId="0" fontId="9" fillId="0" borderId="0" xfId="0" applyFont="1"/>
    <xf numFmtId="0" fontId="10" fillId="0" borderId="0" xfId="0" applyFont="1" applyAlignment="1">
      <alignment vertical="center"/>
    </xf>
    <xf numFmtId="0" fontId="9" fillId="0" borderId="0" xfId="0" applyFont="1" applyAlignment="1">
      <alignment vertical="center"/>
    </xf>
    <xf numFmtId="0" fontId="11" fillId="4" borderId="0" xfId="0" applyFont="1" applyFill="1"/>
    <xf numFmtId="0" fontId="10" fillId="4" borderId="0" xfId="0" applyFont="1" applyFill="1"/>
    <xf numFmtId="0" fontId="12" fillId="0" borderId="0" xfId="0" applyFont="1" applyAlignment="1">
      <alignment vertical="center"/>
    </xf>
    <xf numFmtId="0" fontId="0" fillId="4" borderId="0" xfId="0" applyFill="1"/>
    <xf numFmtId="0" fontId="0" fillId="0" borderId="0" xfId="0" applyAlignment="1">
      <alignment vertical="center"/>
    </xf>
    <xf numFmtId="0" fontId="0" fillId="4" borderId="0" xfId="0" applyFill="1" applyAlignment="1">
      <alignment horizontal="right"/>
    </xf>
    <xf numFmtId="0" fontId="10" fillId="4" borderId="0" xfId="0" applyFont="1" applyFill="1" applyAlignment="1">
      <alignment horizontal="right"/>
    </xf>
    <xf numFmtId="0" fontId="13" fillId="0" borderId="0" xfId="0" applyFont="1" applyAlignment="1">
      <alignment horizontal="center" vertical="center"/>
    </xf>
    <xf numFmtId="0" fontId="6" fillId="4" borderId="4" xfId="0" applyFont="1" applyFill="1" applyBorder="1" applyAlignment="1">
      <alignment horizontal="center" vertical="center" wrapText="1"/>
    </xf>
    <xf numFmtId="0" fontId="10" fillId="0" borderId="0" xfId="0" applyFont="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vertical="center" wrapText="1"/>
    </xf>
    <xf numFmtId="0" fontId="14" fillId="0" borderId="1" xfId="0" applyFont="1" applyBorder="1" applyAlignment="1">
      <alignment vertical="center" wrapText="1"/>
    </xf>
    <xf numFmtId="0" fontId="10" fillId="0" borderId="1" xfId="0" applyFont="1" applyBorder="1" applyAlignment="1">
      <alignment vertical="center"/>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65" fontId="10" fillId="0" borderId="1" xfId="0" applyNumberFormat="1" applyFont="1" applyBorder="1" applyAlignment="1">
      <alignment horizontal="center" vertical="center"/>
    </xf>
    <xf numFmtId="9" fontId="10" fillId="0" borderId="1" xfId="0" applyNumberFormat="1" applyFont="1" applyBorder="1" applyAlignment="1">
      <alignment horizontal="center" vertical="center"/>
    </xf>
    <xf numFmtId="0" fontId="10" fillId="0" borderId="1" xfId="0" applyFont="1" applyBorder="1" applyAlignment="1">
      <alignment horizontal="left" vertical="center" wrapText="1"/>
    </xf>
    <xf numFmtId="165" fontId="10" fillId="0" borderId="1" xfId="0" applyNumberFormat="1" applyFont="1" applyBorder="1" applyAlignment="1">
      <alignment horizontal="left" vertical="center"/>
    </xf>
    <xf numFmtId="1" fontId="6" fillId="4" borderId="1" xfId="0" applyNumberFormat="1" applyFont="1" applyFill="1" applyBorder="1" applyAlignment="1">
      <alignment horizontal="center" vertical="center"/>
    </xf>
    <xf numFmtId="165" fontId="6" fillId="4" borderId="1" xfId="0" applyNumberFormat="1" applyFont="1" applyFill="1" applyBorder="1" applyAlignment="1">
      <alignment horizontal="center" vertical="center"/>
    </xf>
    <xf numFmtId="0" fontId="12" fillId="4" borderId="4" xfId="0" applyFont="1" applyFill="1" applyBorder="1" applyAlignment="1">
      <alignment horizontal="right" vertical="center"/>
    </xf>
    <xf numFmtId="0" fontId="12" fillId="4" borderId="6" xfId="0" applyFont="1" applyFill="1" applyBorder="1" applyAlignment="1">
      <alignment horizontal="right" vertical="center"/>
    </xf>
    <xf numFmtId="0" fontId="10" fillId="0" borderId="0" xfId="0" applyFont="1" applyAlignment="1">
      <alignment horizontal="left" vertical="center"/>
    </xf>
    <xf numFmtId="0" fontId="15" fillId="0" borderId="0" xfId="0" applyFont="1" applyAlignment="1">
      <alignment vertical="center"/>
    </xf>
    <xf numFmtId="165" fontId="10" fillId="0" borderId="0" xfId="0" applyNumberFormat="1" applyFont="1" applyAlignment="1">
      <alignment vertical="center"/>
    </xf>
    <xf numFmtId="166" fontId="10" fillId="0" borderId="0" xfId="3" applyNumberFormat="1" applyFont="1" applyAlignment="1">
      <alignment vertical="center"/>
    </xf>
    <xf numFmtId="0" fontId="14" fillId="0" borderId="0" xfId="0" applyFont="1" applyAlignment="1">
      <alignment vertical="center"/>
    </xf>
    <xf numFmtId="165" fontId="14" fillId="0" borderId="0" xfId="0" applyNumberFormat="1" applyFont="1" applyAlignment="1">
      <alignment vertical="center"/>
    </xf>
    <xf numFmtId="0" fontId="14" fillId="0" borderId="0" xfId="0" applyFont="1" applyAlignment="1">
      <alignment horizontal="left" vertical="center"/>
    </xf>
    <xf numFmtId="0" fontId="1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17" fillId="0" borderId="0" xfId="0" applyFont="1" applyAlignment="1">
      <alignment vertical="center"/>
    </xf>
    <xf numFmtId="0" fontId="16" fillId="0" borderId="0" xfId="0" applyFont="1" applyAlignment="1">
      <alignment vertical="center"/>
    </xf>
    <xf numFmtId="0" fontId="18" fillId="0" borderId="0" xfId="0" applyFont="1" applyAlignment="1">
      <alignment vertical="center"/>
    </xf>
    <xf numFmtId="0" fontId="19" fillId="4" borderId="1" xfId="0" applyFont="1" applyFill="1" applyBorder="1" applyAlignment="1">
      <alignment horizontal="center" vertical="center"/>
    </xf>
    <xf numFmtId="0" fontId="20" fillId="4" borderId="1" xfId="0" applyFont="1" applyFill="1" applyBorder="1" applyAlignment="1">
      <alignment horizontal="center" vertical="center" wrapText="1"/>
    </xf>
    <xf numFmtId="0" fontId="19" fillId="0" borderId="1" xfId="0" applyFont="1" applyBorder="1" applyAlignment="1">
      <alignment horizontal="center" vertical="center"/>
    </xf>
    <xf numFmtId="164" fontId="21" fillId="0" borderId="1" xfId="0" applyNumberFormat="1" applyFont="1" applyBorder="1" applyAlignment="1">
      <alignment vertical="center"/>
    </xf>
    <xf numFmtId="164" fontId="16" fillId="0" borderId="1" xfId="0" applyNumberFormat="1" applyFont="1" applyBorder="1" applyAlignment="1">
      <alignment vertical="center"/>
    </xf>
    <xf numFmtId="164" fontId="16" fillId="0" borderId="1" xfId="0" applyNumberFormat="1" applyFont="1" applyBorder="1" applyAlignment="1">
      <alignment vertical="center" wrapText="1"/>
    </xf>
    <xf numFmtId="0" fontId="10" fillId="0" borderId="4" xfId="0" applyFont="1" applyBorder="1" applyAlignment="1">
      <alignment vertical="center" wrapText="1"/>
    </xf>
    <xf numFmtId="164" fontId="16" fillId="0" borderId="0" xfId="0" applyNumberFormat="1" applyFont="1" applyAlignment="1">
      <alignment vertical="center"/>
    </xf>
    <xf numFmtId="0" fontId="22" fillId="3" borderId="0" xfId="0" quotePrefix="1" applyFont="1" applyFill="1" applyAlignment="1">
      <alignment horizontal="left" vertical="center"/>
    </xf>
    <xf numFmtId="164" fontId="20" fillId="0" borderId="1" xfId="0" applyNumberFormat="1" applyFont="1" applyBorder="1" applyAlignment="1">
      <alignment vertical="center"/>
    </xf>
    <xf numFmtId="164" fontId="19" fillId="0" borderId="1" xfId="0" applyNumberFormat="1" applyFont="1" applyBorder="1" applyAlignment="1">
      <alignment vertical="center"/>
    </xf>
    <xf numFmtId="0" fontId="10" fillId="0" borderId="0" xfId="0" applyFont="1" applyAlignment="1">
      <alignment horizontal="justify" vertical="center" wrapText="1"/>
    </xf>
    <xf numFmtId="164" fontId="16" fillId="0" borderId="0" xfId="0" applyNumberFormat="1" applyFont="1" applyAlignment="1">
      <alignment horizontal="left" vertical="center"/>
    </xf>
    <xf numFmtId="1" fontId="21" fillId="0" borderId="0" xfId="0" applyNumberFormat="1" applyFont="1" applyAlignment="1">
      <alignment horizontal="left" vertical="center"/>
    </xf>
    <xf numFmtId="0" fontId="21" fillId="0" borderId="0" xfId="0" applyFont="1" applyAlignment="1">
      <alignment vertical="center"/>
    </xf>
    <xf numFmtId="0" fontId="20" fillId="0" borderId="0" xfId="0" applyFont="1" applyAlignment="1">
      <alignment horizontal="left" vertical="center"/>
    </xf>
    <xf numFmtId="0" fontId="20" fillId="0" borderId="0" xfId="0" applyFont="1" applyAlignment="1">
      <alignment vertical="center"/>
    </xf>
    <xf numFmtId="0" fontId="23" fillId="0" borderId="0" xfId="0" applyFont="1" applyAlignment="1">
      <alignment vertical="center"/>
    </xf>
    <xf numFmtId="165" fontId="16" fillId="0" borderId="0" xfId="0" applyNumberFormat="1" applyFont="1" applyAlignment="1">
      <alignment vertical="center"/>
    </xf>
    <xf numFmtId="0" fontId="26" fillId="0" borderId="0" xfId="4" applyFont="1" applyAlignment="1">
      <alignment horizontal="left" vertical="center"/>
    </xf>
    <xf numFmtId="0" fontId="27" fillId="0" borderId="0" xfId="4" applyFont="1" applyAlignment="1">
      <alignment vertical="center"/>
    </xf>
    <xf numFmtId="0" fontId="25" fillId="0" borderId="0" xfId="4" applyAlignment="1">
      <alignment vertical="center"/>
    </xf>
    <xf numFmtId="0" fontId="25" fillId="0" borderId="0" xfId="4"/>
    <xf numFmtId="0" fontId="27" fillId="0" borderId="0" xfId="4" applyFont="1" applyAlignment="1">
      <alignment horizontal="left" vertical="center"/>
    </xf>
    <xf numFmtId="0" fontId="25" fillId="0" borderId="0" xfId="4" applyAlignment="1">
      <alignment horizontal="center" vertical="center"/>
    </xf>
    <xf numFmtId="0" fontId="25" fillId="5" borderId="1" xfId="4" applyFill="1" applyBorder="1" applyAlignment="1">
      <alignment horizontal="center" vertical="center" wrapText="1"/>
    </xf>
    <xf numFmtId="0" fontId="28" fillId="0" borderId="9" xfId="4" applyFont="1" applyBorder="1" applyAlignment="1">
      <alignment horizontal="center" vertical="center"/>
    </xf>
    <xf numFmtId="0" fontId="28" fillId="0" borderId="9" xfId="4" applyFont="1" applyBorder="1" applyAlignment="1">
      <alignment vertical="center"/>
    </xf>
    <xf numFmtId="0" fontId="28" fillId="0" borderId="9" xfId="4" applyFont="1" applyBorder="1" applyAlignment="1">
      <alignment vertical="center" wrapText="1"/>
    </xf>
    <xf numFmtId="0" fontId="28" fillId="0" borderId="10" xfId="4" applyFont="1" applyBorder="1" applyAlignment="1">
      <alignment horizontal="center" vertical="center"/>
    </xf>
    <xf numFmtId="0" fontId="28" fillId="0" borderId="10" xfId="4" applyFont="1" applyBorder="1" applyAlignment="1">
      <alignment vertical="center" wrapText="1"/>
    </xf>
    <xf numFmtId="0" fontId="28" fillId="0" borderId="10" xfId="4" applyFont="1" applyBorder="1" applyAlignment="1">
      <alignment vertical="center"/>
    </xf>
    <xf numFmtId="0" fontId="22" fillId="0" borderId="11" xfId="4" applyFont="1" applyBorder="1" applyAlignment="1">
      <alignment horizontal="center" vertical="center"/>
    </xf>
    <xf numFmtId="0" fontId="22" fillId="0" borderId="11" xfId="4" applyFont="1" applyBorder="1" applyAlignment="1">
      <alignment vertical="center"/>
    </xf>
    <xf numFmtId="15" fontId="22" fillId="0" borderId="11" xfId="4" quotePrefix="1" applyNumberFormat="1" applyFont="1" applyBorder="1" applyAlignment="1">
      <alignment vertical="center"/>
    </xf>
    <xf numFmtId="0" fontId="22" fillId="0" borderId="11" xfId="4" quotePrefix="1" applyFont="1" applyBorder="1" applyAlignment="1">
      <alignment vertical="center"/>
    </xf>
    <xf numFmtId="0" fontId="29" fillId="0" borderId="0" xfId="4" applyFont="1"/>
    <xf numFmtId="0" fontId="29" fillId="0" borderId="0" xfId="4" applyFont="1" applyAlignment="1">
      <alignment vertical="center"/>
    </xf>
    <xf numFmtId="0" fontId="28" fillId="0" borderId="10" xfId="4" quotePrefix="1" applyFont="1" applyBorder="1" applyAlignment="1">
      <alignment vertical="center" wrapText="1"/>
    </xf>
    <xf numFmtId="0" fontId="28" fillId="0" borderId="9" xfId="4" quotePrefix="1" applyFont="1" applyBorder="1" applyAlignment="1">
      <alignment vertical="center" wrapText="1"/>
    </xf>
    <xf numFmtId="0" fontId="30" fillId="0" borderId="0" xfId="5" applyFont="1"/>
    <xf numFmtId="0" fontId="4" fillId="0" borderId="0" xfId="5"/>
    <xf numFmtId="0" fontId="25" fillId="0" borderId="0" xfId="5" applyFont="1" applyAlignment="1">
      <alignment horizontal="left"/>
    </xf>
    <xf numFmtId="0" fontId="25" fillId="0" borderId="0" xfId="5" applyFont="1" applyAlignment="1" applyProtection="1">
      <alignment horizontal="left"/>
      <protection locked="0"/>
    </xf>
    <xf numFmtId="0" fontId="4" fillId="0" borderId="0" xfId="5" applyAlignment="1">
      <alignment horizontal="right"/>
    </xf>
    <xf numFmtId="0" fontId="24" fillId="0" borderId="0" xfId="5" applyFont="1"/>
    <xf numFmtId="0" fontId="4" fillId="0" borderId="1" xfId="5" applyBorder="1" applyAlignment="1">
      <alignment horizontal="center" vertical="top" wrapText="1"/>
    </xf>
    <xf numFmtId="0" fontId="31" fillId="0" borderId="1" xfId="5" applyFont="1" applyBorder="1" applyAlignment="1">
      <alignment horizontal="left" vertical="top" wrapText="1"/>
    </xf>
    <xf numFmtId="0" fontId="4" fillId="0" borderId="4" xfId="5" applyBorder="1" applyAlignment="1">
      <alignment horizontal="left" vertical="top" wrapText="1"/>
    </xf>
    <xf numFmtId="0" fontId="4" fillId="0" borderId="4" xfId="5" applyBorder="1" applyAlignment="1">
      <alignment horizontal="center" vertical="top" wrapText="1"/>
    </xf>
    <xf numFmtId="0" fontId="4" fillId="0" borderId="6" xfId="5" applyBorder="1" applyAlignment="1">
      <alignment horizontal="left" vertical="top" wrapText="1"/>
    </xf>
    <xf numFmtId="0" fontId="4" fillId="0" borderId="7" xfId="5" applyBorder="1" applyAlignment="1">
      <alignment horizontal="left" vertical="top" wrapText="1"/>
    </xf>
    <xf numFmtId="0" fontId="4" fillId="0" borderId="1" xfId="5" applyBorder="1" applyAlignment="1">
      <alignment horizontal="left" vertical="top" wrapText="1"/>
    </xf>
    <xf numFmtId="0" fontId="4" fillId="0" borderId="3" xfId="5" applyBorder="1" applyAlignment="1">
      <alignment horizontal="center" vertical="top" wrapText="1"/>
    </xf>
    <xf numFmtId="0" fontId="31" fillId="0" borderId="3" xfId="5" applyFont="1" applyBorder="1" applyAlignment="1">
      <alignment horizontal="left" vertical="top" wrapText="1"/>
    </xf>
    <xf numFmtId="0" fontId="4" fillId="0" borderId="12" xfId="5" applyBorder="1" applyAlignment="1">
      <alignment horizontal="left" vertical="top" wrapText="1"/>
    </xf>
    <xf numFmtId="0" fontId="4" fillId="0" borderId="5" xfId="5" applyBorder="1" applyAlignment="1">
      <alignment horizontal="center" vertical="top" wrapText="1"/>
    </xf>
    <xf numFmtId="0" fontId="4" fillId="0" borderId="5" xfId="5" applyBorder="1" applyAlignment="1">
      <alignment horizontal="left" vertical="top" wrapText="1"/>
    </xf>
    <xf numFmtId="0" fontId="4" fillId="0" borderId="14" xfId="5" applyBorder="1" applyAlignment="1">
      <alignment horizontal="left" vertical="top" wrapText="1"/>
    </xf>
    <xf numFmtId="0" fontId="4" fillId="0" borderId="16" xfId="5" applyBorder="1" applyAlignment="1">
      <alignment horizontal="left" vertical="top" wrapText="1"/>
    </xf>
    <xf numFmtId="0" fontId="33" fillId="0" borderId="16" xfId="5" applyFont="1" applyBorder="1" applyAlignment="1">
      <alignment horizontal="left" vertical="top" wrapText="1"/>
    </xf>
    <xf numFmtId="0" fontId="4" fillId="0" borderId="0" xfId="5" applyAlignment="1">
      <alignment horizontal="left"/>
    </xf>
    <xf numFmtId="0" fontId="31" fillId="0" borderId="0" xfId="4" applyFont="1" applyAlignment="1">
      <alignment vertical="center"/>
    </xf>
    <xf numFmtId="0" fontId="10" fillId="4" borderId="1" xfId="0" applyFont="1" applyFill="1" applyBorder="1" applyAlignment="1">
      <alignment horizontal="center" vertical="center"/>
    </xf>
    <xf numFmtId="0" fontId="10" fillId="4" borderId="1" xfId="0" applyFont="1" applyFill="1" applyBorder="1" applyAlignment="1">
      <alignment horizontal="left" vertical="center"/>
    </xf>
    <xf numFmtId="41" fontId="0" fillId="2" borderId="2" xfId="0" applyNumberFormat="1" applyFill="1" applyBorder="1"/>
    <xf numFmtId="41" fontId="0" fillId="0" borderId="0" xfId="0" applyNumberFormat="1"/>
    <xf numFmtId="0" fontId="16" fillId="0" borderId="1" xfId="0" applyFont="1" applyBorder="1" applyAlignment="1">
      <alignment vertical="center"/>
    </xf>
    <xf numFmtId="0" fontId="16" fillId="4" borderId="1" xfId="0" applyFont="1" applyFill="1" applyBorder="1" applyAlignment="1">
      <alignment horizontal="left" vertical="center"/>
    </xf>
    <xf numFmtId="41" fontId="16" fillId="0" borderId="1" xfId="0" applyNumberFormat="1" applyFont="1" applyBorder="1" applyAlignment="1">
      <alignment vertical="center"/>
    </xf>
    <xf numFmtId="0" fontId="10" fillId="0" borderId="10" xfId="0" applyFont="1" applyBorder="1" applyAlignment="1">
      <alignment vertical="center" wrapText="1"/>
    </xf>
    <xf numFmtId="0" fontId="22" fillId="0" borderId="5" xfId="4" applyFont="1" applyBorder="1" applyAlignment="1">
      <alignment vertical="center"/>
    </xf>
    <xf numFmtId="41" fontId="10" fillId="0" borderId="1" xfId="0" applyNumberFormat="1" applyFont="1" applyBorder="1" applyAlignment="1">
      <alignment horizontal="left" vertical="center"/>
    </xf>
    <xf numFmtId="0" fontId="19"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27" fillId="0" borderId="17" xfId="0" applyFont="1" applyBorder="1"/>
    <xf numFmtId="0" fontId="27" fillId="0" borderId="0" xfId="0" applyFont="1"/>
    <xf numFmtId="0" fontId="14" fillId="0" borderId="1" xfId="0" applyFont="1" applyBorder="1" applyAlignment="1">
      <alignment vertical="center"/>
    </xf>
    <xf numFmtId="41" fontId="10" fillId="0" borderId="1" xfId="0" applyNumberFormat="1" applyFont="1" applyBorder="1" applyAlignment="1">
      <alignment horizontal="left" vertical="center" wrapText="1"/>
    </xf>
    <xf numFmtId="0" fontId="27" fillId="0" borderId="0" xfId="0" applyFont="1" applyAlignment="1">
      <alignment horizontal="left"/>
    </xf>
    <xf numFmtId="0" fontId="14" fillId="0" borderId="0" xfId="0" applyFont="1"/>
    <xf numFmtId="0" fontId="0" fillId="0" borderId="8" xfId="0" applyBorder="1"/>
    <xf numFmtId="0" fontId="36" fillId="6" borderId="18" xfId="7" applyFont="1" applyFill="1" applyBorder="1" applyAlignment="1">
      <alignment vertical="center"/>
    </xf>
    <xf numFmtId="0" fontId="35" fillId="0" borderId="0" xfId="7"/>
    <xf numFmtId="0" fontId="35" fillId="0" borderId="14" xfId="7" applyBorder="1" applyAlignment="1">
      <alignment horizontal="right"/>
    </xf>
    <xf numFmtId="0" fontId="35" fillId="0" borderId="14" xfId="7" applyBorder="1"/>
    <xf numFmtId="0" fontId="35" fillId="0" borderId="18" xfId="7" applyBorder="1" applyAlignment="1">
      <alignment horizontal="right"/>
    </xf>
    <xf numFmtId="0" fontId="35" fillId="0" borderId="18" xfId="7" applyBorder="1"/>
    <xf numFmtId="0" fontId="35" fillId="0" borderId="12" xfId="7" applyBorder="1" applyAlignment="1">
      <alignment horizontal="right"/>
    </xf>
    <xf numFmtId="0" fontId="35" fillId="0" borderId="12" xfId="7" applyBorder="1"/>
    <xf numFmtId="0" fontId="35" fillId="7" borderId="18" xfId="7" applyFill="1" applyBorder="1" applyAlignment="1">
      <alignment horizontal="right"/>
    </xf>
    <xf numFmtId="0" fontId="35" fillId="7" borderId="18" xfId="7" applyFill="1" applyBorder="1"/>
    <xf numFmtId="0" fontId="35" fillId="7" borderId="0" xfId="7" applyFill="1"/>
    <xf numFmtId="0" fontId="3" fillId="0" borderId="0" xfId="8"/>
    <xf numFmtId="0" fontId="3" fillId="0" borderId="0" xfId="8" applyAlignment="1">
      <alignment vertical="center"/>
    </xf>
    <xf numFmtId="0" fontId="3" fillId="3" borderId="0" xfId="8" applyFill="1" applyAlignment="1">
      <alignment vertical="center"/>
    </xf>
    <xf numFmtId="0" fontId="3" fillId="6" borderId="0" xfId="8" applyFill="1" applyAlignment="1">
      <alignment vertical="center"/>
    </xf>
    <xf numFmtId="0" fontId="3" fillId="8" borderId="0" xfId="8" applyFill="1" applyAlignment="1">
      <alignment vertical="center"/>
    </xf>
    <xf numFmtId="0" fontId="3" fillId="9" borderId="0" xfId="8" applyFill="1" applyAlignment="1">
      <alignment vertical="center"/>
    </xf>
    <xf numFmtId="0" fontId="3" fillId="10" borderId="0" xfId="8" applyFill="1" applyAlignment="1">
      <alignment vertical="center"/>
    </xf>
    <xf numFmtId="0" fontId="3" fillId="4" borderId="0" xfId="8" applyFill="1" applyAlignment="1">
      <alignment vertical="center"/>
    </xf>
    <xf numFmtId="0" fontId="3" fillId="11" borderId="0" xfId="8" applyFill="1" applyAlignment="1">
      <alignment vertical="center"/>
    </xf>
    <xf numFmtId="0" fontId="3" fillId="0" borderId="0" xfId="8" applyAlignment="1">
      <alignment horizontal="center" vertical="center"/>
    </xf>
    <xf numFmtId="0" fontId="2" fillId="0" borderId="0" xfId="8" applyFont="1" applyAlignment="1">
      <alignment vertical="center"/>
    </xf>
    <xf numFmtId="0" fontId="2" fillId="3" borderId="0" xfId="8" applyFont="1" applyFill="1" applyAlignment="1">
      <alignment vertical="center"/>
    </xf>
    <xf numFmtId="0" fontId="12" fillId="4" borderId="6" xfId="0" applyFont="1" applyFill="1" applyBorder="1" applyAlignment="1">
      <alignment horizontal="left" vertical="center"/>
    </xf>
    <xf numFmtId="0" fontId="12" fillId="4" borderId="7" xfId="0" applyFont="1" applyFill="1" applyBorder="1" applyAlignment="1">
      <alignment horizontal="left" vertical="center"/>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wrapText="1"/>
    </xf>
    <xf numFmtId="0" fontId="0" fillId="0" borderId="0" xfId="0" applyAlignment="1">
      <alignment horizontal="center" vertical="center"/>
    </xf>
    <xf numFmtId="0" fontId="6" fillId="4" borderId="4"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7" fillId="4" borderId="4" xfId="0" applyFont="1" applyFill="1" applyBorder="1" applyAlignment="1">
      <alignment horizontal="righ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4" borderId="1" xfId="0" applyFont="1" applyFill="1" applyBorder="1" applyAlignment="1">
      <alignment horizontal="center" vertical="center" wrapText="1"/>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0" fillId="0" borderId="0" xfId="0" applyAlignment="1">
      <alignment horizontal="center"/>
    </xf>
    <xf numFmtId="0" fontId="20" fillId="0" borderId="4" xfId="0" applyFont="1" applyBorder="1" applyAlignment="1">
      <alignment horizontal="center" vertical="center" wrapText="1"/>
    </xf>
    <xf numFmtId="0" fontId="4" fillId="0" borderId="6" xfId="5" applyBorder="1" applyAlignment="1">
      <alignment horizontal="left" vertical="center" wrapText="1"/>
    </xf>
    <xf numFmtId="0" fontId="4" fillId="0" borderId="7" xfId="5" applyBorder="1" applyAlignment="1">
      <alignment horizontal="left" vertical="center" wrapText="1"/>
    </xf>
    <xf numFmtId="0" fontId="4" fillId="0" borderId="0" xfId="5" applyAlignment="1">
      <alignment horizontal="left"/>
    </xf>
    <xf numFmtId="0" fontId="31" fillId="0" borderId="4" xfId="5" applyFont="1" applyBorder="1" applyAlignment="1">
      <alignment horizontal="left" vertical="top" wrapText="1"/>
    </xf>
    <xf numFmtId="0" fontId="31" fillId="0" borderId="7" xfId="5" applyFont="1" applyBorder="1" applyAlignment="1">
      <alignment horizontal="left" vertical="top" wrapText="1"/>
    </xf>
    <xf numFmtId="0" fontId="4" fillId="0" borderId="6" xfId="5" applyBorder="1" applyAlignment="1">
      <alignment horizontal="left" vertical="top" wrapText="1"/>
    </xf>
    <xf numFmtId="0" fontId="4" fillId="0" borderId="7" xfId="5" applyBorder="1" applyAlignment="1">
      <alignment horizontal="left" vertical="top" wrapText="1"/>
    </xf>
    <xf numFmtId="0" fontId="32" fillId="0" borderId="13" xfId="5" applyFont="1" applyBorder="1" applyAlignment="1">
      <alignment horizontal="left" vertical="top" wrapText="1"/>
    </xf>
    <xf numFmtId="0" fontId="32" fillId="0" borderId="3" xfId="5" applyFont="1" applyBorder="1" applyAlignment="1">
      <alignment horizontal="left" vertical="top" wrapText="1"/>
    </xf>
    <xf numFmtId="0" fontId="32" fillId="0" borderId="15" xfId="5" quotePrefix="1" applyFont="1" applyBorder="1" applyAlignment="1">
      <alignment horizontal="left" vertical="top" wrapText="1"/>
    </xf>
    <xf numFmtId="0" fontId="32" fillId="0" borderId="5" xfId="5" applyFont="1" applyBorder="1" applyAlignment="1">
      <alignment horizontal="left" vertical="top" wrapText="1"/>
    </xf>
    <xf numFmtId="0" fontId="25" fillId="0" borderId="0" xfId="5" applyFont="1" applyAlignment="1">
      <alignment horizontal="left"/>
    </xf>
    <xf numFmtId="0" fontId="30" fillId="0" borderId="0" xfId="5" applyFont="1" applyAlignment="1">
      <alignment horizontal="center"/>
    </xf>
    <xf numFmtId="0" fontId="1" fillId="0" borderId="0" xfId="8" applyFont="1" applyAlignment="1">
      <alignment vertical="center"/>
    </xf>
  </cellXfs>
  <cellStyles count="9">
    <cellStyle name="Comma" xfId="3" builtinId="3"/>
    <cellStyle name="Hyperlink 2" xfId="6" xr:uid="{EF707A6D-BB5B-4B4D-8AD9-1F3340A9F6CB}"/>
    <cellStyle name="Normal" xfId="0" builtinId="0"/>
    <cellStyle name="Normal 2" xfId="1" xr:uid="{DBDA7D4E-404E-4D09-848A-93BB3A359838}"/>
    <cellStyle name="Normal 2 2" xfId="2" xr:uid="{7A6D1C06-46F9-4E62-864B-DABAB4171F6E}"/>
    <cellStyle name="Normal 2 3" xfId="7" xr:uid="{D0FCAA28-1C45-499B-98C6-956FF659ECDA}"/>
    <cellStyle name="Normal 3" xfId="4" xr:uid="{84ADF5A8-5DD8-4EE1-936A-338A015FB41E}"/>
    <cellStyle name="Normal 4" xfId="5" xr:uid="{DCD10B6E-E723-48AD-9C76-E717424A9644}"/>
    <cellStyle name="Normal 5" xfId="8" xr:uid="{02A424A8-2784-4BB1-B8B9-2CEE218D8EE7}"/>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s>
</file>

<file path=xl/drawings/drawing1.xml><?xml version="1.0" encoding="utf-8"?>
<xdr:wsDr xmlns:xdr="http://schemas.openxmlformats.org/drawingml/2006/spreadsheetDrawing" xmlns:a="http://schemas.openxmlformats.org/drawingml/2006/main">
  <xdr:twoCellAnchor>
    <xdr:from>
      <xdr:col>10</xdr:col>
      <xdr:colOff>371476</xdr:colOff>
      <xdr:row>0</xdr:row>
      <xdr:rowOff>180974</xdr:rowOff>
    </xdr:from>
    <xdr:to>
      <xdr:col>14</xdr:col>
      <xdr:colOff>1276351</xdr:colOff>
      <xdr:row>6</xdr:row>
      <xdr:rowOff>123825</xdr:rowOff>
    </xdr:to>
    <xdr:sp macro="" textlink="">
      <xdr:nvSpPr>
        <xdr:cNvPr id="2" name="Rectangle 1">
          <a:extLst>
            <a:ext uri="{FF2B5EF4-FFF2-40B4-BE49-F238E27FC236}">
              <a16:creationId xmlns:a16="http://schemas.microsoft.com/office/drawing/2014/main" id="{0B881836-EAD6-470B-ACFE-F5AD0ACA7B38}"/>
            </a:ext>
          </a:extLst>
        </xdr:cNvPr>
        <xdr:cNvSpPr/>
      </xdr:nvSpPr>
      <xdr:spPr>
        <a:xfrm>
          <a:off x="14458951" y="180974"/>
          <a:ext cx="5514975" cy="1371601"/>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i="1"/>
            <a:t>Format</a:t>
          </a:r>
          <a:r>
            <a:rPr lang="en-US" sz="1200" i="1" baseline="0"/>
            <a:t> Berdasarkan Lampiran IV Peraturan Direktur Jenderal Perbendaharaan  Nomor : PER-22/PB/2013 Tentang Ketentuan lebih Lanjut Pelaksanaan Perjadin Dalam Negeri Bagi Pejabat Negara, Pegawai Negara dan Pegawai Tidak Tetap.</a:t>
          </a:r>
          <a:endParaRPr lang="en-US" sz="1200"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2588557</xdr:colOff>
      <xdr:row>15</xdr:row>
      <xdr:rowOff>49306</xdr:rowOff>
    </xdr:from>
    <xdr:to>
      <xdr:col>5</xdr:col>
      <xdr:colOff>342337</xdr:colOff>
      <xdr:row>15</xdr:row>
      <xdr:rowOff>224117</xdr:rowOff>
    </xdr:to>
    <xdr:sp macro="" textlink="">
      <xdr:nvSpPr>
        <xdr:cNvPr id="2" name="Rectangle 1">
          <a:extLst>
            <a:ext uri="{FF2B5EF4-FFF2-40B4-BE49-F238E27FC236}">
              <a16:creationId xmlns:a16="http://schemas.microsoft.com/office/drawing/2014/main" id="{7D05DC2D-7532-4A13-9EB1-9F0934F6D732}"/>
            </a:ext>
          </a:extLst>
        </xdr:cNvPr>
        <xdr:cNvSpPr/>
      </xdr:nvSpPr>
      <xdr:spPr>
        <a:xfrm>
          <a:off x="3226732" y="6011956"/>
          <a:ext cx="3040155" cy="174811"/>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a:t>b.                       "terlampir"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la\Illa's%20Document\-ILLA-\Users\Gusrax\Desktop\Documents%20and%20Settings\Keuangan5\My%20Documents\Unduhan\SS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Illa\Illa's%20Document\-ILLA-\Users\Gusrax\Desktop\Documents%20and%20Settings\Keuangan5\My%20Documents\Unduhan\SS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Users\AQILAP~1\AppData\Local\Temp\Rar$DI00.975\Tabel%20Konversi%20Waktu%20Kerj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1_mcs/DATA04/DATSTU/Datstu/FPsikologi/TH2003/JOBEVDT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Illa\Illa's%20Document\-ILLA-\Archive\Belajar\Akuntansi%20Pemerintahan\Bendahara%20Pengeluaran\Aplikasi%20BP\Aplikasi%20BKU\Aplikasi%20BKU%20(Kopertis%20IV)\Pembukuan_BPKopertisIV%20_05_2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Illa\Illa's%20Document\-ILLA-\Archive\Belajar\Akuntansi%20Pemerintahan\Bendahara%20Pengeluaran\Aplikasi%20BP\Aplikasi%20BKU\Aplikasi%20BKU%20(Kopertis%20IV)\Pembukuan_BPKopertisIV%20_05_201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J%20dan%20Peta%20dr%20nisa/FINALISASI%20PETA%20JABATAN%20FROM%20ROPEG%20new/UNIT%20UTAMA/003%20Ditjen%20Dikdas%2016092014-print%20ok.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20RIZEN%20REMUNERASI%20PART%202/PASCA%20VALIDASI/Documents%20and%20Settings/Administrator/Application%20Data/Microsoft/Excel/data1_mcs/DATA04/DATPRO/WGI/GAJI/SALWGISEP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a1_mcs/DATA04/DATPRO/WGI/GAJI/SALWGI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20RIZEN%20REMUNERASI%20PART%202/PASCA%20VALIDASI/Documents%20and%20Settings/Administrator/Application%20Data/Microsoft/Excel/data1_mcs/DATA04/DATSTU/Datstu/FPsikologi/TH2003/JOBEVDT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ata_center\OTK%20LAMA\PERHITUNGAN%20BEBAN%20KERJA\Fungsional\Anjab%20OK\Analis%20Akademik%20Penyelia%20-%20O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FINALISASI%20PETA%20JABATAN%20INDOLUXE%20HOTEL%20JOGJA\FES\data1_mcs\DATA04\DATSTU\Datstu\FPsikologi\TH2003\JOBEVDT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LLDIKTI%202023\Keg.%20HKT%20Th%202023\1.%20Bimtek%20SKP%20&amp;%20Pindah%20Homebase%20Dosen%20PNS\DAFTAR%20NOMINATIF-BIMTEK%20SKP%20FINAL.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LLDIKTI%202021\Kegiatan%20Akademik%202021\3%20-%20Penandatangan%20Perjanjian%20Kerjasama%20Konsorsium%20Publikasi\FORMAT%20PERJALANAN%20DINAS%20Monev%202019.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LLDIKTI%202023\Keg.%20HKT%20Th%202023\1.%20Bimtek%20SKP%20&amp;%20Pindah%20Homebase%20Dosen%20PNS\PERJADIN%20KOLEKTIF_BIMTEK%20SDM%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mbar 1"/>
      <sheetName val="Lembar 2"/>
      <sheetName val="Lembar 3"/>
      <sheetName val="Lembar 4"/>
      <sheetName val="Lembar 5"/>
      <sheetName val="Ref"/>
      <sheetName val="REf Nama "/>
    </sheetNames>
    <sheetDataSet>
      <sheetData sheetId="0">
        <row r="11">
          <cell r="H11" t="str">
            <v>………………………………………………………………………………….</v>
          </cell>
        </row>
        <row r="39">
          <cell r="H39" t="str">
            <v>……………………..</v>
          </cell>
          <cell r="Z39" t="str">
            <v>………………….</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mbar 1"/>
      <sheetName val="Lembar 2"/>
      <sheetName val="Lembar 3"/>
      <sheetName val="Lembar 4"/>
      <sheetName val="Lembar 5"/>
      <sheetName val="Ref"/>
      <sheetName val="REf Nama "/>
    </sheetNames>
    <sheetDataSet>
      <sheetData sheetId="0">
        <row r="11">
          <cell r="H11" t="str">
            <v>………………………………………………………………………………….</v>
          </cell>
        </row>
        <row r="39">
          <cell r="H39" t="str">
            <v>……………………..</v>
          </cell>
          <cell r="Z39" t="str">
            <v>………………….</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Form"/>
    </sheetNames>
    <sheetDataSet>
      <sheetData sheetId="0">
        <row r="2">
          <cell r="A2" t="str">
            <v>mnt/hr</v>
          </cell>
        </row>
        <row r="3">
          <cell r="A3" t="str">
            <v>jam/hr</v>
          </cell>
        </row>
        <row r="4">
          <cell r="A4" t="str">
            <v>mnt/mggu</v>
          </cell>
        </row>
        <row r="5">
          <cell r="A5" t="str">
            <v>jam/mggu</v>
          </cell>
        </row>
        <row r="6">
          <cell r="A6" t="str">
            <v>hr/mggu</v>
          </cell>
        </row>
        <row r="7">
          <cell r="A7" t="str">
            <v>mnt/bln</v>
          </cell>
        </row>
        <row r="8">
          <cell r="A8" t="str">
            <v>jam/bln</v>
          </cell>
        </row>
        <row r="9">
          <cell r="A9" t="str">
            <v>hr/bln</v>
          </cell>
        </row>
        <row r="10">
          <cell r="A10" t="str">
            <v>mggu/bln</v>
          </cell>
        </row>
        <row r="11">
          <cell r="A11" t="str">
            <v>mnt/thn</v>
          </cell>
        </row>
        <row r="12">
          <cell r="A12" t="str">
            <v>jam/thn</v>
          </cell>
        </row>
        <row r="13">
          <cell r="A13" t="str">
            <v>hr/thn</v>
          </cell>
        </row>
        <row r="14">
          <cell r="A14" t="str">
            <v>mggu/thn</v>
          </cell>
        </row>
        <row r="15">
          <cell r="A15" t="str">
            <v>bln/thn</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
      <sheetName val="factor"/>
      <sheetName val="sampel"/>
      <sheetName val="sampel sort"/>
      <sheetName val="jobvalue"/>
      <sheetName val="jobvalue15"/>
      <sheetName val="jobvalue16"/>
      <sheetName val="jobvalue17"/>
      <sheetName val="jobprice15"/>
      <sheetName val="all"/>
      <sheetName val="skalagaji"/>
      <sheetName val="Graf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ode"/>
      <sheetName val="REF"/>
      <sheetName val="Input_Transaksi"/>
      <sheetName val="BKU"/>
      <sheetName val="KAS"/>
      <sheetName val="TUNAI"/>
      <sheetName val="BANK"/>
      <sheetName val="BPP"/>
      <sheetName val="UP"/>
      <sheetName val="LSB"/>
      <sheetName val="PERJADIN"/>
      <sheetName val="PJK"/>
      <sheetName val="LAIN"/>
      <sheetName val="WASJA"/>
      <sheetName val="SPP_06"/>
      <sheetName val="SPP_04"/>
      <sheetName val="SPP_03"/>
      <sheetName val="SPP_02"/>
      <sheetName val="SPP"/>
      <sheetName val="SPTB_GU"/>
      <sheetName val="SPTB_LS"/>
      <sheetName val="BAR"/>
      <sheetName val="LPJ"/>
    </sheetNames>
    <sheetDataSet>
      <sheetData sheetId="0" refreshError="1"/>
      <sheetData sheetId="1" refreshError="1"/>
      <sheetData sheetId="2">
        <row r="5">
          <cell r="U5">
            <v>5111</v>
          </cell>
        </row>
        <row r="6">
          <cell r="L6" t="str">
            <v>2010.06</v>
          </cell>
          <cell r="M6">
            <v>521211</v>
          </cell>
          <cell r="N6" t="str">
            <v>2010.06.521211</v>
          </cell>
          <cell r="O6">
            <v>107162000</v>
          </cell>
          <cell r="P6">
            <v>107162000</v>
          </cell>
          <cell r="Q6">
            <v>521211</v>
          </cell>
          <cell r="R6">
            <v>5212</v>
          </cell>
          <cell r="S6" t="str">
            <v>Belanja Barang Non Operasional</v>
          </cell>
          <cell r="U6">
            <v>5122</v>
          </cell>
          <cell r="Y6" t="str">
            <v>Bendahara Pengeluaran Balai Diklat Keuangan Cimahi</v>
          </cell>
          <cell r="Z6" t="str">
            <v>Jl. PHH Mustafa No. 38 Bandung</v>
          </cell>
          <cell r="AA6" t="str">
            <v>Bank BNI 1946</v>
          </cell>
          <cell r="AB6" t="str">
            <v>0023405309</v>
          </cell>
        </row>
        <row r="7">
          <cell r="H7">
            <v>1</v>
          </cell>
          <cell r="I7" t="str">
            <v>BUKU KAS UMUM</v>
          </cell>
          <cell r="L7" t="str">
            <v>2010.06</v>
          </cell>
          <cell r="M7">
            <v>521213</v>
          </cell>
          <cell r="N7" t="str">
            <v>2010.06.521213</v>
          </cell>
          <cell r="O7">
            <v>14900000</v>
          </cell>
          <cell r="P7">
            <v>14900000</v>
          </cell>
          <cell r="Q7">
            <v>521213</v>
          </cell>
          <cell r="R7">
            <v>5212</v>
          </cell>
          <cell r="S7" t="str">
            <v>Belanja Barang Non Operasional</v>
          </cell>
          <cell r="U7">
            <v>5211</v>
          </cell>
          <cell r="Y7" t="str">
            <v>Para Pegawai</v>
          </cell>
          <cell r="Z7" t="str">
            <v>Jl. PHH Mustafa No. 38 Bandung</v>
          </cell>
          <cell r="AA7" t="str">
            <v>Bank BNI 1946</v>
          </cell>
          <cell r="AB7" t="str">
            <v>0023405309</v>
          </cell>
        </row>
        <row r="8">
          <cell r="H8">
            <v>2</v>
          </cell>
          <cell r="I8" t="str">
            <v>BUKU PEMBANTU KAS</v>
          </cell>
          <cell r="L8" t="str">
            <v>2010.06</v>
          </cell>
          <cell r="M8">
            <v>521219</v>
          </cell>
          <cell r="N8" t="str">
            <v>2010.06.521219</v>
          </cell>
          <cell r="O8">
            <v>636680000</v>
          </cell>
          <cell r="P8">
            <v>636680000</v>
          </cell>
          <cell r="Q8">
            <v>521219</v>
          </cell>
          <cell r="R8">
            <v>5212</v>
          </cell>
          <cell r="S8" t="str">
            <v>Belanja Barang Non Operasional</v>
          </cell>
          <cell r="U8">
            <v>5212</v>
          </cell>
        </row>
        <row r="9">
          <cell r="H9">
            <v>3</v>
          </cell>
          <cell r="I9" t="str">
            <v>BUKU PEMBANTU KAS TUNAI</v>
          </cell>
          <cell r="L9" t="str">
            <v>2010.06</v>
          </cell>
          <cell r="M9">
            <v>522115</v>
          </cell>
          <cell r="N9" t="str">
            <v>2010.06.522115</v>
          </cell>
          <cell r="O9">
            <v>106650000</v>
          </cell>
          <cell r="P9">
            <v>106650000</v>
          </cell>
          <cell r="Q9">
            <v>522115</v>
          </cell>
          <cell r="R9">
            <v>5221</v>
          </cell>
          <cell r="S9" t="str">
            <v>Belanja Jasa</v>
          </cell>
          <cell r="U9">
            <v>5221</v>
          </cell>
        </row>
        <row r="10">
          <cell r="H10">
            <v>4</v>
          </cell>
          <cell r="I10" t="str">
            <v>BUKU PEMBANTU BANK</v>
          </cell>
          <cell r="L10" t="str">
            <v>2010.06</v>
          </cell>
          <cell r="M10">
            <v>524119</v>
          </cell>
          <cell r="N10" t="str">
            <v>2010.06.524119</v>
          </cell>
          <cell r="O10">
            <v>51957000</v>
          </cell>
          <cell r="P10">
            <v>51957000</v>
          </cell>
          <cell r="Q10">
            <v>524119</v>
          </cell>
          <cell r="R10">
            <v>5241</v>
          </cell>
          <cell r="S10" t="str">
            <v>Belanja Perjalanan Dalam Negeri</v>
          </cell>
          <cell r="U10">
            <v>5231</v>
          </cell>
        </row>
        <row r="11">
          <cell r="H11">
            <v>5</v>
          </cell>
          <cell r="I11" t="str">
            <v>BUKU PEMBANTU BPP</v>
          </cell>
          <cell r="L11" t="str">
            <v>2010.10</v>
          </cell>
          <cell r="M11">
            <v>521211</v>
          </cell>
          <cell r="N11" t="str">
            <v>2010.10.521211</v>
          </cell>
          <cell r="O11">
            <v>14506000</v>
          </cell>
          <cell r="P11">
            <v>14506000</v>
          </cell>
          <cell r="Q11">
            <v>521211</v>
          </cell>
          <cell r="R11">
            <v>5212</v>
          </cell>
          <cell r="S11" t="str">
            <v>Belanja Barang Non Operasional</v>
          </cell>
          <cell r="U11">
            <v>5241</v>
          </cell>
        </row>
        <row r="12">
          <cell r="H12">
            <v>6</v>
          </cell>
          <cell r="I12" t="str">
            <v>BUKU PEMBANTU UP</v>
          </cell>
          <cell r="L12" t="str">
            <v>2010.10</v>
          </cell>
          <cell r="M12">
            <v>521213</v>
          </cell>
          <cell r="N12" t="str">
            <v>2010.10.521213</v>
          </cell>
          <cell r="O12">
            <v>3700000</v>
          </cell>
          <cell r="P12">
            <v>3700000</v>
          </cell>
          <cell r="Q12">
            <v>521213</v>
          </cell>
          <cell r="R12">
            <v>5212</v>
          </cell>
          <cell r="S12" t="str">
            <v>Belanja Barang Non Operasional</v>
          </cell>
          <cell r="U12">
            <v>5311</v>
          </cell>
        </row>
        <row r="13">
          <cell r="H13">
            <v>7</v>
          </cell>
          <cell r="I13" t="str">
            <v>BUKU PEMBANTU LS BENDAHARA</v>
          </cell>
          <cell r="L13" t="str">
            <v>2010.10</v>
          </cell>
          <cell r="M13">
            <v>521219</v>
          </cell>
          <cell r="N13" t="str">
            <v>2010.10.521219</v>
          </cell>
          <cell r="O13">
            <v>87750000</v>
          </cell>
          <cell r="P13">
            <v>87750000</v>
          </cell>
          <cell r="Q13">
            <v>521219</v>
          </cell>
          <cell r="R13">
            <v>5212</v>
          </cell>
          <cell r="S13" t="str">
            <v>Belanja Barang Non Operasional</v>
          </cell>
          <cell r="U13">
            <v>5321</v>
          </cell>
        </row>
        <row r="14">
          <cell r="H14">
            <v>8</v>
          </cell>
          <cell r="I14" t="str">
            <v>BUKU PEMBANTU UANG MUKA PERJADIN</v>
          </cell>
          <cell r="L14" t="str">
            <v>2010.10</v>
          </cell>
          <cell r="M14">
            <v>522115</v>
          </cell>
          <cell r="N14" t="str">
            <v>2010.10.522115</v>
          </cell>
          <cell r="O14">
            <v>19150000</v>
          </cell>
          <cell r="P14">
            <v>19150000</v>
          </cell>
          <cell r="Q14">
            <v>522115</v>
          </cell>
          <cell r="R14">
            <v>5221</v>
          </cell>
          <cell r="S14" t="str">
            <v>Belanja Jasa</v>
          </cell>
          <cell r="U14">
            <v>5331</v>
          </cell>
        </row>
        <row r="15">
          <cell r="H15">
            <v>9</v>
          </cell>
          <cell r="I15" t="str">
            <v>BUKU PEMBANTU PAJAK</v>
          </cell>
          <cell r="L15" t="str">
            <v>2010.10</v>
          </cell>
          <cell r="M15">
            <v>524119</v>
          </cell>
          <cell r="N15" t="str">
            <v>2010.10.524119</v>
          </cell>
          <cell r="O15">
            <v>11548000</v>
          </cell>
          <cell r="P15">
            <v>11548000</v>
          </cell>
          <cell r="Q15">
            <v>524119</v>
          </cell>
          <cell r="R15">
            <v>5241</v>
          </cell>
          <cell r="S15" t="str">
            <v>Belanja Perjalanan Dalam Negeri</v>
          </cell>
        </row>
        <row r="16">
          <cell r="H16">
            <v>10</v>
          </cell>
          <cell r="I16" t="str">
            <v>BUKU PEMBANTU LAIN-LAIN</v>
          </cell>
          <cell r="L16" t="str">
            <v>2010.14</v>
          </cell>
          <cell r="M16">
            <v>521211</v>
          </cell>
          <cell r="N16" t="str">
            <v>2010.14.521211</v>
          </cell>
          <cell r="O16">
            <v>61857000</v>
          </cell>
          <cell r="P16">
            <v>61857000</v>
          </cell>
          <cell r="Q16">
            <v>521211</v>
          </cell>
          <cell r="R16">
            <v>5212</v>
          </cell>
          <cell r="S16" t="str">
            <v>Belanja Barang Non Operasional</v>
          </cell>
        </row>
        <row r="17">
          <cell r="L17" t="str">
            <v>2010.14</v>
          </cell>
          <cell r="M17">
            <v>521213</v>
          </cell>
          <cell r="N17" t="str">
            <v>2010.14.521213</v>
          </cell>
          <cell r="O17">
            <v>18500000</v>
          </cell>
          <cell r="P17">
            <v>18500000</v>
          </cell>
          <cell r="Q17">
            <v>521213</v>
          </cell>
          <cell r="R17">
            <v>5212</v>
          </cell>
          <cell r="S17" t="str">
            <v>Belanja Barang Non Operasional</v>
          </cell>
        </row>
        <row r="18">
          <cell r="L18" t="str">
            <v>2010.14</v>
          </cell>
          <cell r="M18">
            <v>521219</v>
          </cell>
          <cell r="N18" t="str">
            <v>2010.14.521219</v>
          </cell>
          <cell r="O18">
            <v>152180000</v>
          </cell>
          <cell r="P18">
            <v>152180000</v>
          </cell>
          <cell r="Q18">
            <v>521219</v>
          </cell>
          <cell r="R18">
            <v>5212</v>
          </cell>
          <cell r="S18" t="str">
            <v>Belanja Barang Non Operasional</v>
          </cell>
        </row>
        <row r="19">
          <cell r="L19" t="str">
            <v>2010.14</v>
          </cell>
          <cell r="M19">
            <v>522115</v>
          </cell>
          <cell r="N19" t="str">
            <v>2010.14.522115</v>
          </cell>
          <cell r="O19">
            <v>87500000</v>
          </cell>
          <cell r="P19">
            <v>87500000</v>
          </cell>
          <cell r="Q19">
            <v>522115</v>
          </cell>
          <cell r="R19">
            <v>5221</v>
          </cell>
          <cell r="S19" t="str">
            <v>Belanja Jasa</v>
          </cell>
          <cell r="V19" t="str">
            <v>Pengeluaran Anggaran</v>
          </cell>
        </row>
        <row r="20">
          <cell r="L20" t="str">
            <v>2010.14</v>
          </cell>
          <cell r="M20">
            <v>524119</v>
          </cell>
          <cell r="N20" t="str">
            <v>2010.14.524119</v>
          </cell>
          <cell r="O20">
            <v>43309000</v>
          </cell>
          <cell r="P20">
            <v>43309000</v>
          </cell>
          <cell r="Q20">
            <v>524119</v>
          </cell>
          <cell r="R20">
            <v>5241</v>
          </cell>
          <cell r="S20" t="str">
            <v>Belanja Perjalanan Dalam Negeri</v>
          </cell>
          <cell r="V20" t="str">
            <v>Pengembalian Uang Mata Anggaran</v>
          </cell>
        </row>
        <row r="21">
          <cell r="L21" t="str">
            <v>2010.29</v>
          </cell>
          <cell r="M21">
            <v>521211</v>
          </cell>
          <cell r="N21" t="str">
            <v>2010.29.521211</v>
          </cell>
          <cell r="O21">
            <v>116847000</v>
          </cell>
          <cell r="P21">
            <v>116847000</v>
          </cell>
          <cell r="Q21">
            <v>521211</v>
          </cell>
          <cell r="R21">
            <v>5212</v>
          </cell>
          <cell r="S21" t="str">
            <v>Belanja Barang Non Operasional</v>
          </cell>
          <cell r="V21" t="str">
            <v>Perhitungan Fihak Ketiga</v>
          </cell>
        </row>
        <row r="22">
          <cell r="L22" t="str">
            <v>2010.29</v>
          </cell>
          <cell r="M22">
            <v>521213</v>
          </cell>
          <cell r="N22" t="str">
            <v>2010.29.521213</v>
          </cell>
          <cell r="O22">
            <v>32200000</v>
          </cell>
          <cell r="P22">
            <v>32200000</v>
          </cell>
          <cell r="Q22">
            <v>521213</v>
          </cell>
          <cell r="R22">
            <v>5212</v>
          </cell>
          <cell r="S22" t="str">
            <v>Belanja Barang Non Operasional</v>
          </cell>
          <cell r="V22" t="str">
            <v>Pengeluaran Transito</v>
          </cell>
        </row>
        <row r="23">
          <cell r="L23" t="str">
            <v>2010.29</v>
          </cell>
          <cell r="M23">
            <v>521219</v>
          </cell>
          <cell r="N23" t="str">
            <v>2010.29.521219</v>
          </cell>
          <cell r="O23">
            <v>365804000</v>
          </cell>
          <cell r="P23">
            <v>365804000</v>
          </cell>
          <cell r="Q23">
            <v>521219</v>
          </cell>
          <cell r="R23">
            <v>5212</v>
          </cell>
          <cell r="S23" t="str">
            <v>Belanja Barang Non Operasional</v>
          </cell>
          <cell r="V23" t="str">
            <v>Perhitungan Reksus</v>
          </cell>
        </row>
        <row r="24">
          <cell r="L24" t="str">
            <v>2010.29</v>
          </cell>
          <cell r="M24">
            <v>522114</v>
          </cell>
          <cell r="N24" t="str">
            <v>2010.29.522114</v>
          </cell>
          <cell r="O24">
            <v>26000000</v>
          </cell>
          <cell r="P24">
            <v>26000000</v>
          </cell>
          <cell r="Q24">
            <v>522114</v>
          </cell>
          <cell r="R24">
            <v>5221</v>
          </cell>
          <cell r="S24" t="str">
            <v>Belanja Jasa</v>
          </cell>
          <cell r="V24" t="str">
            <v>Pembetulan Pembukuan</v>
          </cell>
        </row>
        <row r="25">
          <cell r="L25" t="str">
            <v>2010.29</v>
          </cell>
          <cell r="M25">
            <v>522115</v>
          </cell>
          <cell r="N25" t="str">
            <v>2010.29.522115</v>
          </cell>
          <cell r="O25">
            <v>119650000</v>
          </cell>
          <cell r="P25">
            <v>119650000</v>
          </cell>
          <cell r="Q25">
            <v>522115</v>
          </cell>
          <cell r="R25">
            <v>5221</v>
          </cell>
          <cell r="S25" t="str">
            <v>Belanja Jasa</v>
          </cell>
        </row>
        <row r="26">
          <cell r="L26" t="str">
            <v>2010.29</v>
          </cell>
          <cell r="M26">
            <v>522119</v>
          </cell>
          <cell r="N26" t="str">
            <v>2010.29.522119</v>
          </cell>
          <cell r="O26">
            <v>42900000</v>
          </cell>
          <cell r="P26">
            <v>42900000</v>
          </cell>
          <cell r="Q26">
            <v>522119</v>
          </cell>
          <cell r="R26">
            <v>5221</v>
          </cell>
          <cell r="S26" t="str">
            <v>Belanja Jasa</v>
          </cell>
        </row>
        <row r="27">
          <cell r="H27" t="str">
            <v>A  Membukukan Pagu DIPA</v>
          </cell>
          <cell r="L27" t="str">
            <v>2010.29</v>
          </cell>
          <cell r="M27">
            <v>524119</v>
          </cell>
          <cell r="N27" t="str">
            <v>2010.29.524119</v>
          </cell>
          <cell r="O27">
            <v>96599000</v>
          </cell>
          <cell r="P27">
            <v>96599000</v>
          </cell>
          <cell r="Q27">
            <v>524119</v>
          </cell>
          <cell r="R27">
            <v>5241</v>
          </cell>
          <cell r="S27" t="str">
            <v>Belanja Perjalanan Dalam Negeri</v>
          </cell>
        </row>
        <row r="28">
          <cell r="H28" t="str">
            <v>B  Terima SP2D-UP/TUP</v>
          </cell>
          <cell r="L28" t="str">
            <v>2010.40</v>
          </cell>
          <cell r="M28">
            <v>572113</v>
          </cell>
          <cell r="N28" t="str">
            <v>2010.40.572113</v>
          </cell>
          <cell r="O28">
            <v>34083000000</v>
          </cell>
          <cell r="P28">
            <v>34083000000</v>
          </cell>
          <cell r="Q28">
            <v>572113</v>
          </cell>
          <cell r="R28">
            <v>5721</v>
          </cell>
          <cell r="S28" t="str">
            <v>Belanja  Bantuan Beasiswa</v>
          </cell>
          <cell r="V28" t="str">
            <v>Dana Uang Persediaan (UP)</v>
          </cell>
        </row>
        <row r="29">
          <cell r="H29" t="str">
            <v>C1  Terima SP2D-LS Bendahara</v>
          </cell>
          <cell r="L29" t="str">
            <v>2011.02</v>
          </cell>
          <cell r="M29">
            <v>521211</v>
          </cell>
          <cell r="N29" t="str">
            <v>2011.02.521211</v>
          </cell>
          <cell r="O29">
            <v>39700000</v>
          </cell>
          <cell r="P29">
            <v>39700000</v>
          </cell>
          <cell r="Q29">
            <v>521211</v>
          </cell>
          <cell r="R29">
            <v>5212</v>
          </cell>
          <cell r="S29" t="str">
            <v>Belanja Barang Non Operasional</v>
          </cell>
          <cell r="V29" t="str">
            <v>Tambahan Uang Persediaan (TU)</v>
          </cell>
        </row>
        <row r="30">
          <cell r="H30" t="str">
            <v>C2  Potongan SP2D LS Bendahara</v>
          </cell>
          <cell r="L30" t="str">
            <v>2011.02</v>
          </cell>
          <cell r="M30">
            <v>521213</v>
          </cell>
          <cell r="N30" t="str">
            <v>2011.02.521213</v>
          </cell>
          <cell r="O30">
            <v>13000000</v>
          </cell>
          <cell r="P30">
            <v>13000000</v>
          </cell>
          <cell r="Q30">
            <v>521213</v>
          </cell>
          <cell r="R30">
            <v>5212</v>
          </cell>
          <cell r="S30" t="str">
            <v>Belanja Barang Non Operasional</v>
          </cell>
          <cell r="V30" t="str">
            <v>Penggantian Uang Persediaan (GU)</v>
          </cell>
        </row>
        <row r="31">
          <cell r="H31" t="str">
            <v>D1  Terima SP2D GU Isi</v>
          </cell>
          <cell r="L31" t="str">
            <v>2011.02</v>
          </cell>
          <cell r="M31">
            <v>521219</v>
          </cell>
          <cell r="N31" t="str">
            <v>2011.02.521219</v>
          </cell>
          <cell r="O31">
            <v>28700000</v>
          </cell>
          <cell r="P31">
            <v>28700000</v>
          </cell>
          <cell r="Q31">
            <v>521219</v>
          </cell>
          <cell r="R31">
            <v>5212</v>
          </cell>
          <cell r="S31" t="str">
            <v>Belanja Barang Non Operasional</v>
          </cell>
          <cell r="V31" t="str">
            <v>Pembayaran Langsung (LS)</v>
          </cell>
        </row>
        <row r="32">
          <cell r="H32" t="str">
            <v>D2  Potongan SP2D GU</v>
          </cell>
          <cell r="L32" t="str">
            <v>2011.02</v>
          </cell>
          <cell r="M32">
            <v>522115</v>
          </cell>
          <cell r="N32" t="str">
            <v>2011.02.522115</v>
          </cell>
          <cell r="O32">
            <v>16000000</v>
          </cell>
          <cell r="P32">
            <v>16000000</v>
          </cell>
          <cell r="Q32">
            <v>522115</v>
          </cell>
          <cell r="R32">
            <v>5221</v>
          </cell>
          <cell r="S32" t="str">
            <v>Belanja Jasa</v>
          </cell>
          <cell r="V32" t="str">
            <v>Nihil</v>
          </cell>
        </row>
        <row r="33">
          <cell r="H33" t="str">
            <v>E  Terima SP2D GU/TUP Nihil</v>
          </cell>
          <cell r="L33" t="str">
            <v>2011.02</v>
          </cell>
          <cell r="M33">
            <v>524119</v>
          </cell>
          <cell r="N33" t="str">
            <v>2011.02.524119</v>
          </cell>
          <cell r="O33">
            <v>12600000</v>
          </cell>
          <cell r="P33">
            <v>12600000</v>
          </cell>
          <cell r="Q33">
            <v>524119</v>
          </cell>
          <cell r="R33">
            <v>5241</v>
          </cell>
          <cell r="S33" t="str">
            <v>Belanja Perjalanan Dalam Negeri</v>
          </cell>
          <cell r="V33" t="str">
            <v>Pengesahan</v>
          </cell>
        </row>
        <row r="34">
          <cell r="H34" t="str">
            <v>F  Terima SP2D LS Rekanan/pihak ke 3</v>
          </cell>
          <cell r="L34" t="str">
            <v>2011.02</v>
          </cell>
          <cell r="M34">
            <v>532111</v>
          </cell>
          <cell r="N34" t="str">
            <v>2011.02.532111</v>
          </cell>
          <cell r="O34">
            <v>390000000</v>
          </cell>
          <cell r="P34">
            <v>390000000</v>
          </cell>
          <cell r="Q34">
            <v>532111</v>
          </cell>
          <cell r="R34">
            <v>5321</v>
          </cell>
          <cell r="S34" t="str">
            <v>Belanja Modal Peralatan dan Mesin</v>
          </cell>
        </row>
        <row r="35">
          <cell r="H35" t="str">
            <v>G1  Perpindahan dari Bank ke Tunai</v>
          </cell>
          <cell r="L35" t="str">
            <v>2012.02</v>
          </cell>
          <cell r="M35">
            <v>521219</v>
          </cell>
          <cell r="N35" t="str">
            <v>2012.02.521219</v>
          </cell>
          <cell r="O35">
            <v>680678000</v>
          </cell>
          <cell r="P35">
            <v>680678000</v>
          </cell>
          <cell r="Q35">
            <v>521219</v>
          </cell>
          <cell r="R35">
            <v>5212</v>
          </cell>
          <cell r="S35" t="str">
            <v>Belanja Barang Non Operasional</v>
          </cell>
        </row>
        <row r="36">
          <cell r="H36" t="str">
            <v>G2  Perpindahan dari Tunai ke Bank</v>
          </cell>
          <cell r="L36" t="str">
            <v>2012.04</v>
          </cell>
          <cell r="M36">
            <v>521211</v>
          </cell>
          <cell r="N36" t="str">
            <v>2012.04.521211</v>
          </cell>
          <cell r="O36">
            <v>6530000</v>
          </cell>
          <cell r="P36">
            <v>6530000</v>
          </cell>
          <cell r="Q36">
            <v>521211</v>
          </cell>
          <cell r="R36">
            <v>5212</v>
          </cell>
          <cell r="S36" t="str">
            <v>Belanja Barang Non Operasional</v>
          </cell>
        </row>
        <row r="37">
          <cell r="H37" t="str">
            <v>H1  Belanja dengan UP/TUP (tunai)</v>
          </cell>
          <cell r="L37" t="str">
            <v>2012.04</v>
          </cell>
          <cell r="M37">
            <v>521213</v>
          </cell>
          <cell r="N37" t="str">
            <v>2012.04.521213</v>
          </cell>
          <cell r="O37">
            <v>40800000</v>
          </cell>
          <cell r="P37">
            <v>40800000</v>
          </cell>
          <cell r="Q37">
            <v>521213</v>
          </cell>
          <cell r="R37">
            <v>5212</v>
          </cell>
          <cell r="S37" t="str">
            <v>Belanja Barang Non Operasional</v>
          </cell>
        </row>
        <row r="38">
          <cell r="H38" t="str">
            <v>H2  Belanja dengan UP/TUP (bank)</v>
          </cell>
          <cell r="L38" t="str">
            <v>2012.04</v>
          </cell>
          <cell r="M38">
            <v>521219</v>
          </cell>
          <cell r="N38" t="str">
            <v>2012.04.521219</v>
          </cell>
          <cell r="O38">
            <v>8042528000</v>
          </cell>
          <cell r="P38">
            <v>8042528000</v>
          </cell>
          <cell r="Q38">
            <v>521219</v>
          </cell>
          <cell r="R38">
            <v>5212</v>
          </cell>
          <cell r="S38" t="str">
            <v>Belanja Barang Non Operasional</v>
          </cell>
        </row>
        <row r="39">
          <cell r="H39" t="str">
            <v>I1  Belanja dengan LS-Bendahara (tunai)</v>
          </cell>
          <cell r="L39" t="str">
            <v>2012.04</v>
          </cell>
          <cell r="M39">
            <v>524119</v>
          </cell>
          <cell r="N39" t="str">
            <v>2012.04.524119</v>
          </cell>
          <cell r="O39">
            <v>32450000</v>
          </cell>
          <cell r="P39">
            <v>32450000</v>
          </cell>
          <cell r="Q39">
            <v>524119</v>
          </cell>
          <cell r="R39">
            <v>5241</v>
          </cell>
          <cell r="S39" t="str">
            <v>Belanja Perjalanan Dalam Negeri</v>
          </cell>
        </row>
        <row r="40">
          <cell r="H40" t="str">
            <v>I2  Belanja dengan LS-Bendahara (bank)</v>
          </cell>
          <cell r="L40" t="str">
            <v>2012.06</v>
          </cell>
          <cell r="M40">
            <v>521219</v>
          </cell>
          <cell r="N40" t="str">
            <v>2012.06.521219</v>
          </cell>
          <cell r="O40">
            <v>1160500000</v>
          </cell>
          <cell r="P40">
            <v>1160500000</v>
          </cell>
          <cell r="Q40">
            <v>521219</v>
          </cell>
          <cell r="R40">
            <v>5212</v>
          </cell>
          <cell r="S40" t="str">
            <v>Belanja Barang Non Operasional</v>
          </cell>
        </row>
        <row r="41">
          <cell r="H41" t="str">
            <v>J1  Pemberian Persekot (tunai)</v>
          </cell>
          <cell r="L41" t="str">
            <v>2012.11</v>
          </cell>
          <cell r="M41">
            <v>521211</v>
          </cell>
          <cell r="N41" t="str">
            <v>2012.11.521211</v>
          </cell>
          <cell r="O41">
            <v>12400000</v>
          </cell>
          <cell r="P41">
            <v>12400000</v>
          </cell>
          <cell r="Q41">
            <v>521211</v>
          </cell>
          <cell r="R41">
            <v>5212</v>
          </cell>
          <cell r="S41" t="str">
            <v>Belanja Barang Non Operasional</v>
          </cell>
        </row>
        <row r="42">
          <cell r="H42" t="str">
            <v>J2  Pemberian Persekot (bank)</v>
          </cell>
          <cell r="L42" t="str">
            <v>2012.11</v>
          </cell>
          <cell r="M42">
            <v>521213</v>
          </cell>
          <cell r="N42" t="str">
            <v>2012.11.521213</v>
          </cell>
          <cell r="O42">
            <v>3650000</v>
          </cell>
          <cell r="P42">
            <v>3650000</v>
          </cell>
          <cell r="Q42">
            <v>521213</v>
          </cell>
          <cell r="R42">
            <v>5212</v>
          </cell>
          <cell r="S42" t="str">
            <v>Belanja Barang Non Operasional</v>
          </cell>
        </row>
        <row r="43">
          <cell r="H43" t="str">
            <v>J3  Pertanggungjawaban Persekot</v>
          </cell>
          <cell r="L43" t="str">
            <v>2012.11</v>
          </cell>
          <cell r="M43">
            <v>521219</v>
          </cell>
          <cell r="N43" t="str">
            <v>2012.11.521219</v>
          </cell>
          <cell r="O43">
            <v>47500000</v>
          </cell>
          <cell r="P43">
            <v>47500000</v>
          </cell>
          <cell r="Q43">
            <v>521219</v>
          </cell>
          <cell r="R43">
            <v>5212</v>
          </cell>
          <cell r="S43" t="str">
            <v>Belanja Barang Non Operasional</v>
          </cell>
        </row>
        <row r="44">
          <cell r="H44" t="str">
            <v>J4  Terima pengembalian sisa persekot</v>
          </cell>
          <cell r="L44" t="str">
            <v>2012.11</v>
          </cell>
          <cell r="M44">
            <v>522115</v>
          </cell>
          <cell r="N44" t="str">
            <v>2012.11.522115</v>
          </cell>
          <cell r="O44">
            <v>70550000</v>
          </cell>
          <cell r="P44">
            <v>70550000</v>
          </cell>
          <cell r="Q44">
            <v>522115</v>
          </cell>
          <cell r="R44">
            <v>5221</v>
          </cell>
          <cell r="S44" t="str">
            <v>Belanja Jasa</v>
          </cell>
        </row>
        <row r="45">
          <cell r="H45" t="str">
            <v>K1  Pemberian UM Perjadin (tunai)</v>
          </cell>
          <cell r="L45" t="str">
            <v>2012.11</v>
          </cell>
          <cell r="M45">
            <v>524119</v>
          </cell>
          <cell r="N45" t="str">
            <v>2012.11.524119</v>
          </cell>
          <cell r="O45">
            <v>25724000</v>
          </cell>
          <cell r="P45">
            <v>25724000</v>
          </cell>
          <cell r="Q45">
            <v>524119</v>
          </cell>
          <cell r="R45">
            <v>5241</v>
          </cell>
          <cell r="S45" t="str">
            <v>Belanja Perjalanan Dalam Negeri</v>
          </cell>
        </row>
        <row r="46">
          <cell r="H46" t="str">
            <v>K2  Pemberian UM Perjadin (bank)</v>
          </cell>
          <cell r="L46" t="str">
            <v>2012.12</v>
          </cell>
          <cell r="M46">
            <v>521211</v>
          </cell>
          <cell r="N46" t="str">
            <v>2012.12.521211</v>
          </cell>
          <cell r="O46">
            <v>10791000</v>
          </cell>
          <cell r="P46">
            <v>10791000</v>
          </cell>
          <cell r="Q46">
            <v>521211</v>
          </cell>
          <cell r="R46">
            <v>5212</v>
          </cell>
          <cell r="S46" t="str">
            <v>Belanja Barang Non Operasional</v>
          </cell>
        </row>
        <row r="47">
          <cell r="H47" t="str">
            <v>K3  Perhitungan rampung Perjadin</v>
          </cell>
          <cell r="L47" t="str">
            <v>2012.12</v>
          </cell>
          <cell r="M47">
            <v>521213</v>
          </cell>
          <cell r="N47" t="str">
            <v>2012.12.521213</v>
          </cell>
          <cell r="O47">
            <v>3650000</v>
          </cell>
          <cell r="P47">
            <v>3650000</v>
          </cell>
          <cell r="Q47">
            <v>521213</v>
          </cell>
          <cell r="R47">
            <v>5212</v>
          </cell>
          <cell r="S47" t="str">
            <v>Belanja Barang Non Operasional</v>
          </cell>
        </row>
        <row r="48">
          <cell r="H48" t="str">
            <v>K4  Terima Sisa UM Perjadin (tunai)</v>
          </cell>
          <cell r="L48" t="str">
            <v>2012.12</v>
          </cell>
          <cell r="M48">
            <v>521219</v>
          </cell>
          <cell r="N48" t="str">
            <v>2012.12.521219</v>
          </cell>
          <cell r="O48">
            <v>45760000</v>
          </cell>
          <cell r="P48">
            <v>45760000</v>
          </cell>
          <cell r="Q48">
            <v>521219</v>
          </cell>
          <cell r="R48">
            <v>5212</v>
          </cell>
          <cell r="S48" t="str">
            <v>Belanja Barang Non Operasional</v>
          </cell>
        </row>
        <row r="49">
          <cell r="H49" t="str">
            <v>L1  Terima uang lain-lain (Jasa Giro/TKPKN)</v>
          </cell>
          <cell r="L49" t="str">
            <v>2012.12</v>
          </cell>
          <cell r="M49">
            <v>522115</v>
          </cell>
          <cell r="N49" t="str">
            <v>2012.12.522115</v>
          </cell>
          <cell r="O49">
            <v>58450000</v>
          </cell>
          <cell r="P49">
            <v>58450000</v>
          </cell>
          <cell r="Q49">
            <v>522115</v>
          </cell>
          <cell r="R49">
            <v>5221</v>
          </cell>
          <cell r="S49" t="str">
            <v>Belanja Jasa</v>
          </cell>
        </row>
        <row r="50">
          <cell r="H50" t="str">
            <v>L2  Setor uang lain-lain (Jasa Giro/TKPKN) [tunai]</v>
          </cell>
          <cell r="L50" t="str">
            <v>2012.12</v>
          </cell>
          <cell r="M50">
            <v>524119</v>
          </cell>
          <cell r="N50" t="str">
            <v>2012.12.524119</v>
          </cell>
          <cell r="O50">
            <v>21525000</v>
          </cell>
          <cell r="P50">
            <v>21525000</v>
          </cell>
          <cell r="Q50">
            <v>524119</v>
          </cell>
          <cell r="R50">
            <v>5241</v>
          </cell>
          <cell r="S50" t="str">
            <v>Belanja Perjalanan Dalam Negeri</v>
          </cell>
        </row>
        <row r="51">
          <cell r="H51" t="str">
            <v>L3  Setor uang lain-lain (Jasa Giro/TKPKN) [bank]</v>
          </cell>
          <cell r="L51" t="str">
            <v>2012.16</v>
          </cell>
          <cell r="M51">
            <v>572111</v>
          </cell>
          <cell r="N51" t="str">
            <v>2012.16.572111</v>
          </cell>
          <cell r="O51">
            <v>20217600000</v>
          </cell>
          <cell r="P51">
            <v>20217600000</v>
          </cell>
          <cell r="Q51">
            <v>572111</v>
          </cell>
          <cell r="R51">
            <v>5721</v>
          </cell>
          <cell r="S51" t="str">
            <v>Belanja  Bantuan Beasiswa</v>
          </cell>
        </row>
        <row r="52">
          <cell r="H52" t="str">
            <v>M1  Pungut Pajak oleh bendahara (tunai)</v>
          </cell>
          <cell r="L52" t="str">
            <v>2012.17</v>
          </cell>
          <cell r="M52">
            <v>572111</v>
          </cell>
          <cell r="N52" t="str">
            <v>2012.17.572111</v>
          </cell>
          <cell r="O52">
            <v>4575600000</v>
          </cell>
          <cell r="P52">
            <v>4575600000</v>
          </cell>
          <cell r="Q52">
            <v>572111</v>
          </cell>
          <cell r="R52">
            <v>5721</v>
          </cell>
          <cell r="S52" t="str">
            <v>Belanja  Bantuan Beasiswa</v>
          </cell>
        </row>
        <row r="53">
          <cell r="H53" t="str">
            <v>M2  Setor Pajak oleh bendahara (tunai)</v>
          </cell>
          <cell r="L53" t="str">
            <v>2012.19</v>
          </cell>
          <cell r="M53">
            <v>521211</v>
          </cell>
          <cell r="N53" t="str">
            <v>2012.19.521211</v>
          </cell>
          <cell r="O53">
            <v>18511000</v>
          </cell>
          <cell r="P53">
            <v>18511000</v>
          </cell>
          <cell r="Q53">
            <v>521211</v>
          </cell>
          <cell r="R53">
            <v>5212</v>
          </cell>
          <cell r="S53" t="str">
            <v>Belanja Barang Non Operasional</v>
          </cell>
        </row>
        <row r="54">
          <cell r="H54" t="str">
            <v>M3  Setor Pajak oleh bendahara (bank)</v>
          </cell>
          <cell r="L54" t="str">
            <v>2012.19</v>
          </cell>
          <cell r="M54">
            <v>521213</v>
          </cell>
          <cell r="N54" t="str">
            <v>2012.19.521213</v>
          </cell>
          <cell r="O54">
            <v>2500000</v>
          </cell>
          <cell r="P54">
            <v>2500000</v>
          </cell>
          <cell r="Q54">
            <v>521213</v>
          </cell>
          <cell r="R54">
            <v>5212</v>
          </cell>
          <cell r="S54" t="str">
            <v>Belanja Barang Non Operasional</v>
          </cell>
        </row>
        <row r="55">
          <cell r="H55" t="str">
            <v>M4  Pungut Pajak oleh BPP (tunai)</v>
          </cell>
          <cell r="L55" t="str">
            <v>2012.19</v>
          </cell>
          <cell r="M55">
            <v>521219</v>
          </cell>
          <cell r="N55" t="str">
            <v>2012.19.521219</v>
          </cell>
          <cell r="O55">
            <v>111916000</v>
          </cell>
          <cell r="P55">
            <v>111916000</v>
          </cell>
          <cell r="Q55">
            <v>521219</v>
          </cell>
          <cell r="R55">
            <v>5212</v>
          </cell>
          <cell r="S55" t="str">
            <v>Belanja Barang Non Operasional</v>
          </cell>
        </row>
        <row r="56">
          <cell r="H56" t="str">
            <v>M5  Setor Pajak oleh BPP (tunai)</v>
          </cell>
          <cell r="L56" t="str">
            <v>2012.19</v>
          </cell>
          <cell r="M56">
            <v>522115</v>
          </cell>
          <cell r="N56" t="str">
            <v>2012.19.522115</v>
          </cell>
          <cell r="O56">
            <v>17500000</v>
          </cell>
          <cell r="P56">
            <v>17500000</v>
          </cell>
          <cell r="Q56">
            <v>522115</v>
          </cell>
          <cell r="R56">
            <v>5221</v>
          </cell>
          <cell r="S56" t="str">
            <v>Belanja Jasa</v>
          </cell>
        </row>
        <row r="57">
          <cell r="H57" t="str">
            <v>N1  Setor Sisa UP/TUP (Tunai)</v>
          </cell>
          <cell r="L57" t="str">
            <v>2012.19</v>
          </cell>
          <cell r="M57">
            <v>524119</v>
          </cell>
          <cell r="N57" t="str">
            <v>2012.19.524119</v>
          </cell>
          <cell r="O57">
            <v>8659000</v>
          </cell>
          <cell r="P57">
            <v>8659000</v>
          </cell>
          <cell r="Q57">
            <v>524119</v>
          </cell>
          <cell r="R57">
            <v>5241</v>
          </cell>
          <cell r="S57" t="str">
            <v>Belanja Perjalanan Dalam Negeri</v>
          </cell>
        </row>
        <row r="58">
          <cell r="H58" t="str">
            <v>N2  Setor Sisa UP/TUP (bank)</v>
          </cell>
          <cell r="L58" t="str">
            <v>2012.35</v>
          </cell>
          <cell r="M58">
            <v>521211</v>
          </cell>
          <cell r="N58" t="str">
            <v>2012.35.521211</v>
          </cell>
          <cell r="O58">
            <v>18511000</v>
          </cell>
          <cell r="P58">
            <v>18511000</v>
          </cell>
          <cell r="Q58">
            <v>521211</v>
          </cell>
          <cell r="R58">
            <v>5212</v>
          </cell>
          <cell r="S58" t="str">
            <v>Belanja Barang Non Operasional</v>
          </cell>
        </row>
        <row r="59">
          <cell r="L59" t="str">
            <v>2012.35</v>
          </cell>
          <cell r="M59">
            <v>521213</v>
          </cell>
          <cell r="N59" t="str">
            <v>2012.35.521213</v>
          </cell>
          <cell r="O59">
            <v>2500000</v>
          </cell>
          <cell r="P59">
            <v>2500000</v>
          </cell>
          <cell r="Q59">
            <v>521213</v>
          </cell>
          <cell r="R59">
            <v>5212</v>
          </cell>
          <cell r="S59" t="str">
            <v>Belanja Barang Non Operasional</v>
          </cell>
        </row>
        <row r="60">
          <cell r="L60" t="str">
            <v>2012.35</v>
          </cell>
          <cell r="M60">
            <v>521219</v>
          </cell>
          <cell r="N60" t="str">
            <v>2012.35.521219</v>
          </cell>
          <cell r="O60">
            <v>111916000</v>
          </cell>
          <cell r="P60">
            <v>111916000</v>
          </cell>
          <cell r="Q60">
            <v>521219</v>
          </cell>
          <cell r="R60">
            <v>5212</v>
          </cell>
          <cell r="S60" t="str">
            <v>Belanja Barang Non Operasional</v>
          </cell>
        </row>
        <row r="61">
          <cell r="L61" t="str">
            <v>2012.35</v>
          </cell>
          <cell r="M61">
            <v>522115</v>
          </cell>
          <cell r="N61" t="str">
            <v>2012.35.522115</v>
          </cell>
          <cell r="O61">
            <v>17500000</v>
          </cell>
          <cell r="P61">
            <v>17500000</v>
          </cell>
          <cell r="Q61">
            <v>522115</v>
          </cell>
          <cell r="R61">
            <v>5221</v>
          </cell>
          <cell r="S61" t="str">
            <v>Belanja Jasa</v>
          </cell>
        </row>
        <row r="62">
          <cell r="L62" t="str">
            <v>2012.35</v>
          </cell>
          <cell r="M62">
            <v>524119</v>
          </cell>
          <cell r="N62" t="str">
            <v>2012.35.524119</v>
          </cell>
          <cell r="O62">
            <v>8659000</v>
          </cell>
          <cell r="P62">
            <v>8659000</v>
          </cell>
          <cell r="Q62">
            <v>524119</v>
          </cell>
          <cell r="R62">
            <v>5241</v>
          </cell>
          <cell r="S62" t="str">
            <v>Belanja Perjalanan Dalam Negeri</v>
          </cell>
        </row>
        <row r="63">
          <cell r="L63" t="str">
            <v>2013.01</v>
          </cell>
          <cell r="M63">
            <v>521219</v>
          </cell>
          <cell r="N63" t="str">
            <v>2013.01.521219</v>
          </cell>
          <cell r="O63">
            <v>1200000000</v>
          </cell>
          <cell r="P63">
            <v>1200000000</v>
          </cell>
          <cell r="Q63">
            <v>521219</v>
          </cell>
          <cell r="R63">
            <v>5212</v>
          </cell>
          <cell r="S63" t="str">
            <v>Belanja Barang Non Operasional</v>
          </cell>
        </row>
        <row r="64">
          <cell r="L64" t="str">
            <v>2013.02</v>
          </cell>
          <cell r="M64">
            <v>521219</v>
          </cell>
          <cell r="N64" t="str">
            <v>2013.02.521219</v>
          </cell>
          <cell r="O64">
            <v>40000000</v>
          </cell>
          <cell r="P64">
            <v>40000000</v>
          </cell>
          <cell r="Q64">
            <v>521219</v>
          </cell>
          <cell r="R64">
            <v>5212</v>
          </cell>
          <cell r="S64" t="str">
            <v>Belanja Barang Non Operasional</v>
          </cell>
        </row>
        <row r="65">
          <cell r="L65" t="str">
            <v>2013.03</v>
          </cell>
          <cell r="M65">
            <v>521219</v>
          </cell>
          <cell r="N65" t="str">
            <v>2013.03.521219</v>
          </cell>
          <cell r="O65">
            <v>75000000</v>
          </cell>
          <cell r="P65">
            <v>75000000</v>
          </cell>
          <cell r="Q65">
            <v>521219</v>
          </cell>
          <cell r="R65">
            <v>5212</v>
          </cell>
          <cell r="S65" t="str">
            <v>Belanja Barang Non Operasional</v>
          </cell>
        </row>
        <row r="66">
          <cell r="L66" t="str">
            <v>2013.09</v>
          </cell>
          <cell r="M66">
            <v>521219</v>
          </cell>
          <cell r="N66" t="str">
            <v>2013.09.521219</v>
          </cell>
          <cell r="O66">
            <v>50000000</v>
          </cell>
          <cell r="P66">
            <v>50000000</v>
          </cell>
          <cell r="Q66">
            <v>521219</v>
          </cell>
          <cell r="R66">
            <v>5212</v>
          </cell>
          <cell r="S66" t="str">
            <v>Belanja Barang Non Operasional</v>
          </cell>
        </row>
        <row r="67">
          <cell r="L67" t="str">
            <v>2013.13</v>
          </cell>
          <cell r="M67">
            <v>521211</v>
          </cell>
          <cell r="N67" t="str">
            <v>2013.13.521211</v>
          </cell>
          <cell r="O67">
            <v>55357000</v>
          </cell>
          <cell r="P67">
            <v>55357000</v>
          </cell>
          <cell r="Q67">
            <v>521211</v>
          </cell>
          <cell r="R67">
            <v>5212</v>
          </cell>
          <cell r="S67" t="str">
            <v>Belanja Barang Non Operasional</v>
          </cell>
        </row>
        <row r="68">
          <cell r="L68" t="str">
            <v>2013.13</v>
          </cell>
          <cell r="M68">
            <v>521213</v>
          </cell>
          <cell r="N68" t="str">
            <v>2013.13.521213</v>
          </cell>
          <cell r="O68">
            <v>7500000</v>
          </cell>
          <cell r="P68">
            <v>7500000</v>
          </cell>
          <cell r="Q68">
            <v>521213</v>
          </cell>
          <cell r="R68">
            <v>5212</v>
          </cell>
          <cell r="S68" t="str">
            <v>Belanja Barang Non Operasional</v>
          </cell>
        </row>
        <row r="69">
          <cell r="L69" t="str">
            <v>2013.13</v>
          </cell>
          <cell r="M69">
            <v>521219</v>
          </cell>
          <cell r="N69" t="str">
            <v>2013.13.521219</v>
          </cell>
          <cell r="O69">
            <v>258666000</v>
          </cell>
          <cell r="P69">
            <v>258666000</v>
          </cell>
          <cell r="Q69">
            <v>521219</v>
          </cell>
          <cell r="R69">
            <v>5212</v>
          </cell>
          <cell r="S69" t="str">
            <v>Belanja Barang Non Operasional</v>
          </cell>
        </row>
        <row r="70">
          <cell r="L70" t="str">
            <v>2013.13</v>
          </cell>
          <cell r="M70">
            <v>522115</v>
          </cell>
          <cell r="N70" t="str">
            <v>2013.13.522115</v>
          </cell>
          <cell r="O70">
            <v>52500000</v>
          </cell>
          <cell r="P70">
            <v>52500000</v>
          </cell>
          <cell r="Q70">
            <v>522115</v>
          </cell>
          <cell r="R70">
            <v>5221</v>
          </cell>
          <cell r="S70" t="str">
            <v>Belanja Jasa</v>
          </cell>
        </row>
        <row r="71">
          <cell r="L71" t="str">
            <v>2013.13</v>
          </cell>
          <cell r="M71">
            <v>524119</v>
          </cell>
          <cell r="N71" t="str">
            <v>2013.13.524119</v>
          </cell>
          <cell r="O71">
            <v>25977000</v>
          </cell>
          <cell r="P71">
            <v>25977000</v>
          </cell>
          <cell r="Q71">
            <v>524119</v>
          </cell>
          <cell r="R71">
            <v>5241</v>
          </cell>
          <cell r="S71" t="str">
            <v>Belanja Perjalanan Dalam Negeri</v>
          </cell>
        </row>
        <row r="72">
          <cell r="L72" t="str">
            <v>2013.27</v>
          </cell>
          <cell r="M72">
            <v>521211</v>
          </cell>
          <cell r="N72" t="str">
            <v>2013.27.521211</v>
          </cell>
          <cell r="O72">
            <v>18511000</v>
          </cell>
          <cell r="P72">
            <v>18511000</v>
          </cell>
          <cell r="Q72">
            <v>521211</v>
          </cell>
          <cell r="R72">
            <v>5212</v>
          </cell>
          <cell r="S72" t="str">
            <v>Belanja Barang Non Operasional</v>
          </cell>
        </row>
        <row r="73">
          <cell r="L73" t="str">
            <v>2013.27</v>
          </cell>
          <cell r="M73">
            <v>521213</v>
          </cell>
          <cell r="N73" t="str">
            <v>2013.27.521213</v>
          </cell>
          <cell r="O73">
            <v>2500000</v>
          </cell>
          <cell r="P73">
            <v>2500000</v>
          </cell>
          <cell r="Q73">
            <v>521213</v>
          </cell>
          <cell r="R73">
            <v>5212</v>
          </cell>
          <cell r="S73" t="str">
            <v>Belanja Barang Non Operasional</v>
          </cell>
        </row>
        <row r="74">
          <cell r="L74" t="str">
            <v>2013.27</v>
          </cell>
          <cell r="M74">
            <v>521219</v>
          </cell>
          <cell r="N74" t="str">
            <v>2013.27.521219</v>
          </cell>
          <cell r="O74">
            <v>111916000</v>
          </cell>
          <cell r="P74">
            <v>111916000</v>
          </cell>
          <cell r="Q74">
            <v>521219</v>
          </cell>
          <cell r="R74">
            <v>5212</v>
          </cell>
          <cell r="S74" t="str">
            <v>Belanja Barang Non Operasional</v>
          </cell>
        </row>
        <row r="75">
          <cell r="L75" t="str">
            <v>2013.27</v>
          </cell>
          <cell r="M75">
            <v>522115</v>
          </cell>
          <cell r="N75" t="str">
            <v>2013.27.522115</v>
          </cell>
          <cell r="O75">
            <v>17500000</v>
          </cell>
          <cell r="P75">
            <v>17500000</v>
          </cell>
          <cell r="Q75">
            <v>522115</v>
          </cell>
          <cell r="R75">
            <v>5221</v>
          </cell>
          <cell r="S75" t="str">
            <v>Belanja Jasa</v>
          </cell>
        </row>
        <row r="76">
          <cell r="L76" t="str">
            <v>2013.27</v>
          </cell>
          <cell r="M76">
            <v>524119</v>
          </cell>
          <cell r="N76" t="str">
            <v>2013.27.524119</v>
          </cell>
          <cell r="O76">
            <v>8659000</v>
          </cell>
          <cell r="P76">
            <v>8659000</v>
          </cell>
          <cell r="Q76">
            <v>524119</v>
          </cell>
          <cell r="R76">
            <v>5241</v>
          </cell>
          <cell r="S76" t="str">
            <v>Belanja Perjalanan Dalam Negeri</v>
          </cell>
        </row>
        <row r="77">
          <cell r="L77" t="str">
            <v>2013.29</v>
          </cell>
          <cell r="M77">
            <v>521219</v>
          </cell>
          <cell r="N77" t="str">
            <v>2013.29.521219</v>
          </cell>
          <cell r="O77">
            <v>207000000</v>
          </cell>
          <cell r="P77">
            <v>207000000</v>
          </cell>
          <cell r="Q77">
            <v>521219</v>
          </cell>
          <cell r="R77">
            <v>5212</v>
          </cell>
          <cell r="S77" t="str">
            <v>Belanja Barang Non Operasional</v>
          </cell>
        </row>
        <row r="78">
          <cell r="L78" t="str">
            <v>2013.38</v>
          </cell>
          <cell r="M78">
            <v>521219</v>
          </cell>
          <cell r="N78" t="str">
            <v>2013.38.521219</v>
          </cell>
          <cell r="O78">
            <v>100000000</v>
          </cell>
          <cell r="P78">
            <v>100000000</v>
          </cell>
          <cell r="Q78">
            <v>521219</v>
          </cell>
          <cell r="R78">
            <v>5212</v>
          </cell>
          <cell r="S78" t="str">
            <v>Belanja Barang Non Operasional</v>
          </cell>
        </row>
        <row r="79">
          <cell r="L79" t="str">
            <v>2014.01</v>
          </cell>
          <cell r="M79">
            <v>532111</v>
          </cell>
          <cell r="N79" t="str">
            <v>2014.01.532111</v>
          </cell>
          <cell r="O79">
            <v>100000000</v>
          </cell>
          <cell r="P79">
            <v>100000000</v>
          </cell>
          <cell r="Q79">
            <v>532111</v>
          </cell>
          <cell r="R79">
            <v>5321</v>
          </cell>
          <cell r="S79" t="str">
            <v>Belanja Modal Peralatan dan Mesin</v>
          </cell>
        </row>
        <row r="80">
          <cell r="L80" t="str">
            <v>2014.04</v>
          </cell>
          <cell r="M80">
            <v>521211</v>
          </cell>
          <cell r="N80" t="str">
            <v>2014.04.521211</v>
          </cell>
          <cell r="O80">
            <v>33809000</v>
          </cell>
          <cell r="P80">
            <v>33809000</v>
          </cell>
          <cell r="Q80">
            <v>521211</v>
          </cell>
          <cell r="R80">
            <v>5212</v>
          </cell>
          <cell r="S80" t="str">
            <v>Belanja Barang Non Operasional</v>
          </cell>
        </row>
        <row r="81">
          <cell r="L81" t="str">
            <v>2014.04</v>
          </cell>
          <cell r="M81">
            <v>521213</v>
          </cell>
          <cell r="N81" t="str">
            <v>2014.04.521213</v>
          </cell>
          <cell r="O81">
            <v>28300000</v>
          </cell>
          <cell r="P81">
            <v>28300000</v>
          </cell>
          <cell r="Q81">
            <v>521213</v>
          </cell>
          <cell r="R81">
            <v>5212</v>
          </cell>
          <cell r="S81" t="str">
            <v>Belanja Barang Non Operasional</v>
          </cell>
        </row>
        <row r="82">
          <cell r="L82" t="str">
            <v>2014.04</v>
          </cell>
          <cell r="M82">
            <v>521219</v>
          </cell>
          <cell r="N82" t="str">
            <v>2014.04.521219</v>
          </cell>
          <cell r="O82">
            <v>67703000</v>
          </cell>
          <cell r="P82">
            <v>67703000</v>
          </cell>
          <cell r="Q82">
            <v>521219</v>
          </cell>
          <cell r="R82">
            <v>5212</v>
          </cell>
          <cell r="S82" t="str">
            <v>Belanja Barang Non Operasional</v>
          </cell>
        </row>
        <row r="83">
          <cell r="L83" t="str">
            <v>2014.04</v>
          </cell>
          <cell r="M83">
            <v>522115</v>
          </cell>
          <cell r="N83" t="str">
            <v>2014.04.522115</v>
          </cell>
          <cell r="O83">
            <v>5400000</v>
          </cell>
          <cell r="P83">
            <v>5400000</v>
          </cell>
          <cell r="Q83">
            <v>522115</v>
          </cell>
          <cell r="R83">
            <v>5221</v>
          </cell>
          <cell r="S83" t="str">
            <v>Belanja Jasa</v>
          </cell>
        </row>
        <row r="84">
          <cell r="L84" t="str">
            <v>2014.04</v>
          </cell>
          <cell r="M84">
            <v>524119</v>
          </cell>
          <cell r="N84" t="str">
            <v>2014.04.524119</v>
          </cell>
          <cell r="O84">
            <v>100725000</v>
          </cell>
          <cell r="P84">
            <v>100725000</v>
          </cell>
          <cell r="Q84">
            <v>524119</v>
          </cell>
          <cell r="R84">
            <v>5241</v>
          </cell>
          <cell r="S84" t="str">
            <v>Belanja Perjalanan Dalam Negeri</v>
          </cell>
        </row>
        <row r="85">
          <cell r="L85" t="str">
            <v>2014.09</v>
          </cell>
          <cell r="M85">
            <v>511111</v>
          </cell>
          <cell r="N85" t="str">
            <v>2014.09.511111</v>
          </cell>
          <cell r="O85">
            <v>48884855000</v>
          </cell>
          <cell r="P85">
            <v>48884855000</v>
          </cell>
          <cell r="Q85">
            <v>511111</v>
          </cell>
          <cell r="R85">
            <v>5111</v>
          </cell>
          <cell r="S85" t="str">
            <v>Belanja Gaji &amp; Tunjangan PNS</v>
          </cell>
        </row>
        <row r="86">
          <cell r="L86" t="str">
            <v>2014.09</v>
          </cell>
          <cell r="M86">
            <v>511119</v>
          </cell>
          <cell r="N86" t="str">
            <v>2014.09.511119</v>
          </cell>
          <cell r="O86">
            <v>857000</v>
          </cell>
          <cell r="P86">
            <v>857000</v>
          </cell>
          <cell r="Q86">
            <v>511119</v>
          </cell>
          <cell r="R86">
            <v>5111</v>
          </cell>
          <cell r="S86" t="str">
            <v>Belanja Gaji &amp; Tunjangan PNS</v>
          </cell>
        </row>
        <row r="87">
          <cell r="L87" t="str">
            <v>2014.09</v>
          </cell>
          <cell r="M87">
            <v>511121</v>
          </cell>
          <cell r="N87" t="str">
            <v>2014.09.511121</v>
          </cell>
          <cell r="O87">
            <v>3701713000</v>
          </cell>
          <cell r="P87">
            <v>3701713000</v>
          </cell>
          <cell r="Q87">
            <v>511121</v>
          </cell>
          <cell r="R87">
            <v>5111</v>
          </cell>
          <cell r="S87" t="str">
            <v>Belanja Gaji &amp; Tunjangan PNS</v>
          </cell>
        </row>
        <row r="88">
          <cell r="L88" t="str">
            <v>2014.09</v>
          </cell>
          <cell r="M88">
            <v>511122</v>
          </cell>
          <cell r="N88" t="str">
            <v>2014.09.511122</v>
          </cell>
          <cell r="O88">
            <v>904858000</v>
          </cell>
          <cell r="P88">
            <v>904858000</v>
          </cell>
          <cell r="Q88">
            <v>511122</v>
          </cell>
          <cell r="R88">
            <v>5111</v>
          </cell>
          <cell r="S88" t="str">
            <v>Belanja Gaji &amp; Tunjangan PNS</v>
          </cell>
        </row>
        <row r="89">
          <cell r="L89" t="str">
            <v>2014.09</v>
          </cell>
          <cell r="M89">
            <v>511123</v>
          </cell>
          <cell r="N89" t="str">
            <v>2014.09.511123</v>
          </cell>
          <cell r="O89">
            <v>166855000</v>
          </cell>
          <cell r="P89">
            <v>166855000</v>
          </cell>
          <cell r="Q89">
            <v>511123</v>
          </cell>
          <cell r="R89">
            <v>5111</v>
          </cell>
          <cell r="S89" t="str">
            <v>Belanja Gaji &amp; Tunjangan PNS</v>
          </cell>
        </row>
        <row r="90">
          <cell r="L90" t="str">
            <v>2014.09</v>
          </cell>
          <cell r="M90">
            <v>511124</v>
          </cell>
          <cell r="N90" t="str">
            <v>2014.09.511124</v>
          </cell>
          <cell r="O90">
            <v>12158575000</v>
          </cell>
          <cell r="P90">
            <v>12158575000</v>
          </cell>
          <cell r="Q90">
            <v>511124</v>
          </cell>
          <cell r="R90">
            <v>5111</v>
          </cell>
          <cell r="S90" t="str">
            <v>Belanja Gaji &amp; Tunjangan PNS</v>
          </cell>
        </row>
        <row r="91">
          <cell r="L91" t="str">
            <v>2014.09</v>
          </cell>
          <cell r="M91">
            <v>511125</v>
          </cell>
          <cell r="N91" t="str">
            <v>2014.09.511125</v>
          </cell>
          <cell r="O91">
            <v>2384057000</v>
          </cell>
          <cell r="P91">
            <v>2384057000</v>
          </cell>
          <cell r="Q91">
            <v>511125</v>
          </cell>
          <cell r="R91">
            <v>5111</v>
          </cell>
          <cell r="S91" t="str">
            <v>Belanja Gaji &amp; Tunjangan PNS</v>
          </cell>
        </row>
        <row r="92">
          <cell r="L92" t="str">
            <v>2014.09</v>
          </cell>
          <cell r="M92">
            <v>511126</v>
          </cell>
          <cell r="N92" t="str">
            <v>2014.09.511126</v>
          </cell>
          <cell r="O92">
            <v>1722435000</v>
          </cell>
          <cell r="P92">
            <v>1722435000</v>
          </cell>
          <cell r="Q92">
            <v>511126</v>
          </cell>
          <cell r="R92">
            <v>5111</v>
          </cell>
          <cell r="S92" t="str">
            <v>Belanja Gaji &amp; Tunjangan PNS</v>
          </cell>
        </row>
        <row r="93">
          <cell r="L93" t="str">
            <v>2014.09</v>
          </cell>
          <cell r="M93">
            <v>511129</v>
          </cell>
          <cell r="N93" t="str">
            <v>2014.09.511129</v>
          </cell>
          <cell r="O93">
            <v>6974880000</v>
          </cell>
          <cell r="P93">
            <v>6974880000</v>
          </cell>
          <cell r="Q93">
            <v>511129</v>
          </cell>
          <cell r="R93">
            <v>5111</v>
          </cell>
          <cell r="S93" t="str">
            <v>Belanja Gaji &amp; Tunjangan PNS</v>
          </cell>
        </row>
        <row r="94">
          <cell r="L94" t="str">
            <v>2014.09</v>
          </cell>
          <cell r="M94">
            <v>511147</v>
          </cell>
          <cell r="N94" t="str">
            <v>2014.09.511147</v>
          </cell>
          <cell r="O94">
            <v>100000000</v>
          </cell>
          <cell r="P94">
            <v>100000000</v>
          </cell>
          <cell r="Q94">
            <v>511147</v>
          </cell>
          <cell r="R94">
            <v>5111</v>
          </cell>
          <cell r="S94" t="str">
            <v>Belanja Gaji &amp; Tunjangan PNS</v>
          </cell>
        </row>
        <row r="95">
          <cell r="L95" t="str">
            <v>2014.09</v>
          </cell>
          <cell r="M95">
            <v>511151</v>
          </cell>
          <cell r="N95" t="str">
            <v>2014.09.511151</v>
          </cell>
          <cell r="O95">
            <v>315084000</v>
          </cell>
          <cell r="P95">
            <v>315084000</v>
          </cell>
          <cell r="Q95">
            <v>511151</v>
          </cell>
          <cell r="R95">
            <v>5111</v>
          </cell>
          <cell r="S95" t="str">
            <v>Belanja Gaji &amp; Tunjangan PNS</v>
          </cell>
        </row>
        <row r="96">
          <cell r="L96" t="str">
            <v>2014.09</v>
          </cell>
          <cell r="M96">
            <v>511153</v>
          </cell>
          <cell r="N96" t="str">
            <v>2014.09.511153</v>
          </cell>
          <cell r="O96">
            <v>18627600000</v>
          </cell>
          <cell r="P96">
            <v>18627600000</v>
          </cell>
          <cell r="Q96">
            <v>511153</v>
          </cell>
          <cell r="R96">
            <v>5111</v>
          </cell>
          <cell r="S96" t="str">
            <v>Belanja Gaji &amp; Tunjangan PNS</v>
          </cell>
        </row>
        <row r="97">
          <cell r="L97" t="str">
            <v>2014.09</v>
          </cell>
          <cell r="M97">
            <v>511154</v>
          </cell>
          <cell r="N97" t="str">
            <v>2014.09.511154</v>
          </cell>
          <cell r="O97">
            <v>3496800000</v>
          </cell>
          <cell r="P97">
            <v>3496800000</v>
          </cell>
          <cell r="Q97">
            <v>511154</v>
          </cell>
          <cell r="R97">
            <v>5111</v>
          </cell>
          <cell r="S97" t="str">
            <v>Belanja Gaji &amp; Tunjangan PNS</v>
          </cell>
        </row>
        <row r="98">
          <cell r="L98" t="str">
            <v>2014.09</v>
          </cell>
          <cell r="M98">
            <v>512211</v>
          </cell>
          <cell r="N98" t="str">
            <v>2014.09.512211</v>
          </cell>
          <cell r="O98">
            <v>25680000</v>
          </cell>
          <cell r="P98">
            <v>25680000</v>
          </cell>
          <cell r="Q98">
            <v>512211</v>
          </cell>
          <cell r="R98">
            <v>5122</v>
          </cell>
          <cell r="S98" t="str">
            <v>Belanja Lembur</v>
          </cell>
        </row>
        <row r="99">
          <cell r="L99" t="str">
            <v>2014.09</v>
          </cell>
          <cell r="M99">
            <v>521111</v>
          </cell>
          <cell r="N99" t="str">
            <v>2014.09.521111</v>
          </cell>
          <cell r="O99">
            <v>861600000</v>
          </cell>
          <cell r="P99">
            <v>861600000</v>
          </cell>
          <cell r="Q99">
            <v>521111</v>
          </cell>
          <cell r="R99">
            <v>5211</v>
          </cell>
          <cell r="S99" t="str">
            <v>Belanja Barang Operasional</v>
          </cell>
        </row>
        <row r="100">
          <cell r="L100" t="str">
            <v>2014.09</v>
          </cell>
          <cell r="M100">
            <v>521114</v>
          </cell>
          <cell r="N100" t="str">
            <v>2014.09.521114</v>
          </cell>
          <cell r="O100">
            <v>48000000</v>
          </cell>
          <cell r="P100">
            <v>48000000</v>
          </cell>
          <cell r="Q100">
            <v>521114</v>
          </cell>
          <cell r="R100">
            <v>5211</v>
          </cell>
          <cell r="S100" t="str">
            <v>Belanja Barang Operasional</v>
          </cell>
        </row>
        <row r="101">
          <cell r="L101" t="str">
            <v>2014.09</v>
          </cell>
          <cell r="M101">
            <v>521115</v>
          </cell>
          <cell r="N101" t="str">
            <v>2014.09.521115</v>
          </cell>
          <cell r="O101">
            <v>168765000</v>
          </cell>
          <cell r="P101">
            <v>168765000</v>
          </cell>
          <cell r="Q101">
            <v>521115</v>
          </cell>
          <cell r="R101">
            <v>5211</v>
          </cell>
          <cell r="S101" t="str">
            <v>Belanja Barang Operasional</v>
          </cell>
        </row>
        <row r="102">
          <cell r="L102" t="str">
            <v>2014.09</v>
          </cell>
          <cell r="M102">
            <v>521119</v>
          </cell>
          <cell r="N102" t="str">
            <v>2014.09.521119</v>
          </cell>
          <cell r="O102">
            <v>235840000</v>
          </cell>
          <cell r="P102">
            <v>235840000</v>
          </cell>
          <cell r="Q102">
            <v>521119</v>
          </cell>
          <cell r="R102">
            <v>5211</v>
          </cell>
          <cell r="S102" t="str">
            <v>Belanja Barang Operasional</v>
          </cell>
        </row>
        <row r="103">
          <cell r="L103" t="str">
            <v>2014.09</v>
          </cell>
          <cell r="M103">
            <v>521211</v>
          </cell>
          <cell r="N103" t="str">
            <v>2014.09.521211</v>
          </cell>
          <cell r="O103">
            <v>557701000</v>
          </cell>
          <cell r="P103">
            <v>557701000</v>
          </cell>
          <cell r="Q103">
            <v>521211</v>
          </cell>
          <cell r="R103">
            <v>5212</v>
          </cell>
          <cell r="S103" t="str">
            <v>Belanja Barang Non Operasional</v>
          </cell>
        </row>
        <row r="104">
          <cell r="L104" t="str">
            <v>2014.09</v>
          </cell>
          <cell r="M104">
            <v>521213</v>
          </cell>
          <cell r="N104" t="str">
            <v>2014.09.521213</v>
          </cell>
          <cell r="O104">
            <v>536050000</v>
          </cell>
          <cell r="P104">
            <v>536050000</v>
          </cell>
          <cell r="Q104">
            <v>521213</v>
          </cell>
          <cell r="R104">
            <v>5212</v>
          </cell>
          <cell r="S104" t="str">
            <v>Belanja Barang Non Operasional</v>
          </cell>
        </row>
        <row r="105">
          <cell r="L105" t="str">
            <v>2014.09</v>
          </cell>
          <cell r="M105">
            <v>521219</v>
          </cell>
          <cell r="N105" t="str">
            <v>2014.09.521219</v>
          </cell>
          <cell r="O105">
            <v>563060000</v>
          </cell>
          <cell r="P105">
            <v>563060000</v>
          </cell>
          <cell r="Q105">
            <v>521219</v>
          </cell>
          <cell r="R105">
            <v>5212</v>
          </cell>
          <cell r="S105" t="str">
            <v>Belanja Barang Non Operasional</v>
          </cell>
        </row>
        <row r="106">
          <cell r="L106" t="str">
            <v>2014.09</v>
          </cell>
          <cell r="M106">
            <v>522111</v>
          </cell>
          <cell r="N106" t="str">
            <v>2014.09.522111</v>
          </cell>
          <cell r="O106">
            <v>192000000</v>
          </cell>
          <cell r="P106">
            <v>192000000</v>
          </cell>
          <cell r="Q106">
            <v>522111</v>
          </cell>
          <cell r="R106">
            <v>5221</v>
          </cell>
          <cell r="S106" t="str">
            <v>Belanja Jasa</v>
          </cell>
        </row>
        <row r="107">
          <cell r="L107" t="str">
            <v>2014.09</v>
          </cell>
          <cell r="M107">
            <v>522115</v>
          </cell>
          <cell r="N107" t="str">
            <v>2014.09.522115</v>
          </cell>
          <cell r="O107">
            <v>182050000</v>
          </cell>
          <cell r="P107">
            <v>182050000</v>
          </cell>
          <cell r="Q107">
            <v>522115</v>
          </cell>
          <cell r="R107">
            <v>5221</v>
          </cell>
          <cell r="S107" t="str">
            <v>Belanja Jasa</v>
          </cell>
        </row>
        <row r="108">
          <cell r="L108" t="str">
            <v>2014.09</v>
          </cell>
          <cell r="M108">
            <v>523111</v>
          </cell>
          <cell r="N108" t="str">
            <v>2014.09.523111</v>
          </cell>
          <cell r="O108">
            <v>660600000</v>
          </cell>
          <cell r="P108">
            <v>660600000</v>
          </cell>
          <cell r="Q108">
            <v>523111</v>
          </cell>
          <cell r="R108">
            <v>5231</v>
          </cell>
          <cell r="S108" t="str">
            <v>Belanja Biaya Pemeliharaan</v>
          </cell>
        </row>
        <row r="109">
          <cell r="L109" t="str">
            <v>2014.09</v>
          </cell>
          <cell r="M109">
            <v>523121</v>
          </cell>
          <cell r="N109" t="str">
            <v>2014.09.523121</v>
          </cell>
          <cell r="O109">
            <v>172620000</v>
          </cell>
          <cell r="P109">
            <v>172620000</v>
          </cell>
          <cell r="Q109">
            <v>523121</v>
          </cell>
          <cell r="R109">
            <v>5231</v>
          </cell>
          <cell r="S109" t="str">
            <v>Belanja Biaya Pemeliharaan</v>
          </cell>
        </row>
        <row r="110">
          <cell r="L110" t="str">
            <v>2014.09</v>
          </cell>
          <cell r="M110">
            <v>524111</v>
          </cell>
          <cell r="N110" t="str">
            <v>2014.09.524111</v>
          </cell>
          <cell r="O110">
            <v>1491100000</v>
          </cell>
          <cell r="P110">
            <v>1491100000</v>
          </cell>
          <cell r="Q110">
            <v>524111</v>
          </cell>
          <cell r="R110">
            <v>5241</v>
          </cell>
          <cell r="S110" t="str">
            <v>Belanja Perjalanan Dalam Negeri</v>
          </cell>
        </row>
        <row r="111">
          <cell r="L111" t="str">
            <v>2014.09</v>
          </cell>
          <cell r="M111">
            <v>524119</v>
          </cell>
          <cell r="N111" t="str">
            <v>2014.09.524119</v>
          </cell>
          <cell r="O111">
            <v>336921000</v>
          </cell>
          <cell r="P111">
            <v>336921000</v>
          </cell>
          <cell r="Q111">
            <v>524119</v>
          </cell>
          <cell r="R111">
            <v>5241</v>
          </cell>
          <cell r="S111" t="str">
            <v>Belanja Perjalanan Dalam Negeri</v>
          </cell>
        </row>
        <row r="112">
          <cell r="L112" t="str">
            <v>2014.09</v>
          </cell>
          <cell r="M112">
            <v>532111</v>
          </cell>
          <cell r="N112" t="str">
            <v>2014.09.532111</v>
          </cell>
          <cell r="O112">
            <v>171040000</v>
          </cell>
          <cell r="P112">
            <v>171040000</v>
          </cell>
          <cell r="Q112">
            <v>532111</v>
          </cell>
          <cell r="R112">
            <v>5321</v>
          </cell>
          <cell r="S112" t="str">
            <v>Belanja Modal Peralatan dan Mesin</v>
          </cell>
        </row>
        <row r="113">
          <cell r="L113" t="str">
            <v>2014.09</v>
          </cell>
          <cell r="M113">
            <v>532121</v>
          </cell>
          <cell r="N113" t="str">
            <v>2014.09.532121</v>
          </cell>
          <cell r="O113">
            <v>200000000</v>
          </cell>
          <cell r="P113">
            <v>200000000</v>
          </cell>
          <cell r="Q113">
            <v>532121</v>
          </cell>
          <cell r="R113">
            <v>5321</v>
          </cell>
          <cell r="S113" t="str">
            <v>Belanja Modal Peralatan dan Mesin</v>
          </cell>
        </row>
        <row r="114">
          <cell r="L114" t="str">
            <v>2014.10</v>
          </cell>
          <cell r="M114">
            <v>521213</v>
          </cell>
          <cell r="N114" t="str">
            <v>2014.10.521213</v>
          </cell>
          <cell r="O114">
            <v>5900000</v>
          </cell>
          <cell r="P114">
            <v>5900000</v>
          </cell>
          <cell r="Q114">
            <v>521213</v>
          </cell>
          <cell r="R114">
            <v>5212</v>
          </cell>
          <cell r="S114" t="str">
            <v>Belanja Barang Non Operasional</v>
          </cell>
        </row>
        <row r="115">
          <cell r="L115" t="str">
            <v>2014.10</v>
          </cell>
          <cell r="M115">
            <v>521219</v>
          </cell>
          <cell r="N115" t="str">
            <v>2014.10.521219</v>
          </cell>
          <cell r="O115">
            <v>840000</v>
          </cell>
          <cell r="P115">
            <v>840000</v>
          </cell>
          <cell r="Q115">
            <v>521219</v>
          </cell>
          <cell r="R115">
            <v>5212</v>
          </cell>
          <cell r="S115" t="str">
            <v>Belanja Barang Non Operasional</v>
          </cell>
        </row>
        <row r="116">
          <cell r="L116" t="str">
            <v>2014.10</v>
          </cell>
          <cell r="M116">
            <v>524119</v>
          </cell>
          <cell r="N116" t="str">
            <v>2014.10.524119</v>
          </cell>
          <cell r="O116">
            <v>15500000</v>
          </cell>
          <cell r="P116">
            <v>15500000</v>
          </cell>
          <cell r="Q116">
            <v>524119</v>
          </cell>
          <cell r="R116">
            <v>5241</v>
          </cell>
          <cell r="S116" t="str">
            <v>Belanja Perjalanan Dalam Negeri</v>
          </cell>
        </row>
        <row r="117">
          <cell r="L117" t="str">
            <v>2014.12</v>
          </cell>
          <cell r="M117">
            <v>521115</v>
          </cell>
          <cell r="N117" t="str">
            <v>2014.12.521115</v>
          </cell>
          <cell r="O117">
            <v>42000000</v>
          </cell>
          <cell r="P117">
            <v>42000000</v>
          </cell>
          <cell r="Q117">
            <v>521115</v>
          </cell>
          <cell r="R117">
            <v>5211</v>
          </cell>
          <cell r="S117" t="str">
            <v>Belanja Barang Operasional</v>
          </cell>
        </row>
        <row r="118">
          <cell r="L118" t="str">
            <v>2014.12</v>
          </cell>
          <cell r="M118">
            <v>521211</v>
          </cell>
          <cell r="N118" t="str">
            <v>2014.12.521211</v>
          </cell>
          <cell r="O118">
            <v>36960000</v>
          </cell>
          <cell r="P118">
            <v>36960000</v>
          </cell>
          <cell r="Q118">
            <v>521211</v>
          </cell>
          <cell r="R118">
            <v>5212</v>
          </cell>
          <cell r="S118" t="str">
            <v>Belanja Barang Non Operasional</v>
          </cell>
        </row>
        <row r="119">
          <cell r="L119" t="str">
            <v>2014.12</v>
          </cell>
          <cell r="M119">
            <v>524119</v>
          </cell>
          <cell r="N119" t="str">
            <v>2014.12.524119</v>
          </cell>
          <cell r="O119">
            <v>36960000</v>
          </cell>
          <cell r="P119">
            <v>36960000</v>
          </cell>
          <cell r="Q119">
            <v>524119</v>
          </cell>
          <cell r="R119">
            <v>5241</v>
          </cell>
          <cell r="S119" t="str">
            <v>Belanja Perjalanan Dalam Negeri</v>
          </cell>
        </row>
        <row r="120">
          <cell r="L120" t="str">
            <v>2014.42</v>
          </cell>
          <cell r="M120">
            <v>533111</v>
          </cell>
          <cell r="N120" t="str">
            <v>2014.42.533111</v>
          </cell>
          <cell r="O120">
            <v>30000000</v>
          </cell>
          <cell r="P120">
            <v>30000000</v>
          </cell>
          <cell r="Q120">
            <v>533111</v>
          </cell>
          <cell r="R120">
            <v>5331</v>
          </cell>
          <cell r="S120" t="str">
            <v>Belanja Modal Gedung dan Bangunan</v>
          </cell>
        </row>
        <row r="121">
          <cell r="L121" t="str">
            <v>2014.42</v>
          </cell>
          <cell r="M121">
            <v>533121</v>
          </cell>
          <cell r="N121" t="str">
            <v>2014.42.533121</v>
          </cell>
          <cell r="O121">
            <v>340914000</v>
          </cell>
          <cell r="P121">
            <v>340914000</v>
          </cell>
          <cell r="Q121">
            <v>533121</v>
          </cell>
          <cell r="R121">
            <v>5331</v>
          </cell>
          <cell r="S121" t="str">
            <v>Belanja Modal Gedung dan Bangunan</v>
          </cell>
        </row>
        <row r="122">
          <cell r="L122" t="str">
            <v>2014.43</v>
          </cell>
          <cell r="M122">
            <v>532111</v>
          </cell>
          <cell r="N122" t="str">
            <v>2014.43.532111</v>
          </cell>
          <cell r="O122">
            <v>69000000</v>
          </cell>
          <cell r="P122">
            <v>69000000</v>
          </cell>
          <cell r="Q122">
            <v>532111</v>
          </cell>
          <cell r="R122">
            <v>5321</v>
          </cell>
          <cell r="S122" t="str">
            <v>Belanja Modal Peralatan dan Mesin</v>
          </cell>
        </row>
        <row r="123">
          <cell r="L123" t="str">
            <v>2014.44</v>
          </cell>
          <cell r="M123">
            <v>532111</v>
          </cell>
          <cell r="N123" t="str">
            <v>2014.44.532111</v>
          </cell>
          <cell r="O123">
            <v>1000000000</v>
          </cell>
          <cell r="P123">
            <v>1000000000</v>
          </cell>
          <cell r="Q123">
            <v>532111</v>
          </cell>
          <cell r="R123">
            <v>5321</v>
          </cell>
          <cell r="S123" t="str">
            <v>Belanja Modal Peralatan dan Mesin</v>
          </cell>
        </row>
        <row r="124">
          <cell r="L124" t="str">
            <v>2014.47</v>
          </cell>
          <cell r="M124">
            <v>523121</v>
          </cell>
          <cell r="N124" t="str">
            <v>2014.47.523121</v>
          </cell>
          <cell r="O124">
            <v>100100000</v>
          </cell>
          <cell r="P124">
            <v>100100000</v>
          </cell>
          <cell r="Q124">
            <v>523121</v>
          </cell>
          <cell r="R124">
            <v>5231</v>
          </cell>
          <cell r="S124" t="str">
            <v>Belanja Biaya Pemeliharaan</v>
          </cell>
        </row>
        <row r="125">
          <cell r="L125" t="str">
            <v>2014.47</v>
          </cell>
          <cell r="M125">
            <v>532111</v>
          </cell>
          <cell r="N125" t="str">
            <v>2014.47.532111</v>
          </cell>
          <cell r="O125">
            <v>199902000</v>
          </cell>
          <cell r="P125">
            <v>199902000</v>
          </cell>
          <cell r="Q125">
            <v>532111</v>
          </cell>
          <cell r="R125">
            <v>5321</v>
          </cell>
          <cell r="S125" t="str">
            <v>Belanja Modal Peralatan dan Mesin</v>
          </cell>
        </row>
        <row r="126">
          <cell r="L126" t="str">
            <v>2014.51</v>
          </cell>
          <cell r="M126">
            <v>523121</v>
          </cell>
          <cell r="N126" t="str">
            <v>2014.51.523121</v>
          </cell>
          <cell r="O126">
            <v>8760000</v>
          </cell>
          <cell r="P126">
            <v>8760000</v>
          </cell>
          <cell r="Q126">
            <v>523121</v>
          </cell>
          <cell r="R126">
            <v>5231</v>
          </cell>
          <cell r="S126" t="str">
            <v>Belanja Biaya Pemeliharaan</v>
          </cell>
        </row>
        <row r="127">
          <cell r="L127" t="str">
            <v>2014.51</v>
          </cell>
          <cell r="M127">
            <v>532111</v>
          </cell>
          <cell r="N127" t="str">
            <v>2014.51.532111</v>
          </cell>
          <cell r="O127">
            <v>35000000</v>
          </cell>
          <cell r="P127">
            <v>35000000</v>
          </cell>
          <cell r="Q127">
            <v>532111</v>
          </cell>
          <cell r="R127">
            <v>5321</v>
          </cell>
          <cell r="S127" t="str">
            <v>Belanja Modal Peralatan dan Mesin</v>
          </cell>
        </row>
      </sheetData>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ode"/>
      <sheetName val="REF"/>
      <sheetName val="Input_Transaksi"/>
      <sheetName val="BKU"/>
      <sheetName val="KAS"/>
      <sheetName val="TUNAI"/>
      <sheetName val="BANK"/>
      <sheetName val="BPP"/>
      <sheetName val="UP"/>
      <sheetName val="LSB"/>
      <sheetName val="PERJADIN"/>
      <sheetName val="PJK"/>
      <sheetName val="LAIN"/>
      <sheetName val="WASJA"/>
      <sheetName val="SPP_06"/>
      <sheetName val="SPP_04"/>
      <sheetName val="SPP_03"/>
      <sheetName val="SPP_02"/>
      <sheetName val="SPP"/>
      <sheetName val="SPTB_GU"/>
      <sheetName val="SPTB_LS"/>
      <sheetName val="BAR"/>
      <sheetName val="LPJ"/>
    </sheetNames>
    <sheetDataSet>
      <sheetData sheetId="0" refreshError="1"/>
      <sheetData sheetId="1" refreshError="1"/>
      <sheetData sheetId="2">
        <row r="5">
          <cell r="U5">
            <v>5111</v>
          </cell>
        </row>
        <row r="6">
          <cell r="L6" t="str">
            <v>2010.06</v>
          </cell>
          <cell r="M6">
            <v>521211</v>
          </cell>
          <cell r="N6" t="str">
            <v>2010.06.521211</v>
          </cell>
          <cell r="O6">
            <v>107162000</v>
          </cell>
          <cell r="P6">
            <v>107162000</v>
          </cell>
          <cell r="Q6">
            <v>521211</v>
          </cell>
          <cell r="R6">
            <v>5212</v>
          </cell>
          <cell r="S6" t="str">
            <v>Belanja Barang Non Operasional</v>
          </cell>
          <cell r="U6">
            <v>5122</v>
          </cell>
          <cell r="Y6" t="str">
            <v>Bendahara Pengeluaran Balai Diklat Keuangan Cimahi</v>
          </cell>
          <cell r="Z6" t="str">
            <v>Jl. PHH Mustafa No. 38 Bandung</v>
          </cell>
          <cell r="AA6" t="str">
            <v>Bank BNI 1946</v>
          </cell>
          <cell r="AB6" t="str">
            <v>0023405309</v>
          </cell>
        </row>
        <row r="7">
          <cell r="H7">
            <v>1</v>
          </cell>
          <cell r="I7" t="str">
            <v>BUKU KAS UMUM</v>
          </cell>
          <cell r="L7" t="str">
            <v>2010.06</v>
          </cell>
          <cell r="M7">
            <v>521213</v>
          </cell>
          <cell r="N7" t="str">
            <v>2010.06.521213</v>
          </cell>
          <cell r="O7">
            <v>14900000</v>
          </cell>
          <cell r="P7">
            <v>14900000</v>
          </cell>
          <cell r="Q7">
            <v>521213</v>
          </cell>
          <cell r="R7">
            <v>5212</v>
          </cell>
          <cell r="S7" t="str">
            <v>Belanja Barang Non Operasional</v>
          </cell>
          <cell r="U7">
            <v>5211</v>
          </cell>
          <cell r="Y7" t="str">
            <v>Para Pegawai</v>
          </cell>
          <cell r="Z7" t="str">
            <v>Jl. PHH Mustafa No. 38 Bandung</v>
          </cell>
          <cell r="AA7" t="str">
            <v>Bank BNI 1946</v>
          </cell>
          <cell r="AB7" t="str">
            <v>0023405309</v>
          </cell>
        </row>
        <row r="8">
          <cell r="H8">
            <v>2</v>
          </cell>
          <cell r="I8" t="str">
            <v>BUKU PEMBANTU KAS</v>
          </cell>
          <cell r="L8" t="str">
            <v>2010.06</v>
          </cell>
          <cell r="M8">
            <v>521219</v>
          </cell>
          <cell r="N8" t="str">
            <v>2010.06.521219</v>
          </cell>
          <cell r="O8">
            <v>636680000</v>
          </cell>
          <cell r="P8">
            <v>636680000</v>
          </cell>
          <cell r="Q8">
            <v>521219</v>
          </cell>
          <cell r="R8">
            <v>5212</v>
          </cell>
          <cell r="S8" t="str">
            <v>Belanja Barang Non Operasional</v>
          </cell>
          <cell r="U8">
            <v>5212</v>
          </cell>
        </row>
        <row r="9">
          <cell r="H9">
            <v>3</v>
          </cell>
          <cell r="I9" t="str">
            <v>BUKU PEMBANTU KAS TUNAI</v>
          </cell>
          <cell r="L9" t="str">
            <v>2010.06</v>
          </cell>
          <cell r="M9">
            <v>522115</v>
          </cell>
          <cell r="N9" t="str">
            <v>2010.06.522115</v>
          </cell>
          <cell r="O9">
            <v>106650000</v>
          </cell>
          <cell r="P9">
            <v>106650000</v>
          </cell>
          <cell r="Q9">
            <v>522115</v>
          </cell>
          <cell r="R9">
            <v>5221</v>
          </cell>
          <cell r="S9" t="str">
            <v>Belanja Jasa</v>
          </cell>
          <cell r="U9">
            <v>5221</v>
          </cell>
        </row>
        <row r="10">
          <cell r="H10">
            <v>4</v>
          </cell>
          <cell r="I10" t="str">
            <v>BUKU PEMBANTU BANK</v>
          </cell>
          <cell r="L10" t="str">
            <v>2010.06</v>
          </cell>
          <cell r="M10">
            <v>524119</v>
          </cell>
          <cell r="N10" t="str">
            <v>2010.06.524119</v>
          </cell>
          <cell r="O10">
            <v>51957000</v>
          </cell>
          <cell r="P10">
            <v>51957000</v>
          </cell>
          <cell r="Q10">
            <v>524119</v>
          </cell>
          <cell r="R10">
            <v>5241</v>
          </cell>
          <cell r="S10" t="str">
            <v>Belanja Perjalanan Dalam Negeri</v>
          </cell>
          <cell r="U10">
            <v>5231</v>
          </cell>
        </row>
        <row r="11">
          <cell r="H11">
            <v>5</v>
          </cell>
          <cell r="I11" t="str">
            <v>BUKU PEMBANTU BPP</v>
          </cell>
          <cell r="L11" t="str">
            <v>2010.10</v>
          </cell>
          <cell r="M11">
            <v>521211</v>
          </cell>
          <cell r="N11" t="str">
            <v>2010.10.521211</v>
          </cell>
          <cell r="O11">
            <v>14506000</v>
          </cell>
          <cell r="P11">
            <v>14506000</v>
          </cell>
          <cell r="Q11">
            <v>521211</v>
          </cell>
          <cell r="R11">
            <v>5212</v>
          </cell>
          <cell r="S11" t="str">
            <v>Belanja Barang Non Operasional</v>
          </cell>
          <cell r="U11">
            <v>5241</v>
          </cell>
        </row>
        <row r="12">
          <cell r="H12">
            <v>6</v>
          </cell>
          <cell r="I12" t="str">
            <v>BUKU PEMBANTU UP</v>
          </cell>
          <cell r="L12" t="str">
            <v>2010.10</v>
          </cell>
          <cell r="M12">
            <v>521213</v>
          </cell>
          <cell r="N12" t="str">
            <v>2010.10.521213</v>
          </cell>
          <cell r="O12">
            <v>3700000</v>
          </cell>
          <cell r="P12">
            <v>3700000</v>
          </cell>
          <cell r="Q12">
            <v>521213</v>
          </cell>
          <cell r="R12">
            <v>5212</v>
          </cell>
          <cell r="S12" t="str">
            <v>Belanja Barang Non Operasional</v>
          </cell>
          <cell r="U12">
            <v>5311</v>
          </cell>
        </row>
        <row r="13">
          <cell r="H13">
            <v>7</v>
          </cell>
          <cell r="I13" t="str">
            <v>BUKU PEMBANTU LS BENDAHARA</v>
          </cell>
          <cell r="L13" t="str">
            <v>2010.10</v>
          </cell>
          <cell r="M13">
            <v>521219</v>
          </cell>
          <cell r="N13" t="str">
            <v>2010.10.521219</v>
          </cell>
          <cell r="O13">
            <v>87750000</v>
          </cell>
          <cell r="P13">
            <v>87750000</v>
          </cell>
          <cell r="Q13">
            <v>521219</v>
          </cell>
          <cell r="R13">
            <v>5212</v>
          </cell>
          <cell r="S13" t="str">
            <v>Belanja Barang Non Operasional</v>
          </cell>
          <cell r="U13">
            <v>5321</v>
          </cell>
        </row>
        <row r="14">
          <cell r="H14">
            <v>8</v>
          </cell>
          <cell r="I14" t="str">
            <v>BUKU PEMBANTU UANG MUKA PERJADIN</v>
          </cell>
          <cell r="L14" t="str">
            <v>2010.10</v>
          </cell>
          <cell r="M14">
            <v>522115</v>
          </cell>
          <cell r="N14" t="str">
            <v>2010.10.522115</v>
          </cell>
          <cell r="O14">
            <v>19150000</v>
          </cell>
          <cell r="P14">
            <v>19150000</v>
          </cell>
          <cell r="Q14">
            <v>522115</v>
          </cell>
          <cell r="R14">
            <v>5221</v>
          </cell>
          <cell r="S14" t="str">
            <v>Belanja Jasa</v>
          </cell>
          <cell r="U14">
            <v>5331</v>
          </cell>
        </row>
        <row r="15">
          <cell r="H15">
            <v>9</v>
          </cell>
          <cell r="I15" t="str">
            <v>BUKU PEMBANTU PAJAK</v>
          </cell>
          <cell r="L15" t="str">
            <v>2010.10</v>
          </cell>
          <cell r="M15">
            <v>524119</v>
          </cell>
          <cell r="N15" t="str">
            <v>2010.10.524119</v>
          </cell>
          <cell r="O15">
            <v>11548000</v>
          </cell>
          <cell r="P15">
            <v>11548000</v>
          </cell>
          <cell r="Q15">
            <v>524119</v>
          </cell>
          <cell r="R15">
            <v>5241</v>
          </cell>
          <cell r="S15" t="str">
            <v>Belanja Perjalanan Dalam Negeri</v>
          </cell>
        </row>
        <row r="16">
          <cell r="H16">
            <v>10</v>
          </cell>
          <cell r="I16" t="str">
            <v>BUKU PEMBANTU LAIN-LAIN</v>
          </cell>
          <cell r="L16" t="str">
            <v>2010.14</v>
          </cell>
          <cell r="M16">
            <v>521211</v>
          </cell>
          <cell r="N16" t="str">
            <v>2010.14.521211</v>
          </cell>
          <cell r="O16">
            <v>61857000</v>
          </cell>
          <cell r="P16">
            <v>61857000</v>
          </cell>
          <cell r="Q16">
            <v>521211</v>
          </cell>
          <cell r="R16">
            <v>5212</v>
          </cell>
          <cell r="S16" t="str">
            <v>Belanja Barang Non Operasional</v>
          </cell>
        </row>
        <row r="17">
          <cell r="L17" t="str">
            <v>2010.14</v>
          </cell>
          <cell r="M17">
            <v>521213</v>
          </cell>
          <cell r="N17" t="str">
            <v>2010.14.521213</v>
          </cell>
          <cell r="O17">
            <v>18500000</v>
          </cell>
          <cell r="P17">
            <v>18500000</v>
          </cell>
          <cell r="Q17">
            <v>521213</v>
          </cell>
          <cell r="R17">
            <v>5212</v>
          </cell>
          <cell r="S17" t="str">
            <v>Belanja Barang Non Operasional</v>
          </cell>
        </row>
        <row r="18">
          <cell r="L18" t="str">
            <v>2010.14</v>
          </cell>
          <cell r="M18">
            <v>521219</v>
          </cell>
          <cell r="N18" t="str">
            <v>2010.14.521219</v>
          </cell>
          <cell r="O18">
            <v>152180000</v>
          </cell>
          <cell r="P18">
            <v>152180000</v>
          </cell>
          <cell r="Q18">
            <v>521219</v>
          </cell>
          <cell r="R18">
            <v>5212</v>
          </cell>
          <cell r="S18" t="str">
            <v>Belanja Barang Non Operasional</v>
          </cell>
        </row>
        <row r="19">
          <cell r="L19" t="str">
            <v>2010.14</v>
          </cell>
          <cell r="M19">
            <v>522115</v>
          </cell>
          <cell r="N19" t="str">
            <v>2010.14.522115</v>
          </cell>
          <cell r="O19">
            <v>87500000</v>
          </cell>
          <cell r="P19">
            <v>87500000</v>
          </cell>
          <cell r="Q19">
            <v>522115</v>
          </cell>
          <cell r="R19">
            <v>5221</v>
          </cell>
          <cell r="S19" t="str">
            <v>Belanja Jasa</v>
          </cell>
          <cell r="V19" t="str">
            <v>Pengeluaran Anggaran</v>
          </cell>
        </row>
        <row r="20">
          <cell r="L20" t="str">
            <v>2010.14</v>
          </cell>
          <cell r="M20">
            <v>524119</v>
          </cell>
          <cell r="N20" t="str">
            <v>2010.14.524119</v>
          </cell>
          <cell r="O20">
            <v>43309000</v>
          </cell>
          <cell r="P20">
            <v>43309000</v>
          </cell>
          <cell r="Q20">
            <v>524119</v>
          </cell>
          <cell r="R20">
            <v>5241</v>
          </cell>
          <cell r="S20" t="str">
            <v>Belanja Perjalanan Dalam Negeri</v>
          </cell>
          <cell r="V20" t="str">
            <v>Pengembalian Uang Mata Anggaran</v>
          </cell>
        </row>
        <row r="21">
          <cell r="L21" t="str">
            <v>2010.29</v>
          </cell>
          <cell r="M21">
            <v>521211</v>
          </cell>
          <cell r="N21" t="str">
            <v>2010.29.521211</v>
          </cell>
          <cell r="O21">
            <v>116847000</v>
          </cell>
          <cell r="P21">
            <v>116847000</v>
          </cell>
          <cell r="Q21">
            <v>521211</v>
          </cell>
          <cell r="R21">
            <v>5212</v>
          </cell>
          <cell r="S21" t="str">
            <v>Belanja Barang Non Operasional</v>
          </cell>
          <cell r="V21" t="str">
            <v>Perhitungan Fihak Ketiga</v>
          </cell>
        </row>
        <row r="22">
          <cell r="L22" t="str">
            <v>2010.29</v>
          </cell>
          <cell r="M22">
            <v>521213</v>
          </cell>
          <cell r="N22" t="str">
            <v>2010.29.521213</v>
          </cell>
          <cell r="O22">
            <v>32200000</v>
          </cell>
          <cell r="P22">
            <v>32200000</v>
          </cell>
          <cell r="Q22">
            <v>521213</v>
          </cell>
          <cell r="R22">
            <v>5212</v>
          </cell>
          <cell r="S22" t="str">
            <v>Belanja Barang Non Operasional</v>
          </cell>
          <cell r="V22" t="str">
            <v>Pengeluaran Transito</v>
          </cell>
        </row>
        <row r="23">
          <cell r="L23" t="str">
            <v>2010.29</v>
          </cell>
          <cell r="M23">
            <v>521219</v>
          </cell>
          <cell r="N23" t="str">
            <v>2010.29.521219</v>
          </cell>
          <cell r="O23">
            <v>365804000</v>
          </cell>
          <cell r="P23">
            <v>365804000</v>
          </cell>
          <cell r="Q23">
            <v>521219</v>
          </cell>
          <cell r="R23">
            <v>5212</v>
          </cell>
          <cell r="S23" t="str">
            <v>Belanja Barang Non Operasional</v>
          </cell>
          <cell r="V23" t="str">
            <v>Perhitungan Reksus</v>
          </cell>
        </row>
        <row r="24">
          <cell r="L24" t="str">
            <v>2010.29</v>
          </cell>
          <cell r="M24">
            <v>522114</v>
          </cell>
          <cell r="N24" t="str">
            <v>2010.29.522114</v>
          </cell>
          <cell r="O24">
            <v>26000000</v>
          </cell>
          <cell r="P24">
            <v>26000000</v>
          </cell>
          <cell r="Q24">
            <v>522114</v>
          </cell>
          <cell r="R24">
            <v>5221</v>
          </cell>
          <cell r="S24" t="str">
            <v>Belanja Jasa</v>
          </cell>
          <cell r="V24" t="str">
            <v>Pembetulan Pembukuan</v>
          </cell>
        </row>
        <row r="25">
          <cell r="L25" t="str">
            <v>2010.29</v>
          </cell>
          <cell r="M25">
            <v>522115</v>
          </cell>
          <cell r="N25" t="str">
            <v>2010.29.522115</v>
          </cell>
          <cell r="O25">
            <v>119650000</v>
          </cell>
          <cell r="P25">
            <v>119650000</v>
          </cell>
          <cell r="Q25">
            <v>522115</v>
          </cell>
          <cell r="R25">
            <v>5221</v>
          </cell>
          <cell r="S25" t="str">
            <v>Belanja Jasa</v>
          </cell>
        </row>
        <row r="26">
          <cell r="L26" t="str">
            <v>2010.29</v>
          </cell>
          <cell r="M26">
            <v>522119</v>
          </cell>
          <cell r="N26" t="str">
            <v>2010.29.522119</v>
          </cell>
          <cell r="O26">
            <v>42900000</v>
          </cell>
          <cell r="P26">
            <v>42900000</v>
          </cell>
          <cell r="Q26">
            <v>522119</v>
          </cell>
          <cell r="R26">
            <v>5221</v>
          </cell>
          <cell r="S26" t="str">
            <v>Belanja Jasa</v>
          </cell>
        </row>
        <row r="27">
          <cell r="H27" t="str">
            <v>A  Membukukan Pagu DIPA</v>
          </cell>
          <cell r="L27" t="str">
            <v>2010.29</v>
          </cell>
          <cell r="M27">
            <v>524119</v>
          </cell>
          <cell r="N27" t="str">
            <v>2010.29.524119</v>
          </cell>
          <cell r="O27">
            <v>96599000</v>
          </cell>
          <cell r="P27">
            <v>96599000</v>
          </cell>
          <cell r="Q27">
            <v>524119</v>
          </cell>
          <cell r="R27">
            <v>5241</v>
          </cell>
          <cell r="S27" t="str">
            <v>Belanja Perjalanan Dalam Negeri</v>
          </cell>
        </row>
        <row r="28">
          <cell r="H28" t="str">
            <v>B  Terima SP2D-UP/TUP</v>
          </cell>
          <cell r="L28" t="str">
            <v>2010.40</v>
          </cell>
          <cell r="M28">
            <v>572113</v>
          </cell>
          <cell r="N28" t="str">
            <v>2010.40.572113</v>
          </cell>
          <cell r="O28">
            <v>34083000000</v>
          </cell>
          <cell r="P28">
            <v>34083000000</v>
          </cell>
          <cell r="Q28">
            <v>572113</v>
          </cell>
          <cell r="R28">
            <v>5721</v>
          </cell>
          <cell r="S28" t="str">
            <v>Belanja  Bantuan Beasiswa</v>
          </cell>
          <cell r="V28" t="str">
            <v>Dana Uang Persediaan (UP)</v>
          </cell>
        </row>
        <row r="29">
          <cell r="H29" t="str">
            <v>C1  Terima SP2D-LS Bendahara</v>
          </cell>
          <cell r="L29" t="str">
            <v>2011.02</v>
          </cell>
          <cell r="M29">
            <v>521211</v>
          </cell>
          <cell r="N29" t="str">
            <v>2011.02.521211</v>
          </cell>
          <cell r="O29">
            <v>39700000</v>
          </cell>
          <cell r="P29">
            <v>39700000</v>
          </cell>
          <cell r="Q29">
            <v>521211</v>
          </cell>
          <cell r="R29">
            <v>5212</v>
          </cell>
          <cell r="S29" t="str">
            <v>Belanja Barang Non Operasional</v>
          </cell>
          <cell r="V29" t="str">
            <v>Tambahan Uang Persediaan (TU)</v>
          </cell>
        </row>
        <row r="30">
          <cell r="H30" t="str">
            <v>C2  Potongan SP2D LS Bendahara</v>
          </cell>
          <cell r="L30" t="str">
            <v>2011.02</v>
          </cell>
          <cell r="M30">
            <v>521213</v>
          </cell>
          <cell r="N30" t="str">
            <v>2011.02.521213</v>
          </cell>
          <cell r="O30">
            <v>13000000</v>
          </cell>
          <cell r="P30">
            <v>13000000</v>
          </cell>
          <cell r="Q30">
            <v>521213</v>
          </cell>
          <cell r="R30">
            <v>5212</v>
          </cell>
          <cell r="S30" t="str">
            <v>Belanja Barang Non Operasional</v>
          </cell>
          <cell r="V30" t="str">
            <v>Penggantian Uang Persediaan (GU)</v>
          </cell>
        </row>
        <row r="31">
          <cell r="H31" t="str">
            <v>D1  Terima SP2D GU Isi</v>
          </cell>
          <cell r="L31" t="str">
            <v>2011.02</v>
          </cell>
          <cell r="M31">
            <v>521219</v>
          </cell>
          <cell r="N31" t="str">
            <v>2011.02.521219</v>
          </cell>
          <cell r="O31">
            <v>28700000</v>
          </cell>
          <cell r="P31">
            <v>28700000</v>
          </cell>
          <cell r="Q31">
            <v>521219</v>
          </cell>
          <cell r="R31">
            <v>5212</v>
          </cell>
          <cell r="S31" t="str">
            <v>Belanja Barang Non Operasional</v>
          </cell>
          <cell r="V31" t="str">
            <v>Pembayaran Langsung (LS)</v>
          </cell>
        </row>
        <row r="32">
          <cell r="H32" t="str">
            <v>D2  Potongan SP2D GU</v>
          </cell>
          <cell r="L32" t="str">
            <v>2011.02</v>
          </cell>
          <cell r="M32">
            <v>522115</v>
          </cell>
          <cell r="N32" t="str">
            <v>2011.02.522115</v>
          </cell>
          <cell r="O32">
            <v>16000000</v>
          </cell>
          <cell r="P32">
            <v>16000000</v>
          </cell>
          <cell r="Q32">
            <v>522115</v>
          </cell>
          <cell r="R32">
            <v>5221</v>
          </cell>
          <cell r="S32" t="str">
            <v>Belanja Jasa</v>
          </cell>
          <cell r="V32" t="str">
            <v>Nihil</v>
          </cell>
        </row>
        <row r="33">
          <cell r="H33" t="str">
            <v>E  Terima SP2D GU/TUP Nihil</v>
          </cell>
          <cell r="L33" t="str">
            <v>2011.02</v>
          </cell>
          <cell r="M33">
            <v>524119</v>
          </cell>
          <cell r="N33" t="str">
            <v>2011.02.524119</v>
          </cell>
          <cell r="O33">
            <v>12600000</v>
          </cell>
          <cell r="P33">
            <v>12600000</v>
          </cell>
          <cell r="Q33">
            <v>524119</v>
          </cell>
          <cell r="R33">
            <v>5241</v>
          </cell>
          <cell r="S33" t="str">
            <v>Belanja Perjalanan Dalam Negeri</v>
          </cell>
          <cell r="V33" t="str">
            <v>Pengesahan</v>
          </cell>
        </row>
        <row r="34">
          <cell r="H34" t="str">
            <v>F  Terima SP2D LS Rekanan/pihak ke 3</v>
          </cell>
          <cell r="L34" t="str">
            <v>2011.02</v>
          </cell>
          <cell r="M34">
            <v>532111</v>
          </cell>
          <cell r="N34" t="str">
            <v>2011.02.532111</v>
          </cell>
          <cell r="O34">
            <v>390000000</v>
          </cell>
          <cell r="P34">
            <v>390000000</v>
          </cell>
          <cell r="Q34">
            <v>532111</v>
          </cell>
          <cell r="R34">
            <v>5321</v>
          </cell>
          <cell r="S34" t="str">
            <v>Belanja Modal Peralatan dan Mesin</v>
          </cell>
        </row>
        <row r="35">
          <cell r="H35" t="str">
            <v>G1  Perpindahan dari Bank ke Tunai</v>
          </cell>
          <cell r="L35" t="str">
            <v>2012.02</v>
          </cell>
          <cell r="M35">
            <v>521219</v>
          </cell>
          <cell r="N35" t="str">
            <v>2012.02.521219</v>
          </cell>
          <cell r="O35">
            <v>680678000</v>
          </cell>
          <cell r="P35">
            <v>680678000</v>
          </cell>
          <cell r="Q35">
            <v>521219</v>
          </cell>
          <cell r="R35">
            <v>5212</v>
          </cell>
          <cell r="S35" t="str">
            <v>Belanja Barang Non Operasional</v>
          </cell>
        </row>
        <row r="36">
          <cell r="H36" t="str">
            <v>G2  Perpindahan dari Tunai ke Bank</v>
          </cell>
          <cell r="L36" t="str">
            <v>2012.04</v>
          </cell>
          <cell r="M36">
            <v>521211</v>
          </cell>
          <cell r="N36" t="str">
            <v>2012.04.521211</v>
          </cell>
          <cell r="O36">
            <v>6530000</v>
          </cell>
          <cell r="P36">
            <v>6530000</v>
          </cell>
          <cell r="Q36">
            <v>521211</v>
          </cell>
          <cell r="R36">
            <v>5212</v>
          </cell>
          <cell r="S36" t="str">
            <v>Belanja Barang Non Operasional</v>
          </cell>
        </row>
        <row r="37">
          <cell r="H37" t="str">
            <v>H1  Belanja dengan UP/TUP (tunai)</v>
          </cell>
          <cell r="L37" t="str">
            <v>2012.04</v>
          </cell>
          <cell r="M37">
            <v>521213</v>
          </cell>
          <cell r="N37" t="str">
            <v>2012.04.521213</v>
          </cell>
          <cell r="O37">
            <v>40800000</v>
          </cell>
          <cell r="P37">
            <v>40800000</v>
          </cell>
          <cell r="Q37">
            <v>521213</v>
          </cell>
          <cell r="R37">
            <v>5212</v>
          </cell>
          <cell r="S37" t="str">
            <v>Belanja Barang Non Operasional</v>
          </cell>
        </row>
        <row r="38">
          <cell r="H38" t="str">
            <v>H2  Belanja dengan UP/TUP (bank)</v>
          </cell>
          <cell r="L38" t="str">
            <v>2012.04</v>
          </cell>
          <cell r="M38">
            <v>521219</v>
          </cell>
          <cell r="N38" t="str">
            <v>2012.04.521219</v>
          </cell>
          <cell r="O38">
            <v>8042528000</v>
          </cell>
          <cell r="P38">
            <v>8042528000</v>
          </cell>
          <cell r="Q38">
            <v>521219</v>
          </cell>
          <cell r="R38">
            <v>5212</v>
          </cell>
          <cell r="S38" t="str">
            <v>Belanja Barang Non Operasional</v>
          </cell>
        </row>
        <row r="39">
          <cell r="H39" t="str">
            <v>I1  Belanja dengan LS-Bendahara (tunai)</v>
          </cell>
          <cell r="L39" t="str">
            <v>2012.04</v>
          </cell>
          <cell r="M39">
            <v>524119</v>
          </cell>
          <cell r="N39" t="str">
            <v>2012.04.524119</v>
          </cell>
          <cell r="O39">
            <v>32450000</v>
          </cell>
          <cell r="P39">
            <v>32450000</v>
          </cell>
          <cell r="Q39">
            <v>524119</v>
          </cell>
          <cell r="R39">
            <v>5241</v>
          </cell>
          <cell r="S39" t="str">
            <v>Belanja Perjalanan Dalam Negeri</v>
          </cell>
        </row>
        <row r="40">
          <cell r="H40" t="str">
            <v>I2  Belanja dengan LS-Bendahara (bank)</v>
          </cell>
          <cell r="L40" t="str">
            <v>2012.06</v>
          </cell>
          <cell r="M40">
            <v>521219</v>
          </cell>
          <cell r="N40" t="str">
            <v>2012.06.521219</v>
          </cell>
          <cell r="O40">
            <v>1160500000</v>
          </cell>
          <cell r="P40">
            <v>1160500000</v>
          </cell>
          <cell r="Q40">
            <v>521219</v>
          </cell>
          <cell r="R40">
            <v>5212</v>
          </cell>
          <cell r="S40" t="str">
            <v>Belanja Barang Non Operasional</v>
          </cell>
        </row>
        <row r="41">
          <cell r="H41" t="str">
            <v>J1  Pemberian Persekot (tunai)</v>
          </cell>
          <cell r="L41" t="str">
            <v>2012.11</v>
          </cell>
          <cell r="M41">
            <v>521211</v>
          </cell>
          <cell r="N41" t="str">
            <v>2012.11.521211</v>
          </cell>
          <cell r="O41">
            <v>12400000</v>
          </cell>
          <cell r="P41">
            <v>12400000</v>
          </cell>
          <cell r="Q41">
            <v>521211</v>
          </cell>
          <cell r="R41">
            <v>5212</v>
          </cell>
          <cell r="S41" t="str">
            <v>Belanja Barang Non Operasional</v>
          </cell>
        </row>
        <row r="42">
          <cell r="H42" t="str">
            <v>J2  Pemberian Persekot (bank)</v>
          </cell>
          <cell r="L42" t="str">
            <v>2012.11</v>
          </cell>
          <cell r="M42">
            <v>521213</v>
          </cell>
          <cell r="N42" t="str">
            <v>2012.11.521213</v>
          </cell>
          <cell r="O42">
            <v>3650000</v>
          </cell>
          <cell r="P42">
            <v>3650000</v>
          </cell>
          <cell r="Q42">
            <v>521213</v>
          </cell>
          <cell r="R42">
            <v>5212</v>
          </cell>
          <cell r="S42" t="str">
            <v>Belanja Barang Non Operasional</v>
          </cell>
        </row>
        <row r="43">
          <cell r="H43" t="str">
            <v>J3  Pertanggungjawaban Persekot</v>
          </cell>
          <cell r="L43" t="str">
            <v>2012.11</v>
          </cell>
          <cell r="M43">
            <v>521219</v>
          </cell>
          <cell r="N43" t="str">
            <v>2012.11.521219</v>
          </cell>
          <cell r="O43">
            <v>47500000</v>
          </cell>
          <cell r="P43">
            <v>47500000</v>
          </cell>
          <cell r="Q43">
            <v>521219</v>
          </cell>
          <cell r="R43">
            <v>5212</v>
          </cell>
          <cell r="S43" t="str">
            <v>Belanja Barang Non Operasional</v>
          </cell>
        </row>
        <row r="44">
          <cell r="H44" t="str">
            <v>J4  Terima pengembalian sisa persekot</v>
          </cell>
          <cell r="L44" t="str">
            <v>2012.11</v>
          </cell>
          <cell r="M44">
            <v>522115</v>
          </cell>
          <cell r="N44" t="str">
            <v>2012.11.522115</v>
          </cell>
          <cell r="O44">
            <v>70550000</v>
          </cell>
          <cell r="P44">
            <v>70550000</v>
          </cell>
          <cell r="Q44">
            <v>522115</v>
          </cell>
          <cell r="R44">
            <v>5221</v>
          </cell>
          <cell r="S44" t="str">
            <v>Belanja Jasa</v>
          </cell>
        </row>
        <row r="45">
          <cell r="H45" t="str">
            <v>K1  Pemberian UM Perjadin (tunai)</v>
          </cell>
          <cell r="L45" t="str">
            <v>2012.11</v>
          </cell>
          <cell r="M45">
            <v>524119</v>
          </cell>
          <cell r="N45" t="str">
            <v>2012.11.524119</v>
          </cell>
          <cell r="O45">
            <v>25724000</v>
          </cell>
          <cell r="P45">
            <v>25724000</v>
          </cell>
          <cell r="Q45">
            <v>524119</v>
          </cell>
          <cell r="R45">
            <v>5241</v>
          </cell>
          <cell r="S45" t="str">
            <v>Belanja Perjalanan Dalam Negeri</v>
          </cell>
        </row>
        <row r="46">
          <cell r="H46" t="str">
            <v>K2  Pemberian UM Perjadin (bank)</v>
          </cell>
          <cell r="L46" t="str">
            <v>2012.12</v>
          </cell>
          <cell r="M46">
            <v>521211</v>
          </cell>
          <cell r="N46" t="str">
            <v>2012.12.521211</v>
          </cell>
          <cell r="O46">
            <v>10791000</v>
          </cell>
          <cell r="P46">
            <v>10791000</v>
          </cell>
          <cell r="Q46">
            <v>521211</v>
          </cell>
          <cell r="R46">
            <v>5212</v>
          </cell>
          <cell r="S46" t="str">
            <v>Belanja Barang Non Operasional</v>
          </cell>
        </row>
        <row r="47">
          <cell r="H47" t="str">
            <v>K3  Perhitungan rampung Perjadin</v>
          </cell>
          <cell r="L47" t="str">
            <v>2012.12</v>
          </cell>
          <cell r="M47">
            <v>521213</v>
          </cell>
          <cell r="N47" t="str">
            <v>2012.12.521213</v>
          </cell>
          <cell r="O47">
            <v>3650000</v>
          </cell>
          <cell r="P47">
            <v>3650000</v>
          </cell>
          <cell r="Q47">
            <v>521213</v>
          </cell>
          <cell r="R47">
            <v>5212</v>
          </cell>
          <cell r="S47" t="str">
            <v>Belanja Barang Non Operasional</v>
          </cell>
        </row>
        <row r="48">
          <cell r="H48" t="str">
            <v>K4  Terima Sisa UM Perjadin (tunai)</v>
          </cell>
          <cell r="L48" t="str">
            <v>2012.12</v>
          </cell>
          <cell r="M48">
            <v>521219</v>
          </cell>
          <cell r="N48" t="str">
            <v>2012.12.521219</v>
          </cell>
          <cell r="O48">
            <v>45760000</v>
          </cell>
          <cell r="P48">
            <v>45760000</v>
          </cell>
          <cell r="Q48">
            <v>521219</v>
          </cell>
          <cell r="R48">
            <v>5212</v>
          </cell>
          <cell r="S48" t="str">
            <v>Belanja Barang Non Operasional</v>
          </cell>
        </row>
        <row r="49">
          <cell r="H49" t="str">
            <v>L1  Terima uang lain-lain (Jasa Giro/TKPKN)</v>
          </cell>
          <cell r="L49" t="str">
            <v>2012.12</v>
          </cell>
          <cell r="M49">
            <v>522115</v>
          </cell>
          <cell r="N49" t="str">
            <v>2012.12.522115</v>
          </cell>
          <cell r="O49">
            <v>58450000</v>
          </cell>
          <cell r="P49">
            <v>58450000</v>
          </cell>
          <cell r="Q49">
            <v>522115</v>
          </cell>
          <cell r="R49">
            <v>5221</v>
          </cell>
          <cell r="S49" t="str">
            <v>Belanja Jasa</v>
          </cell>
        </row>
        <row r="50">
          <cell r="H50" t="str">
            <v>L2  Setor uang lain-lain (Jasa Giro/TKPKN) [tunai]</v>
          </cell>
          <cell r="L50" t="str">
            <v>2012.12</v>
          </cell>
          <cell r="M50">
            <v>524119</v>
          </cell>
          <cell r="N50" t="str">
            <v>2012.12.524119</v>
          </cell>
          <cell r="O50">
            <v>21525000</v>
          </cell>
          <cell r="P50">
            <v>21525000</v>
          </cell>
          <cell r="Q50">
            <v>524119</v>
          </cell>
          <cell r="R50">
            <v>5241</v>
          </cell>
          <cell r="S50" t="str">
            <v>Belanja Perjalanan Dalam Negeri</v>
          </cell>
        </row>
        <row r="51">
          <cell r="H51" t="str">
            <v>L3  Setor uang lain-lain (Jasa Giro/TKPKN) [bank]</v>
          </cell>
          <cell r="L51" t="str">
            <v>2012.16</v>
          </cell>
          <cell r="M51">
            <v>572111</v>
          </cell>
          <cell r="N51" t="str">
            <v>2012.16.572111</v>
          </cell>
          <cell r="O51">
            <v>20217600000</v>
          </cell>
          <cell r="P51">
            <v>20217600000</v>
          </cell>
          <cell r="Q51">
            <v>572111</v>
          </cell>
          <cell r="R51">
            <v>5721</v>
          </cell>
          <cell r="S51" t="str">
            <v>Belanja  Bantuan Beasiswa</v>
          </cell>
        </row>
        <row r="52">
          <cell r="H52" t="str">
            <v>M1  Pungut Pajak oleh bendahara (tunai)</v>
          </cell>
          <cell r="L52" t="str">
            <v>2012.17</v>
          </cell>
          <cell r="M52">
            <v>572111</v>
          </cell>
          <cell r="N52" t="str">
            <v>2012.17.572111</v>
          </cell>
          <cell r="O52">
            <v>4575600000</v>
          </cell>
          <cell r="P52">
            <v>4575600000</v>
          </cell>
          <cell r="Q52">
            <v>572111</v>
          </cell>
          <cell r="R52">
            <v>5721</v>
          </cell>
          <cell r="S52" t="str">
            <v>Belanja  Bantuan Beasiswa</v>
          </cell>
        </row>
        <row r="53">
          <cell r="H53" t="str">
            <v>M2  Setor Pajak oleh bendahara (tunai)</v>
          </cell>
          <cell r="L53" t="str">
            <v>2012.19</v>
          </cell>
          <cell r="M53">
            <v>521211</v>
          </cell>
          <cell r="N53" t="str">
            <v>2012.19.521211</v>
          </cell>
          <cell r="O53">
            <v>18511000</v>
          </cell>
          <cell r="P53">
            <v>18511000</v>
          </cell>
          <cell r="Q53">
            <v>521211</v>
          </cell>
          <cell r="R53">
            <v>5212</v>
          </cell>
          <cell r="S53" t="str">
            <v>Belanja Barang Non Operasional</v>
          </cell>
        </row>
        <row r="54">
          <cell r="H54" t="str">
            <v>M3  Setor Pajak oleh bendahara (bank)</v>
          </cell>
          <cell r="L54" t="str">
            <v>2012.19</v>
          </cell>
          <cell r="M54">
            <v>521213</v>
          </cell>
          <cell r="N54" t="str">
            <v>2012.19.521213</v>
          </cell>
          <cell r="O54">
            <v>2500000</v>
          </cell>
          <cell r="P54">
            <v>2500000</v>
          </cell>
          <cell r="Q54">
            <v>521213</v>
          </cell>
          <cell r="R54">
            <v>5212</v>
          </cell>
          <cell r="S54" t="str">
            <v>Belanja Barang Non Operasional</v>
          </cell>
        </row>
        <row r="55">
          <cell r="H55" t="str">
            <v>M4  Pungut Pajak oleh BPP (tunai)</v>
          </cell>
          <cell r="L55" t="str">
            <v>2012.19</v>
          </cell>
          <cell r="M55">
            <v>521219</v>
          </cell>
          <cell r="N55" t="str">
            <v>2012.19.521219</v>
          </cell>
          <cell r="O55">
            <v>111916000</v>
          </cell>
          <cell r="P55">
            <v>111916000</v>
          </cell>
          <cell r="Q55">
            <v>521219</v>
          </cell>
          <cell r="R55">
            <v>5212</v>
          </cell>
          <cell r="S55" t="str">
            <v>Belanja Barang Non Operasional</v>
          </cell>
        </row>
        <row r="56">
          <cell r="H56" t="str">
            <v>M5  Setor Pajak oleh BPP (tunai)</v>
          </cell>
          <cell r="L56" t="str">
            <v>2012.19</v>
          </cell>
          <cell r="M56">
            <v>522115</v>
          </cell>
          <cell r="N56" t="str">
            <v>2012.19.522115</v>
          </cell>
          <cell r="O56">
            <v>17500000</v>
          </cell>
          <cell r="P56">
            <v>17500000</v>
          </cell>
          <cell r="Q56">
            <v>522115</v>
          </cell>
          <cell r="R56">
            <v>5221</v>
          </cell>
          <cell r="S56" t="str">
            <v>Belanja Jasa</v>
          </cell>
        </row>
        <row r="57">
          <cell r="H57" t="str">
            <v>N1  Setor Sisa UP/TUP (Tunai)</v>
          </cell>
          <cell r="L57" t="str">
            <v>2012.19</v>
          </cell>
          <cell r="M57">
            <v>524119</v>
          </cell>
          <cell r="N57" t="str">
            <v>2012.19.524119</v>
          </cell>
          <cell r="O57">
            <v>8659000</v>
          </cell>
          <cell r="P57">
            <v>8659000</v>
          </cell>
          <cell r="Q57">
            <v>524119</v>
          </cell>
          <cell r="R57">
            <v>5241</v>
          </cell>
          <cell r="S57" t="str">
            <v>Belanja Perjalanan Dalam Negeri</v>
          </cell>
        </row>
        <row r="58">
          <cell r="H58" t="str">
            <v>N2  Setor Sisa UP/TUP (bank)</v>
          </cell>
          <cell r="L58" t="str">
            <v>2012.35</v>
          </cell>
          <cell r="M58">
            <v>521211</v>
          </cell>
          <cell r="N58" t="str">
            <v>2012.35.521211</v>
          </cell>
          <cell r="O58">
            <v>18511000</v>
          </cell>
          <cell r="P58">
            <v>18511000</v>
          </cell>
          <cell r="Q58">
            <v>521211</v>
          </cell>
          <cell r="R58">
            <v>5212</v>
          </cell>
          <cell r="S58" t="str">
            <v>Belanja Barang Non Operasional</v>
          </cell>
        </row>
        <row r="59">
          <cell r="L59" t="str">
            <v>2012.35</v>
          </cell>
          <cell r="M59">
            <v>521213</v>
          </cell>
          <cell r="N59" t="str">
            <v>2012.35.521213</v>
          </cell>
          <cell r="O59">
            <v>2500000</v>
          </cell>
          <cell r="P59">
            <v>2500000</v>
          </cell>
          <cell r="Q59">
            <v>521213</v>
          </cell>
          <cell r="R59">
            <v>5212</v>
          </cell>
          <cell r="S59" t="str">
            <v>Belanja Barang Non Operasional</v>
          </cell>
        </row>
        <row r="60">
          <cell r="L60" t="str">
            <v>2012.35</v>
          </cell>
          <cell r="M60">
            <v>521219</v>
          </cell>
          <cell r="N60" t="str">
            <v>2012.35.521219</v>
          </cell>
          <cell r="O60">
            <v>111916000</v>
          </cell>
          <cell r="P60">
            <v>111916000</v>
          </cell>
          <cell r="Q60">
            <v>521219</v>
          </cell>
          <cell r="R60">
            <v>5212</v>
          </cell>
          <cell r="S60" t="str">
            <v>Belanja Barang Non Operasional</v>
          </cell>
        </row>
        <row r="61">
          <cell r="L61" t="str">
            <v>2012.35</v>
          </cell>
          <cell r="M61">
            <v>522115</v>
          </cell>
          <cell r="N61" t="str">
            <v>2012.35.522115</v>
          </cell>
          <cell r="O61">
            <v>17500000</v>
          </cell>
          <cell r="P61">
            <v>17500000</v>
          </cell>
          <cell r="Q61">
            <v>522115</v>
          </cell>
          <cell r="R61">
            <v>5221</v>
          </cell>
          <cell r="S61" t="str">
            <v>Belanja Jasa</v>
          </cell>
        </row>
        <row r="62">
          <cell r="L62" t="str">
            <v>2012.35</v>
          </cell>
          <cell r="M62">
            <v>524119</v>
          </cell>
          <cell r="N62" t="str">
            <v>2012.35.524119</v>
          </cell>
          <cell r="O62">
            <v>8659000</v>
          </cell>
          <cell r="P62">
            <v>8659000</v>
          </cell>
          <cell r="Q62">
            <v>524119</v>
          </cell>
          <cell r="R62">
            <v>5241</v>
          </cell>
          <cell r="S62" t="str">
            <v>Belanja Perjalanan Dalam Negeri</v>
          </cell>
        </row>
        <row r="63">
          <cell r="L63" t="str">
            <v>2013.01</v>
          </cell>
          <cell r="M63">
            <v>521219</v>
          </cell>
          <cell r="N63" t="str">
            <v>2013.01.521219</v>
          </cell>
          <cell r="O63">
            <v>1200000000</v>
          </cell>
          <cell r="P63">
            <v>1200000000</v>
          </cell>
          <cell r="Q63">
            <v>521219</v>
          </cell>
          <cell r="R63">
            <v>5212</v>
          </cell>
          <cell r="S63" t="str">
            <v>Belanja Barang Non Operasional</v>
          </cell>
        </row>
        <row r="64">
          <cell r="L64" t="str">
            <v>2013.02</v>
          </cell>
          <cell r="M64">
            <v>521219</v>
          </cell>
          <cell r="N64" t="str">
            <v>2013.02.521219</v>
          </cell>
          <cell r="O64">
            <v>40000000</v>
          </cell>
          <cell r="P64">
            <v>40000000</v>
          </cell>
          <cell r="Q64">
            <v>521219</v>
          </cell>
          <cell r="R64">
            <v>5212</v>
          </cell>
          <cell r="S64" t="str">
            <v>Belanja Barang Non Operasional</v>
          </cell>
        </row>
        <row r="65">
          <cell r="L65" t="str">
            <v>2013.03</v>
          </cell>
          <cell r="M65">
            <v>521219</v>
          </cell>
          <cell r="N65" t="str">
            <v>2013.03.521219</v>
          </cell>
          <cell r="O65">
            <v>75000000</v>
          </cell>
          <cell r="P65">
            <v>75000000</v>
          </cell>
          <cell r="Q65">
            <v>521219</v>
          </cell>
          <cell r="R65">
            <v>5212</v>
          </cell>
          <cell r="S65" t="str">
            <v>Belanja Barang Non Operasional</v>
          </cell>
        </row>
        <row r="66">
          <cell r="L66" t="str">
            <v>2013.09</v>
          </cell>
          <cell r="M66">
            <v>521219</v>
          </cell>
          <cell r="N66" t="str">
            <v>2013.09.521219</v>
          </cell>
          <cell r="O66">
            <v>50000000</v>
          </cell>
          <cell r="P66">
            <v>50000000</v>
          </cell>
          <cell r="Q66">
            <v>521219</v>
          </cell>
          <cell r="R66">
            <v>5212</v>
          </cell>
          <cell r="S66" t="str">
            <v>Belanja Barang Non Operasional</v>
          </cell>
        </row>
        <row r="67">
          <cell r="L67" t="str">
            <v>2013.13</v>
          </cell>
          <cell r="M67">
            <v>521211</v>
          </cell>
          <cell r="N67" t="str">
            <v>2013.13.521211</v>
          </cell>
          <cell r="O67">
            <v>55357000</v>
          </cell>
          <cell r="P67">
            <v>55357000</v>
          </cell>
          <cell r="Q67">
            <v>521211</v>
          </cell>
          <cell r="R67">
            <v>5212</v>
          </cell>
          <cell r="S67" t="str">
            <v>Belanja Barang Non Operasional</v>
          </cell>
        </row>
        <row r="68">
          <cell r="L68" t="str">
            <v>2013.13</v>
          </cell>
          <cell r="M68">
            <v>521213</v>
          </cell>
          <cell r="N68" t="str">
            <v>2013.13.521213</v>
          </cell>
          <cell r="O68">
            <v>7500000</v>
          </cell>
          <cell r="P68">
            <v>7500000</v>
          </cell>
          <cell r="Q68">
            <v>521213</v>
          </cell>
          <cell r="R68">
            <v>5212</v>
          </cell>
          <cell r="S68" t="str">
            <v>Belanja Barang Non Operasional</v>
          </cell>
        </row>
        <row r="69">
          <cell r="L69" t="str">
            <v>2013.13</v>
          </cell>
          <cell r="M69">
            <v>521219</v>
          </cell>
          <cell r="N69" t="str">
            <v>2013.13.521219</v>
          </cell>
          <cell r="O69">
            <v>258666000</v>
          </cell>
          <cell r="P69">
            <v>258666000</v>
          </cell>
          <cell r="Q69">
            <v>521219</v>
          </cell>
          <cell r="R69">
            <v>5212</v>
          </cell>
          <cell r="S69" t="str">
            <v>Belanja Barang Non Operasional</v>
          </cell>
        </row>
        <row r="70">
          <cell r="L70" t="str">
            <v>2013.13</v>
          </cell>
          <cell r="M70">
            <v>522115</v>
          </cell>
          <cell r="N70" t="str">
            <v>2013.13.522115</v>
          </cell>
          <cell r="O70">
            <v>52500000</v>
          </cell>
          <cell r="P70">
            <v>52500000</v>
          </cell>
          <cell r="Q70">
            <v>522115</v>
          </cell>
          <cell r="R70">
            <v>5221</v>
          </cell>
          <cell r="S70" t="str">
            <v>Belanja Jasa</v>
          </cell>
        </row>
        <row r="71">
          <cell r="L71" t="str">
            <v>2013.13</v>
          </cell>
          <cell r="M71">
            <v>524119</v>
          </cell>
          <cell r="N71" t="str">
            <v>2013.13.524119</v>
          </cell>
          <cell r="O71">
            <v>25977000</v>
          </cell>
          <cell r="P71">
            <v>25977000</v>
          </cell>
          <cell r="Q71">
            <v>524119</v>
          </cell>
          <cell r="R71">
            <v>5241</v>
          </cell>
          <cell r="S71" t="str">
            <v>Belanja Perjalanan Dalam Negeri</v>
          </cell>
        </row>
        <row r="72">
          <cell r="L72" t="str">
            <v>2013.27</v>
          </cell>
          <cell r="M72">
            <v>521211</v>
          </cell>
          <cell r="N72" t="str">
            <v>2013.27.521211</v>
          </cell>
          <cell r="O72">
            <v>18511000</v>
          </cell>
          <cell r="P72">
            <v>18511000</v>
          </cell>
          <cell r="Q72">
            <v>521211</v>
          </cell>
          <cell r="R72">
            <v>5212</v>
          </cell>
          <cell r="S72" t="str">
            <v>Belanja Barang Non Operasional</v>
          </cell>
        </row>
        <row r="73">
          <cell r="L73" t="str">
            <v>2013.27</v>
          </cell>
          <cell r="M73">
            <v>521213</v>
          </cell>
          <cell r="N73" t="str">
            <v>2013.27.521213</v>
          </cell>
          <cell r="O73">
            <v>2500000</v>
          </cell>
          <cell r="P73">
            <v>2500000</v>
          </cell>
          <cell r="Q73">
            <v>521213</v>
          </cell>
          <cell r="R73">
            <v>5212</v>
          </cell>
          <cell r="S73" t="str">
            <v>Belanja Barang Non Operasional</v>
          </cell>
        </row>
        <row r="74">
          <cell r="L74" t="str">
            <v>2013.27</v>
          </cell>
          <cell r="M74">
            <v>521219</v>
          </cell>
          <cell r="N74" t="str">
            <v>2013.27.521219</v>
          </cell>
          <cell r="O74">
            <v>111916000</v>
          </cell>
          <cell r="P74">
            <v>111916000</v>
          </cell>
          <cell r="Q74">
            <v>521219</v>
          </cell>
          <cell r="R74">
            <v>5212</v>
          </cell>
          <cell r="S74" t="str">
            <v>Belanja Barang Non Operasional</v>
          </cell>
        </row>
        <row r="75">
          <cell r="L75" t="str">
            <v>2013.27</v>
          </cell>
          <cell r="M75">
            <v>522115</v>
          </cell>
          <cell r="N75" t="str">
            <v>2013.27.522115</v>
          </cell>
          <cell r="O75">
            <v>17500000</v>
          </cell>
          <cell r="P75">
            <v>17500000</v>
          </cell>
          <cell r="Q75">
            <v>522115</v>
          </cell>
          <cell r="R75">
            <v>5221</v>
          </cell>
          <cell r="S75" t="str">
            <v>Belanja Jasa</v>
          </cell>
        </row>
        <row r="76">
          <cell r="L76" t="str">
            <v>2013.27</v>
          </cell>
          <cell r="M76">
            <v>524119</v>
          </cell>
          <cell r="N76" t="str">
            <v>2013.27.524119</v>
          </cell>
          <cell r="O76">
            <v>8659000</v>
          </cell>
          <cell r="P76">
            <v>8659000</v>
          </cell>
          <cell r="Q76">
            <v>524119</v>
          </cell>
          <cell r="R76">
            <v>5241</v>
          </cell>
          <cell r="S76" t="str">
            <v>Belanja Perjalanan Dalam Negeri</v>
          </cell>
        </row>
        <row r="77">
          <cell r="L77" t="str">
            <v>2013.29</v>
          </cell>
          <cell r="M77">
            <v>521219</v>
          </cell>
          <cell r="N77" t="str">
            <v>2013.29.521219</v>
          </cell>
          <cell r="O77">
            <v>207000000</v>
          </cell>
          <cell r="P77">
            <v>207000000</v>
          </cell>
          <cell r="Q77">
            <v>521219</v>
          </cell>
          <cell r="R77">
            <v>5212</v>
          </cell>
          <cell r="S77" t="str">
            <v>Belanja Barang Non Operasional</v>
          </cell>
        </row>
        <row r="78">
          <cell r="L78" t="str">
            <v>2013.38</v>
          </cell>
          <cell r="M78">
            <v>521219</v>
          </cell>
          <cell r="N78" t="str">
            <v>2013.38.521219</v>
          </cell>
          <cell r="O78">
            <v>100000000</v>
          </cell>
          <cell r="P78">
            <v>100000000</v>
          </cell>
          <cell r="Q78">
            <v>521219</v>
          </cell>
          <cell r="R78">
            <v>5212</v>
          </cell>
          <cell r="S78" t="str">
            <v>Belanja Barang Non Operasional</v>
          </cell>
        </row>
        <row r="79">
          <cell r="L79" t="str">
            <v>2014.01</v>
          </cell>
          <cell r="M79">
            <v>532111</v>
          </cell>
          <cell r="N79" t="str">
            <v>2014.01.532111</v>
          </cell>
          <cell r="O79">
            <v>100000000</v>
          </cell>
          <cell r="P79">
            <v>100000000</v>
          </cell>
          <cell r="Q79">
            <v>532111</v>
          </cell>
          <cell r="R79">
            <v>5321</v>
          </cell>
          <cell r="S79" t="str">
            <v>Belanja Modal Peralatan dan Mesin</v>
          </cell>
        </row>
        <row r="80">
          <cell r="L80" t="str">
            <v>2014.04</v>
          </cell>
          <cell r="M80">
            <v>521211</v>
          </cell>
          <cell r="N80" t="str">
            <v>2014.04.521211</v>
          </cell>
          <cell r="O80">
            <v>33809000</v>
          </cell>
          <cell r="P80">
            <v>33809000</v>
          </cell>
          <cell r="Q80">
            <v>521211</v>
          </cell>
          <cell r="R80">
            <v>5212</v>
          </cell>
          <cell r="S80" t="str">
            <v>Belanja Barang Non Operasional</v>
          </cell>
        </row>
        <row r="81">
          <cell r="L81" t="str">
            <v>2014.04</v>
          </cell>
          <cell r="M81">
            <v>521213</v>
          </cell>
          <cell r="N81" t="str">
            <v>2014.04.521213</v>
          </cell>
          <cell r="O81">
            <v>28300000</v>
          </cell>
          <cell r="P81">
            <v>28300000</v>
          </cell>
          <cell r="Q81">
            <v>521213</v>
          </cell>
          <cell r="R81">
            <v>5212</v>
          </cell>
          <cell r="S81" t="str">
            <v>Belanja Barang Non Operasional</v>
          </cell>
        </row>
        <row r="82">
          <cell r="L82" t="str">
            <v>2014.04</v>
          </cell>
          <cell r="M82">
            <v>521219</v>
          </cell>
          <cell r="N82" t="str">
            <v>2014.04.521219</v>
          </cell>
          <cell r="O82">
            <v>67703000</v>
          </cell>
          <cell r="P82">
            <v>67703000</v>
          </cell>
          <cell r="Q82">
            <v>521219</v>
          </cell>
          <cell r="R82">
            <v>5212</v>
          </cell>
          <cell r="S82" t="str">
            <v>Belanja Barang Non Operasional</v>
          </cell>
        </row>
        <row r="83">
          <cell r="L83" t="str">
            <v>2014.04</v>
          </cell>
          <cell r="M83">
            <v>522115</v>
          </cell>
          <cell r="N83" t="str">
            <v>2014.04.522115</v>
          </cell>
          <cell r="O83">
            <v>5400000</v>
          </cell>
          <cell r="P83">
            <v>5400000</v>
          </cell>
          <cell r="Q83">
            <v>522115</v>
          </cell>
          <cell r="R83">
            <v>5221</v>
          </cell>
          <cell r="S83" t="str">
            <v>Belanja Jasa</v>
          </cell>
        </row>
        <row r="84">
          <cell r="L84" t="str">
            <v>2014.04</v>
          </cell>
          <cell r="M84">
            <v>524119</v>
          </cell>
          <cell r="N84" t="str">
            <v>2014.04.524119</v>
          </cell>
          <cell r="O84">
            <v>100725000</v>
          </cell>
          <cell r="P84">
            <v>100725000</v>
          </cell>
          <cell r="Q84">
            <v>524119</v>
          </cell>
          <cell r="R84">
            <v>5241</v>
          </cell>
          <cell r="S84" t="str">
            <v>Belanja Perjalanan Dalam Negeri</v>
          </cell>
        </row>
        <row r="85">
          <cell r="L85" t="str">
            <v>2014.09</v>
          </cell>
          <cell r="M85">
            <v>511111</v>
          </cell>
          <cell r="N85" t="str">
            <v>2014.09.511111</v>
          </cell>
          <cell r="O85">
            <v>48884855000</v>
          </cell>
          <cell r="P85">
            <v>48884855000</v>
          </cell>
          <cell r="Q85">
            <v>511111</v>
          </cell>
          <cell r="R85">
            <v>5111</v>
          </cell>
          <cell r="S85" t="str">
            <v>Belanja Gaji &amp; Tunjangan PNS</v>
          </cell>
        </row>
        <row r="86">
          <cell r="L86" t="str">
            <v>2014.09</v>
          </cell>
          <cell r="M86">
            <v>511119</v>
          </cell>
          <cell r="N86" t="str">
            <v>2014.09.511119</v>
          </cell>
          <cell r="O86">
            <v>857000</v>
          </cell>
          <cell r="P86">
            <v>857000</v>
          </cell>
          <cell r="Q86">
            <v>511119</v>
          </cell>
          <cell r="R86">
            <v>5111</v>
          </cell>
          <cell r="S86" t="str">
            <v>Belanja Gaji &amp; Tunjangan PNS</v>
          </cell>
        </row>
        <row r="87">
          <cell r="L87" t="str">
            <v>2014.09</v>
          </cell>
          <cell r="M87">
            <v>511121</v>
          </cell>
          <cell r="N87" t="str">
            <v>2014.09.511121</v>
          </cell>
          <cell r="O87">
            <v>3701713000</v>
          </cell>
          <cell r="P87">
            <v>3701713000</v>
          </cell>
          <cell r="Q87">
            <v>511121</v>
          </cell>
          <cell r="R87">
            <v>5111</v>
          </cell>
          <cell r="S87" t="str">
            <v>Belanja Gaji &amp; Tunjangan PNS</v>
          </cell>
        </row>
        <row r="88">
          <cell r="L88" t="str">
            <v>2014.09</v>
          </cell>
          <cell r="M88">
            <v>511122</v>
          </cell>
          <cell r="N88" t="str">
            <v>2014.09.511122</v>
          </cell>
          <cell r="O88">
            <v>904858000</v>
          </cell>
          <cell r="P88">
            <v>904858000</v>
          </cell>
          <cell r="Q88">
            <v>511122</v>
          </cell>
          <cell r="R88">
            <v>5111</v>
          </cell>
          <cell r="S88" t="str">
            <v>Belanja Gaji &amp; Tunjangan PNS</v>
          </cell>
        </row>
        <row r="89">
          <cell r="L89" t="str">
            <v>2014.09</v>
          </cell>
          <cell r="M89">
            <v>511123</v>
          </cell>
          <cell r="N89" t="str">
            <v>2014.09.511123</v>
          </cell>
          <cell r="O89">
            <v>166855000</v>
          </cell>
          <cell r="P89">
            <v>166855000</v>
          </cell>
          <cell r="Q89">
            <v>511123</v>
          </cell>
          <cell r="R89">
            <v>5111</v>
          </cell>
          <cell r="S89" t="str">
            <v>Belanja Gaji &amp; Tunjangan PNS</v>
          </cell>
        </row>
        <row r="90">
          <cell r="L90" t="str">
            <v>2014.09</v>
          </cell>
          <cell r="M90">
            <v>511124</v>
          </cell>
          <cell r="N90" t="str">
            <v>2014.09.511124</v>
          </cell>
          <cell r="O90">
            <v>12158575000</v>
          </cell>
          <cell r="P90">
            <v>12158575000</v>
          </cell>
          <cell r="Q90">
            <v>511124</v>
          </cell>
          <cell r="R90">
            <v>5111</v>
          </cell>
          <cell r="S90" t="str">
            <v>Belanja Gaji &amp; Tunjangan PNS</v>
          </cell>
        </row>
        <row r="91">
          <cell r="L91" t="str">
            <v>2014.09</v>
          </cell>
          <cell r="M91">
            <v>511125</v>
          </cell>
          <cell r="N91" t="str">
            <v>2014.09.511125</v>
          </cell>
          <cell r="O91">
            <v>2384057000</v>
          </cell>
          <cell r="P91">
            <v>2384057000</v>
          </cell>
          <cell r="Q91">
            <v>511125</v>
          </cell>
          <cell r="R91">
            <v>5111</v>
          </cell>
          <cell r="S91" t="str">
            <v>Belanja Gaji &amp; Tunjangan PNS</v>
          </cell>
        </row>
        <row r="92">
          <cell r="L92" t="str">
            <v>2014.09</v>
          </cell>
          <cell r="M92">
            <v>511126</v>
          </cell>
          <cell r="N92" t="str">
            <v>2014.09.511126</v>
          </cell>
          <cell r="O92">
            <v>1722435000</v>
          </cell>
          <cell r="P92">
            <v>1722435000</v>
          </cell>
          <cell r="Q92">
            <v>511126</v>
          </cell>
          <cell r="R92">
            <v>5111</v>
          </cell>
          <cell r="S92" t="str">
            <v>Belanja Gaji &amp; Tunjangan PNS</v>
          </cell>
        </row>
        <row r="93">
          <cell r="L93" t="str">
            <v>2014.09</v>
          </cell>
          <cell r="M93">
            <v>511129</v>
          </cell>
          <cell r="N93" t="str">
            <v>2014.09.511129</v>
          </cell>
          <cell r="O93">
            <v>6974880000</v>
          </cell>
          <cell r="P93">
            <v>6974880000</v>
          </cell>
          <cell r="Q93">
            <v>511129</v>
          </cell>
          <cell r="R93">
            <v>5111</v>
          </cell>
          <cell r="S93" t="str">
            <v>Belanja Gaji &amp; Tunjangan PNS</v>
          </cell>
        </row>
        <row r="94">
          <cell r="L94" t="str">
            <v>2014.09</v>
          </cell>
          <cell r="M94">
            <v>511147</v>
          </cell>
          <cell r="N94" t="str">
            <v>2014.09.511147</v>
          </cell>
          <cell r="O94">
            <v>100000000</v>
          </cell>
          <cell r="P94">
            <v>100000000</v>
          </cell>
          <cell r="Q94">
            <v>511147</v>
          </cell>
          <cell r="R94">
            <v>5111</v>
          </cell>
          <cell r="S94" t="str">
            <v>Belanja Gaji &amp; Tunjangan PNS</v>
          </cell>
        </row>
        <row r="95">
          <cell r="L95" t="str">
            <v>2014.09</v>
          </cell>
          <cell r="M95">
            <v>511151</v>
          </cell>
          <cell r="N95" t="str">
            <v>2014.09.511151</v>
          </cell>
          <cell r="O95">
            <v>315084000</v>
          </cell>
          <cell r="P95">
            <v>315084000</v>
          </cell>
          <cell r="Q95">
            <v>511151</v>
          </cell>
          <cell r="R95">
            <v>5111</v>
          </cell>
          <cell r="S95" t="str">
            <v>Belanja Gaji &amp; Tunjangan PNS</v>
          </cell>
        </row>
        <row r="96">
          <cell r="L96" t="str">
            <v>2014.09</v>
          </cell>
          <cell r="M96">
            <v>511153</v>
          </cell>
          <cell r="N96" t="str">
            <v>2014.09.511153</v>
          </cell>
          <cell r="O96">
            <v>18627600000</v>
          </cell>
          <cell r="P96">
            <v>18627600000</v>
          </cell>
          <cell r="Q96">
            <v>511153</v>
          </cell>
          <cell r="R96">
            <v>5111</v>
          </cell>
          <cell r="S96" t="str">
            <v>Belanja Gaji &amp; Tunjangan PNS</v>
          </cell>
        </row>
        <row r="97">
          <cell r="L97" t="str">
            <v>2014.09</v>
          </cell>
          <cell r="M97">
            <v>511154</v>
          </cell>
          <cell r="N97" t="str">
            <v>2014.09.511154</v>
          </cell>
          <cell r="O97">
            <v>3496800000</v>
          </cell>
          <cell r="P97">
            <v>3496800000</v>
          </cell>
          <cell r="Q97">
            <v>511154</v>
          </cell>
          <cell r="R97">
            <v>5111</v>
          </cell>
          <cell r="S97" t="str">
            <v>Belanja Gaji &amp; Tunjangan PNS</v>
          </cell>
        </row>
        <row r="98">
          <cell r="L98" t="str">
            <v>2014.09</v>
          </cell>
          <cell r="M98">
            <v>512211</v>
          </cell>
          <cell r="N98" t="str">
            <v>2014.09.512211</v>
          </cell>
          <cell r="O98">
            <v>25680000</v>
          </cell>
          <cell r="P98">
            <v>25680000</v>
          </cell>
          <cell r="Q98">
            <v>512211</v>
          </cell>
          <cell r="R98">
            <v>5122</v>
          </cell>
          <cell r="S98" t="str">
            <v>Belanja Lembur</v>
          </cell>
        </row>
        <row r="99">
          <cell r="L99" t="str">
            <v>2014.09</v>
          </cell>
          <cell r="M99">
            <v>521111</v>
          </cell>
          <cell r="N99" t="str">
            <v>2014.09.521111</v>
          </cell>
          <cell r="O99">
            <v>861600000</v>
          </cell>
          <cell r="P99">
            <v>861600000</v>
          </cell>
          <cell r="Q99">
            <v>521111</v>
          </cell>
          <cell r="R99">
            <v>5211</v>
          </cell>
          <cell r="S99" t="str">
            <v>Belanja Barang Operasional</v>
          </cell>
        </row>
        <row r="100">
          <cell r="L100" t="str">
            <v>2014.09</v>
          </cell>
          <cell r="M100">
            <v>521114</v>
          </cell>
          <cell r="N100" t="str">
            <v>2014.09.521114</v>
          </cell>
          <cell r="O100">
            <v>48000000</v>
          </cell>
          <cell r="P100">
            <v>48000000</v>
          </cell>
          <cell r="Q100">
            <v>521114</v>
          </cell>
          <cell r="R100">
            <v>5211</v>
          </cell>
          <cell r="S100" t="str">
            <v>Belanja Barang Operasional</v>
          </cell>
        </row>
        <row r="101">
          <cell r="L101" t="str">
            <v>2014.09</v>
          </cell>
          <cell r="M101">
            <v>521115</v>
          </cell>
          <cell r="N101" t="str">
            <v>2014.09.521115</v>
          </cell>
          <cell r="O101">
            <v>168765000</v>
          </cell>
          <cell r="P101">
            <v>168765000</v>
          </cell>
          <cell r="Q101">
            <v>521115</v>
          </cell>
          <cell r="R101">
            <v>5211</v>
          </cell>
          <cell r="S101" t="str">
            <v>Belanja Barang Operasional</v>
          </cell>
        </row>
        <row r="102">
          <cell r="L102" t="str">
            <v>2014.09</v>
          </cell>
          <cell r="M102">
            <v>521119</v>
          </cell>
          <cell r="N102" t="str">
            <v>2014.09.521119</v>
          </cell>
          <cell r="O102">
            <v>235840000</v>
          </cell>
          <cell r="P102">
            <v>235840000</v>
          </cell>
          <cell r="Q102">
            <v>521119</v>
          </cell>
          <cell r="R102">
            <v>5211</v>
          </cell>
          <cell r="S102" t="str">
            <v>Belanja Barang Operasional</v>
          </cell>
        </row>
        <row r="103">
          <cell r="L103" t="str">
            <v>2014.09</v>
          </cell>
          <cell r="M103">
            <v>521211</v>
          </cell>
          <cell r="N103" t="str">
            <v>2014.09.521211</v>
          </cell>
          <cell r="O103">
            <v>557701000</v>
          </cell>
          <cell r="P103">
            <v>557701000</v>
          </cell>
          <cell r="Q103">
            <v>521211</v>
          </cell>
          <cell r="R103">
            <v>5212</v>
          </cell>
          <cell r="S103" t="str">
            <v>Belanja Barang Non Operasional</v>
          </cell>
        </row>
        <row r="104">
          <cell r="L104" t="str">
            <v>2014.09</v>
          </cell>
          <cell r="M104">
            <v>521213</v>
          </cell>
          <cell r="N104" t="str">
            <v>2014.09.521213</v>
          </cell>
          <cell r="O104">
            <v>536050000</v>
          </cell>
          <cell r="P104">
            <v>536050000</v>
          </cell>
          <cell r="Q104">
            <v>521213</v>
          </cell>
          <cell r="R104">
            <v>5212</v>
          </cell>
          <cell r="S104" t="str">
            <v>Belanja Barang Non Operasional</v>
          </cell>
        </row>
        <row r="105">
          <cell r="L105" t="str">
            <v>2014.09</v>
          </cell>
          <cell r="M105">
            <v>521219</v>
          </cell>
          <cell r="N105" t="str">
            <v>2014.09.521219</v>
          </cell>
          <cell r="O105">
            <v>563060000</v>
          </cell>
          <cell r="P105">
            <v>563060000</v>
          </cell>
          <cell r="Q105">
            <v>521219</v>
          </cell>
          <cell r="R105">
            <v>5212</v>
          </cell>
          <cell r="S105" t="str">
            <v>Belanja Barang Non Operasional</v>
          </cell>
        </row>
        <row r="106">
          <cell r="L106" t="str">
            <v>2014.09</v>
          </cell>
          <cell r="M106">
            <v>522111</v>
          </cell>
          <cell r="N106" t="str">
            <v>2014.09.522111</v>
          </cell>
          <cell r="O106">
            <v>192000000</v>
          </cell>
          <cell r="P106">
            <v>192000000</v>
          </cell>
          <cell r="Q106">
            <v>522111</v>
          </cell>
          <cell r="R106">
            <v>5221</v>
          </cell>
          <cell r="S106" t="str">
            <v>Belanja Jasa</v>
          </cell>
        </row>
        <row r="107">
          <cell r="L107" t="str">
            <v>2014.09</v>
          </cell>
          <cell r="M107">
            <v>522115</v>
          </cell>
          <cell r="N107" t="str">
            <v>2014.09.522115</v>
          </cell>
          <cell r="O107">
            <v>182050000</v>
          </cell>
          <cell r="P107">
            <v>182050000</v>
          </cell>
          <cell r="Q107">
            <v>522115</v>
          </cell>
          <cell r="R107">
            <v>5221</v>
          </cell>
          <cell r="S107" t="str">
            <v>Belanja Jasa</v>
          </cell>
        </row>
        <row r="108">
          <cell r="L108" t="str">
            <v>2014.09</v>
          </cell>
          <cell r="M108">
            <v>523111</v>
          </cell>
          <cell r="N108" t="str">
            <v>2014.09.523111</v>
          </cell>
          <cell r="O108">
            <v>660600000</v>
          </cell>
          <cell r="P108">
            <v>660600000</v>
          </cell>
          <cell r="Q108">
            <v>523111</v>
          </cell>
          <cell r="R108">
            <v>5231</v>
          </cell>
          <cell r="S108" t="str">
            <v>Belanja Biaya Pemeliharaan</v>
          </cell>
        </row>
        <row r="109">
          <cell r="L109" t="str">
            <v>2014.09</v>
          </cell>
          <cell r="M109">
            <v>523121</v>
          </cell>
          <cell r="N109" t="str">
            <v>2014.09.523121</v>
          </cell>
          <cell r="O109">
            <v>172620000</v>
          </cell>
          <cell r="P109">
            <v>172620000</v>
          </cell>
          <cell r="Q109">
            <v>523121</v>
          </cell>
          <cell r="R109">
            <v>5231</v>
          </cell>
          <cell r="S109" t="str">
            <v>Belanja Biaya Pemeliharaan</v>
          </cell>
        </row>
        <row r="110">
          <cell r="L110" t="str">
            <v>2014.09</v>
          </cell>
          <cell r="M110">
            <v>524111</v>
          </cell>
          <cell r="N110" t="str">
            <v>2014.09.524111</v>
          </cell>
          <cell r="O110">
            <v>1491100000</v>
          </cell>
          <cell r="P110">
            <v>1491100000</v>
          </cell>
          <cell r="Q110">
            <v>524111</v>
          </cell>
          <cell r="R110">
            <v>5241</v>
          </cell>
          <cell r="S110" t="str">
            <v>Belanja Perjalanan Dalam Negeri</v>
          </cell>
        </row>
        <row r="111">
          <cell r="L111" t="str">
            <v>2014.09</v>
          </cell>
          <cell r="M111">
            <v>524119</v>
          </cell>
          <cell r="N111" t="str">
            <v>2014.09.524119</v>
          </cell>
          <cell r="O111">
            <v>336921000</v>
          </cell>
          <cell r="P111">
            <v>336921000</v>
          </cell>
          <cell r="Q111">
            <v>524119</v>
          </cell>
          <cell r="R111">
            <v>5241</v>
          </cell>
          <cell r="S111" t="str">
            <v>Belanja Perjalanan Dalam Negeri</v>
          </cell>
        </row>
        <row r="112">
          <cell r="L112" t="str">
            <v>2014.09</v>
          </cell>
          <cell r="M112">
            <v>532111</v>
          </cell>
          <cell r="N112" t="str">
            <v>2014.09.532111</v>
          </cell>
          <cell r="O112">
            <v>171040000</v>
          </cell>
          <cell r="P112">
            <v>171040000</v>
          </cell>
          <cell r="Q112">
            <v>532111</v>
          </cell>
          <cell r="R112">
            <v>5321</v>
          </cell>
          <cell r="S112" t="str">
            <v>Belanja Modal Peralatan dan Mesin</v>
          </cell>
        </row>
        <row r="113">
          <cell r="L113" t="str">
            <v>2014.09</v>
          </cell>
          <cell r="M113">
            <v>532121</v>
          </cell>
          <cell r="N113" t="str">
            <v>2014.09.532121</v>
          </cell>
          <cell r="O113">
            <v>200000000</v>
          </cell>
          <cell r="P113">
            <v>200000000</v>
          </cell>
          <cell r="Q113">
            <v>532121</v>
          </cell>
          <cell r="R113">
            <v>5321</v>
          </cell>
          <cell r="S113" t="str">
            <v>Belanja Modal Peralatan dan Mesin</v>
          </cell>
        </row>
        <row r="114">
          <cell r="L114" t="str">
            <v>2014.10</v>
          </cell>
          <cell r="M114">
            <v>521213</v>
          </cell>
          <cell r="N114" t="str">
            <v>2014.10.521213</v>
          </cell>
          <cell r="O114">
            <v>5900000</v>
          </cell>
          <cell r="P114">
            <v>5900000</v>
          </cell>
          <cell r="Q114">
            <v>521213</v>
          </cell>
          <cell r="R114">
            <v>5212</v>
          </cell>
          <cell r="S114" t="str">
            <v>Belanja Barang Non Operasional</v>
          </cell>
        </row>
        <row r="115">
          <cell r="L115" t="str">
            <v>2014.10</v>
          </cell>
          <cell r="M115">
            <v>521219</v>
          </cell>
          <cell r="N115" t="str">
            <v>2014.10.521219</v>
          </cell>
          <cell r="O115">
            <v>840000</v>
          </cell>
          <cell r="P115">
            <v>840000</v>
          </cell>
          <cell r="Q115">
            <v>521219</v>
          </cell>
          <cell r="R115">
            <v>5212</v>
          </cell>
          <cell r="S115" t="str">
            <v>Belanja Barang Non Operasional</v>
          </cell>
        </row>
        <row r="116">
          <cell r="L116" t="str">
            <v>2014.10</v>
          </cell>
          <cell r="M116">
            <v>524119</v>
          </cell>
          <cell r="N116" t="str">
            <v>2014.10.524119</v>
          </cell>
          <cell r="O116">
            <v>15500000</v>
          </cell>
          <cell r="P116">
            <v>15500000</v>
          </cell>
          <cell r="Q116">
            <v>524119</v>
          </cell>
          <cell r="R116">
            <v>5241</v>
          </cell>
          <cell r="S116" t="str">
            <v>Belanja Perjalanan Dalam Negeri</v>
          </cell>
        </row>
        <row r="117">
          <cell r="L117" t="str">
            <v>2014.12</v>
          </cell>
          <cell r="M117">
            <v>521115</v>
          </cell>
          <cell r="N117" t="str">
            <v>2014.12.521115</v>
          </cell>
          <cell r="O117">
            <v>42000000</v>
          </cell>
          <cell r="P117">
            <v>42000000</v>
          </cell>
          <cell r="Q117">
            <v>521115</v>
          </cell>
          <cell r="R117">
            <v>5211</v>
          </cell>
          <cell r="S117" t="str">
            <v>Belanja Barang Operasional</v>
          </cell>
        </row>
        <row r="118">
          <cell r="L118" t="str">
            <v>2014.12</v>
          </cell>
          <cell r="M118">
            <v>521211</v>
          </cell>
          <cell r="N118" t="str">
            <v>2014.12.521211</v>
          </cell>
          <cell r="O118">
            <v>36960000</v>
          </cell>
          <cell r="P118">
            <v>36960000</v>
          </cell>
          <cell r="Q118">
            <v>521211</v>
          </cell>
          <cell r="R118">
            <v>5212</v>
          </cell>
          <cell r="S118" t="str">
            <v>Belanja Barang Non Operasional</v>
          </cell>
        </row>
        <row r="119">
          <cell r="L119" t="str">
            <v>2014.12</v>
          </cell>
          <cell r="M119">
            <v>524119</v>
          </cell>
          <cell r="N119" t="str">
            <v>2014.12.524119</v>
          </cell>
          <cell r="O119">
            <v>36960000</v>
          </cell>
          <cell r="P119">
            <v>36960000</v>
          </cell>
          <cell r="Q119">
            <v>524119</v>
          </cell>
          <cell r="R119">
            <v>5241</v>
          </cell>
          <cell r="S119" t="str">
            <v>Belanja Perjalanan Dalam Negeri</v>
          </cell>
        </row>
        <row r="120">
          <cell r="L120" t="str">
            <v>2014.42</v>
          </cell>
          <cell r="M120">
            <v>533111</v>
          </cell>
          <cell r="N120" t="str">
            <v>2014.42.533111</v>
          </cell>
          <cell r="O120">
            <v>30000000</v>
          </cell>
          <cell r="P120">
            <v>30000000</v>
          </cell>
          <cell r="Q120">
            <v>533111</v>
          </cell>
          <cell r="R120">
            <v>5331</v>
          </cell>
          <cell r="S120" t="str">
            <v>Belanja Modal Gedung dan Bangunan</v>
          </cell>
        </row>
        <row r="121">
          <cell r="L121" t="str">
            <v>2014.42</v>
          </cell>
          <cell r="M121">
            <v>533121</v>
          </cell>
          <cell r="N121" t="str">
            <v>2014.42.533121</v>
          </cell>
          <cell r="O121">
            <v>340914000</v>
          </cell>
          <cell r="P121">
            <v>340914000</v>
          </cell>
          <cell r="Q121">
            <v>533121</v>
          </cell>
          <cell r="R121">
            <v>5331</v>
          </cell>
          <cell r="S121" t="str">
            <v>Belanja Modal Gedung dan Bangunan</v>
          </cell>
        </row>
        <row r="122">
          <cell r="L122" t="str">
            <v>2014.43</v>
          </cell>
          <cell r="M122">
            <v>532111</v>
          </cell>
          <cell r="N122" t="str">
            <v>2014.43.532111</v>
          </cell>
          <cell r="O122">
            <v>69000000</v>
          </cell>
          <cell r="P122">
            <v>69000000</v>
          </cell>
          <cell r="Q122">
            <v>532111</v>
          </cell>
          <cell r="R122">
            <v>5321</v>
          </cell>
          <cell r="S122" t="str">
            <v>Belanja Modal Peralatan dan Mesin</v>
          </cell>
        </row>
        <row r="123">
          <cell r="L123" t="str">
            <v>2014.44</v>
          </cell>
          <cell r="M123">
            <v>532111</v>
          </cell>
          <cell r="N123" t="str">
            <v>2014.44.532111</v>
          </cell>
          <cell r="O123">
            <v>1000000000</v>
          </cell>
          <cell r="P123">
            <v>1000000000</v>
          </cell>
          <cell r="Q123">
            <v>532111</v>
          </cell>
          <cell r="R123">
            <v>5321</v>
          </cell>
          <cell r="S123" t="str">
            <v>Belanja Modal Peralatan dan Mesin</v>
          </cell>
        </row>
        <row r="124">
          <cell r="L124" t="str">
            <v>2014.47</v>
          </cell>
          <cell r="M124">
            <v>523121</v>
          </cell>
          <cell r="N124" t="str">
            <v>2014.47.523121</v>
          </cell>
          <cell r="O124">
            <v>100100000</v>
          </cell>
          <cell r="P124">
            <v>100100000</v>
          </cell>
          <cell r="Q124">
            <v>523121</v>
          </cell>
          <cell r="R124">
            <v>5231</v>
          </cell>
          <cell r="S124" t="str">
            <v>Belanja Biaya Pemeliharaan</v>
          </cell>
        </row>
        <row r="125">
          <cell r="L125" t="str">
            <v>2014.47</v>
          </cell>
          <cell r="M125">
            <v>532111</v>
          </cell>
          <cell r="N125" t="str">
            <v>2014.47.532111</v>
          </cell>
          <cell r="O125">
            <v>199902000</v>
          </cell>
          <cell r="P125">
            <v>199902000</v>
          </cell>
          <cell r="Q125">
            <v>532111</v>
          </cell>
          <cell r="R125">
            <v>5321</v>
          </cell>
          <cell r="S125" t="str">
            <v>Belanja Modal Peralatan dan Mesin</v>
          </cell>
        </row>
        <row r="126">
          <cell r="L126" t="str">
            <v>2014.51</v>
          </cell>
          <cell r="M126">
            <v>523121</v>
          </cell>
          <cell r="N126" t="str">
            <v>2014.51.523121</v>
          </cell>
          <cell r="O126">
            <v>8760000</v>
          </cell>
          <cell r="P126">
            <v>8760000</v>
          </cell>
          <cell r="Q126">
            <v>523121</v>
          </cell>
          <cell r="R126">
            <v>5231</v>
          </cell>
          <cell r="S126" t="str">
            <v>Belanja Biaya Pemeliharaan</v>
          </cell>
        </row>
        <row r="127">
          <cell r="L127" t="str">
            <v>2014.51</v>
          </cell>
          <cell r="M127">
            <v>532111</v>
          </cell>
          <cell r="N127" t="str">
            <v>2014.51.532111</v>
          </cell>
          <cell r="O127">
            <v>35000000</v>
          </cell>
          <cell r="P127">
            <v>35000000</v>
          </cell>
          <cell r="Q127">
            <v>532111</v>
          </cell>
          <cell r="R127">
            <v>5321</v>
          </cell>
          <cell r="S127" t="str">
            <v>Belanja Modal Peralatan dan Mesin</v>
          </cell>
        </row>
      </sheetData>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KRETARIAT"/>
      <sheetName val="DIT-BINSD"/>
      <sheetName val="DIT-BINSMP"/>
      <sheetName val="DIT-PKLK-DIKDAS"/>
      <sheetName val="DIT-P2TK-DIKDAS"/>
      <sheetName val="STRUKTURAL"/>
      <sheetName val="FUNGSIONAL "/>
      <sheetName val="NOM-SET"/>
      <sheetName val="NOM-DIT SD"/>
      <sheetName val="NOM-DIT SMP"/>
      <sheetName val="NOM-PKLK"/>
      <sheetName val="NOM-P2TK"/>
    </sheetNames>
    <sheetDataSet>
      <sheetData sheetId="0"/>
      <sheetData sheetId="1"/>
      <sheetData sheetId="2"/>
      <sheetData sheetId="3"/>
      <sheetData sheetId="4"/>
      <sheetData sheetId="5">
        <row r="26">
          <cell r="D26">
            <v>12</v>
          </cell>
        </row>
      </sheetData>
      <sheetData sheetId="6">
        <row r="7">
          <cell r="B7" t="str">
            <v xml:space="preserve">Analis Barang Milik Negara </v>
          </cell>
          <cell r="C7">
            <v>7</v>
          </cell>
        </row>
        <row r="8">
          <cell r="B8" t="str">
            <v>Pengelola Barang dan Jasa Pemerintah Pertama</v>
          </cell>
          <cell r="C8">
            <v>8</v>
          </cell>
        </row>
        <row r="9">
          <cell r="B9" t="str">
            <v>Analis Kepegawaian Pertama</v>
          </cell>
          <cell r="C9">
            <v>8</v>
          </cell>
        </row>
        <row r="10">
          <cell r="B10" t="str">
            <v>Arsiparis Pelaksana Lanjutan</v>
          </cell>
          <cell r="C10">
            <v>7</v>
          </cell>
        </row>
        <row r="11">
          <cell r="B11" t="str">
            <v>Perawat Pelaksana</v>
          </cell>
          <cell r="C11">
            <v>6</v>
          </cell>
        </row>
        <row r="12">
          <cell r="B12" t="str">
            <v>Analis Pembiayaan</v>
          </cell>
          <cell r="C12">
            <v>7</v>
          </cell>
        </row>
        <row r="13">
          <cell r="B13" t="str">
            <v>Analis Data dan Informasi</v>
          </cell>
          <cell r="C13">
            <v>7</v>
          </cell>
        </row>
        <row r="14">
          <cell r="B14" t="str">
            <v>Analis Jabatan</v>
          </cell>
          <cell r="C14">
            <v>7</v>
          </cell>
        </row>
        <row r="15">
          <cell r="B15" t="str">
            <v>Analis Kebutuhan Pendidik dan Tenaga Kependidikan</v>
          </cell>
          <cell r="C15">
            <v>7</v>
          </cell>
        </row>
        <row r="16">
          <cell r="B16" t="str">
            <v>Analis Kerja Sama</v>
          </cell>
          <cell r="C16">
            <v>7</v>
          </cell>
        </row>
        <row r="17">
          <cell r="B17" t="str">
            <v>Analis Kerugian Negara</v>
          </cell>
          <cell r="C17">
            <v>7</v>
          </cell>
        </row>
        <row r="18">
          <cell r="B18" t="str">
            <v>Analis Organisasi</v>
          </cell>
          <cell r="C18">
            <v>7</v>
          </cell>
        </row>
        <row r="19">
          <cell r="B19" t="str">
            <v>Analis Sarana dan Prasarana Kantor</v>
          </cell>
          <cell r="C19">
            <v>7</v>
          </cell>
        </row>
        <row r="20">
          <cell r="B20" t="str">
            <v xml:space="preserve">Analis Pelaksanaan Kelembagaan </v>
          </cell>
          <cell r="C20">
            <v>7</v>
          </cell>
        </row>
        <row r="21">
          <cell r="B21" t="str">
            <v xml:space="preserve">Analis Pelaksanaan Kurikulum </v>
          </cell>
          <cell r="C21">
            <v>7</v>
          </cell>
        </row>
        <row r="22">
          <cell r="B22" t="str">
            <v xml:space="preserve">Analis Pelaksanaan Program dan Anggaran </v>
          </cell>
          <cell r="C22">
            <v>7</v>
          </cell>
        </row>
        <row r="23">
          <cell r="B23" t="str">
            <v>Analis Pengembangan Karir Pendidik dan Tenaga Kependidikan</v>
          </cell>
          <cell r="C23">
            <v>7</v>
          </cell>
        </row>
        <row r="24">
          <cell r="B24" t="str">
            <v xml:space="preserve">Analis Pengembangan Peserta Didik </v>
          </cell>
          <cell r="C24">
            <v>7</v>
          </cell>
        </row>
        <row r="25">
          <cell r="B25" t="str">
            <v xml:space="preserve">Analis Pelaksanaan Penilaian dan Akreditasi </v>
          </cell>
          <cell r="C25">
            <v>7</v>
          </cell>
        </row>
        <row r="26">
          <cell r="B26" t="str">
            <v>Analis Peningkatan Kualifikasi Pendidik dan Tenaga Kependidikan</v>
          </cell>
          <cell r="C26">
            <v>7</v>
          </cell>
        </row>
        <row r="27">
          <cell r="B27" t="str">
            <v>Analis Perencanaan dan Pengembangan Pegawai</v>
          </cell>
          <cell r="C27">
            <v>7</v>
          </cell>
        </row>
        <row r="28">
          <cell r="B28" t="str">
            <v>Analis Sarana Pendidikan</v>
          </cell>
          <cell r="C28">
            <v>7</v>
          </cell>
        </row>
        <row r="29">
          <cell r="B29" t="str">
            <v>Analis Prasarana Pendidikan</v>
          </cell>
          <cell r="C29">
            <v>7</v>
          </cell>
        </row>
        <row r="30">
          <cell r="B30" t="str">
            <v xml:space="preserve">Analis Kepegawaian Ahli Pertama </v>
          </cell>
          <cell r="C30">
            <v>8</v>
          </cell>
        </row>
        <row r="31">
          <cell r="B31" t="str">
            <v>Perekayasa Muda</v>
          </cell>
          <cell r="C31">
            <v>9</v>
          </cell>
        </row>
        <row r="32">
          <cell r="B32" t="str">
            <v>Perekayasa Pertama</v>
          </cell>
          <cell r="C32">
            <v>8</v>
          </cell>
        </row>
        <row r="33">
          <cell r="B33" t="str">
            <v>Arsiparis</v>
          </cell>
          <cell r="C33">
            <v>0</v>
          </cell>
        </row>
        <row r="34">
          <cell r="B34" t="str">
            <v>Bendahara Penerimaan</v>
          </cell>
          <cell r="C34">
            <v>7</v>
          </cell>
        </row>
        <row r="35">
          <cell r="B35" t="str">
            <v>Bendahara Pengeluaran</v>
          </cell>
          <cell r="C35">
            <v>7</v>
          </cell>
        </row>
        <row r="36">
          <cell r="B36" t="str">
            <v>Bendahara Pengeluaran Pembantu</v>
          </cell>
          <cell r="C36">
            <v>6</v>
          </cell>
        </row>
        <row r="37">
          <cell r="B37" t="str">
            <v>Caraka</v>
          </cell>
          <cell r="C37">
            <v>3</v>
          </cell>
        </row>
        <row r="38">
          <cell r="B38" t="str">
            <v>Dokter Pertama</v>
          </cell>
          <cell r="C38">
            <v>9</v>
          </cell>
        </row>
        <row r="39">
          <cell r="B39" t="str">
            <v>Pengelola Poliklinik</v>
          </cell>
          <cell r="C39">
            <v>8</v>
          </cell>
        </row>
        <row r="40">
          <cell r="B40" t="str">
            <v>Paramedis</v>
          </cell>
          <cell r="C40">
            <v>7</v>
          </cell>
        </row>
        <row r="41">
          <cell r="B41" t="str">
            <v>Petugas Kesehatan</v>
          </cell>
          <cell r="C41">
            <v>5</v>
          </cell>
        </row>
        <row r="42">
          <cell r="B42" t="str">
            <v>Penata Dokumen Keuangan</v>
          </cell>
          <cell r="C42">
            <v>5</v>
          </cell>
        </row>
        <row r="43">
          <cell r="B43" t="str">
            <v>Pemroses Layanan Perizinan</v>
          </cell>
          <cell r="C43">
            <v>5</v>
          </cell>
        </row>
        <row r="44">
          <cell r="B44" t="str">
            <v>Pemroses Mutasi Kepegawaian</v>
          </cell>
          <cell r="C44">
            <v>5</v>
          </cell>
        </row>
        <row r="45">
          <cell r="B45" t="str">
            <v>Penata Arsip</v>
          </cell>
          <cell r="C45">
            <v>5</v>
          </cell>
        </row>
        <row r="46">
          <cell r="B46" t="str">
            <v>Sekretaris Pimpinan</v>
          </cell>
          <cell r="C46">
            <v>6</v>
          </cell>
        </row>
        <row r="47">
          <cell r="B47" t="str">
            <v>Penata Usaha Pimpinan</v>
          </cell>
          <cell r="C47">
            <v>5</v>
          </cell>
        </row>
        <row r="48">
          <cell r="B48" t="str">
            <v>Pengadministrasi Barang Milik Negara</v>
          </cell>
          <cell r="C48">
            <v>5</v>
          </cell>
        </row>
        <row r="49">
          <cell r="B49" t="str">
            <v>Pengadministrasi Belanja Pegawai</v>
          </cell>
          <cell r="C49">
            <v>5</v>
          </cell>
        </row>
        <row r="50">
          <cell r="B50" t="str">
            <v>Pengadministrasi Kendaraan Dinas</v>
          </cell>
          <cell r="C50">
            <v>5</v>
          </cell>
        </row>
        <row r="51">
          <cell r="B51" t="str">
            <v>Pengadministrasi Kerumahtanggaan</v>
          </cell>
          <cell r="C51">
            <v>5</v>
          </cell>
        </row>
        <row r="52">
          <cell r="B52" t="str">
            <v>Pengadministrasi Peraturan Perundang-undangan</v>
          </cell>
          <cell r="C52">
            <v>5</v>
          </cell>
        </row>
        <row r="53">
          <cell r="B53" t="str">
            <v>Petugas Perpustakaan</v>
          </cell>
          <cell r="C53">
            <v>5</v>
          </cell>
        </row>
        <row r="54">
          <cell r="B54" t="str">
            <v>Pengadministrasi Persuratan</v>
          </cell>
          <cell r="C54">
            <v>5</v>
          </cell>
        </row>
        <row r="55">
          <cell r="B55" t="str">
            <v>Pengadministrasi Poliklinik</v>
          </cell>
          <cell r="C55">
            <v>5</v>
          </cell>
        </row>
        <row r="56">
          <cell r="B56" t="str">
            <v>Pengadministrasi Umum</v>
          </cell>
          <cell r="C56">
            <v>5</v>
          </cell>
        </row>
        <row r="57">
          <cell r="B57" t="str">
            <v>Pengelola Laman</v>
          </cell>
          <cell r="C57">
            <v>6</v>
          </cell>
        </row>
        <row r="58">
          <cell r="B58" t="str">
            <v>Pengelola Sistem Informasi Persuratan</v>
          </cell>
          <cell r="C58">
            <v>6</v>
          </cell>
        </row>
        <row r="59">
          <cell r="B59" t="str">
            <v>Pengemudi</v>
          </cell>
          <cell r="C59">
            <v>3</v>
          </cell>
        </row>
        <row r="60">
          <cell r="B60" t="str">
            <v>Petugas Penggandaan</v>
          </cell>
          <cell r="C60">
            <v>3</v>
          </cell>
        </row>
        <row r="61">
          <cell r="B61" t="str">
            <v>Pengolah Data Barang Milik Negara</v>
          </cell>
          <cell r="C61">
            <v>6</v>
          </cell>
        </row>
        <row r="62">
          <cell r="B62" t="str">
            <v>Pengolah Data dan Informasi</v>
          </cell>
          <cell r="C62">
            <v>6</v>
          </cell>
        </row>
        <row r="63">
          <cell r="B63" t="str">
            <v>Pengolah Data Evaluasi Pembinaan Sekolah Dasar</v>
          </cell>
          <cell r="C63">
            <v>6</v>
          </cell>
        </row>
        <row r="64">
          <cell r="B64" t="str">
            <v xml:space="preserve">Pengolah Data Pelaksanaan Kelembagaan </v>
          </cell>
          <cell r="C64">
            <v>6</v>
          </cell>
        </row>
        <row r="65">
          <cell r="B65" t="str">
            <v>Pengolah Data Kepegawaian</v>
          </cell>
          <cell r="C65">
            <v>6</v>
          </cell>
        </row>
        <row r="66">
          <cell r="B66" t="str">
            <v>Pengolah Data Kerja Sama</v>
          </cell>
          <cell r="C66">
            <v>6</v>
          </cell>
        </row>
        <row r="67">
          <cell r="B67" t="str">
            <v>Pengolah Data Ketatalaksanaan</v>
          </cell>
          <cell r="C67">
            <v>6</v>
          </cell>
        </row>
        <row r="68">
          <cell r="B68" t="str">
            <v>Pengolah Data Keuangan</v>
          </cell>
          <cell r="C68">
            <v>6</v>
          </cell>
        </row>
        <row r="69">
          <cell r="B69" t="str">
            <v xml:space="preserve">Pengolah Data Pelaksanaan Kurikulum </v>
          </cell>
          <cell r="C69">
            <v>6</v>
          </cell>
        </row>
        <row r="70">
          <cell r="B70" t="str">
            <v>Pengolah Data Pelaksanaan Program dan Anggaran Pendidikan Dasar</v>
          </cell>
          <cell r="C70">
            <v>6</v>
          </cell>
        </row>
        <row r="71">
          <cell r="B71" t="str">
            <v>Pengolah Data Pengembangan Karir Pendidik dan Tenaga Kependidikan</v>
          </cell>
          <cell r="C71">
            <v>6</v>
          </cell>
        </row>
        <row r="72">
          <cell r="B72" t="str">
            <v xml:space="preserve">Pengolah Data Pelaksanaan Penilaian dan Akreditasi </v>
          </cell>
          <cell r="C72">
            <v>6</v>
          </cell>
        </row>
        <row r="73">
          <cell r="B73" t="str">
            <v>Pengolah Data Perencanaan Kebutuhan dan Peningkatan Kualifikasi Pendidik dan Tenaga Kependidikan</v>
          </cell>
          <cell r="C73">
            <v>6</v>
          </cell>
        </row>
        <row r="74">
          <cell r="B74" t="str">
            <v xml:space="preserve">Pengolah Data Pengembangan Peserta Didik </v>
          </cell>
          <cell r="C74">
            <v>6</v>
          </cell>
        </row>
        <row r="75">
          <cell r="B75" t="str">
            <v>Pengolah Data Prasarana Pendidikan</v>
          </cell>
          <cell r="C75">
            <v>6</v>
          </cell>
        </row>
        <row r="76">
          <cell r="B76" t="str">
            <v xml:space="preserve">Pengolah Data Program dan Anggaran </v>
          </cell>
          <cell r="C76">
            <v>6</v>
          </cell>
        </row>
        <row r="77">
          <cell r="B77" t="str">
            <v xml:space="preserve">Pengolah Data Pelaksanaan Program dan Anggaran </v>
          </cell>
          <cell r="C77">
            <v>6</v>
          </cell>
        </row>
        <row r="78">
          <cell r="B78" t="str">
            <v>Pengolah Data Sarana dan Pendidikan Pembinaan Pendidikan Khusus dan Layanan Khusus Pendidikan Dasar</v>
          </cell>
          <cell r="C78">
            <v>6</v>
          </cell>
        </row>
        <row r="79">
          <cell r="B79" t="str">
            <v>Pengolah Data Sarana Pendidikan</v>
          </cell>
          <cell r="C79">
            <v>6</v>
          </cell>
        </row>
        <row r="80">
          <cell r="B80" t="str">
            <v>Pengolah Surat Perintah Membayar</v>
          </cell>
          <cell r="C80">
            <v>6</v>
          </cell>
        </row>
        <row r="81">
          <cell r="B81" t="str">
            <v>Pengolah Surat Permintaan Pembayaran</v>
          </cell>
          <cell r="C81">
            <v>6</v>
          </cell>
        </row>
        <row r="82">
          <cell r="B82" t="str">
            <v>Penyusun Laporan Keuangan</v>
          </cell>
          <cell r="C82">
            <v>7</v>
          </cell>
        </row>
        <row r="83">
          <cell r="B83" t="str">
            <v>Penyusun Rancangan Peraturan Perundang-Undangan dan Pertimbangan Hukum</v>
          </cell>
          <cell r="C83">
            <v>7</v>
          </cell>
        </row>
        <row r="84">
          <cell r="B84" t="str">
            <v>Penyusun Program dan Anggaran</v>
          </cell>
          <cell r="C84">
            <v>7</v>
          </cell>
        </row>
        <row r="85">
          <cell r="B85" t="str">
            <v>Penyusun Informasi dan Publikasi</v>
          </cell>
          <cell r="C85">
            <v>7</v>
          </cell>
        </row>
        <row r="86">
          <cell r="B86" t="str">
            <v>Petugas Keamanan</v>
          </cell>
          <cell r="C86">
            <v>3</v>
          </cell>
        </row>
        <row r="87">
          <cell r="B87" t="str">
            <v>Pramu Kantor</v>
          </cell>
          <cell r="C87">
            <v>1</v>
          </cell>
        </row>
        <row r="88">
          <cell r="B88" t="str">
            <v>Pramu Saji</v>
          </cell>
          <cell r="C88">
            <v>3</v>
          </cell>
        </row>
        <row r="89">
          <cell r="B89" t="str">
            <v>Pramu Wisma</v>
          </cell>
          <cell r="C89">
            <v>3</v>
          </cell>
        </row>
        <row r="90">
          <cell r="B90" t="str">
            <v>Teknisi Sarana dan Prasarana Kantor</v>
          </cell>
          <cell r="C90">
            <v>5</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
      <sheetName val="SALSEPT"/>
    </sheetNames>
    <sheetDataSet>
      <sheetData sheetId="0"/>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
      <sheetName val="SALSEPT"/>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
      <sheetName val="factor"/>
      <sheetName val="sampel"/>
      <sheetName val="sampel sort"/>
      <sheetName val="jobvalue"/>
      <sheetName val="jobvalue15"/>
      <sheetName val="jobvalue16"/>
      <sheetName val="jobvalue17"/>
      <sheetName val="jobprice15"/>
      <sheetName val="all"/>
      <sheetName val="skalagaji"/>
      <sheetName val="Graf1"/>
      <sheetName val="FORMAT"/>
      <sheetName val="ACEH"/>
      <sheetName val="SUMBAR"/>
      <sheetName val="RIAU"/>
      <sheetName val="BENGKULU"/>
      <sheetName val="SUMSEL"/>
      <sheetName val="LAMPUNG"/>
      <sheetName val="BANTEN"/>
      <sheetName val="YOGYA"/>
      <sheetName val="BALI"/>
      <sheetName val="NTT"/>
      <sheetName val="KALBAR"/>
      <sheetName val="KALTIM"/>
      <sheetName val="SULBAR"/>
      <sheetName val="SULUT"/>
      <sheetName val="SULTENG"/>
      <sheetName val="SULTRA"/>
      <sheetName val="MALUKU"/>
      <sheetName val="JAMBI"/>
      <sheetName val="KALTENG"/>
      <sheetName val="GORONTALO"/>
      <sheetName val="MALUT"/>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Form"/>
    </sheetNames>
    <sheetDataSet>
      <sheetData sheetId="0">
        <row r="2">
          <cell r="A2" t="str">
            <v>mnt/hr</v>
          </cell>
        </row>
        <row r="3">
          <cell r="A3" t="str">
            <v>jam/hr</v>
          </cell>
        </row>
        <row r="4">
          <cell r="A4" t="str">
            <v>mnt/mggu</v>
          </cell>
        </row>
        <row r="5">
          <cell r="A5" t="str">
            <v>jam/mggu</v>
          </cell>
        </row>
        <row r="6">
          <cell r="A6" t="str">
            <v>hr/mggu</v>
          </cell>
        </row>
        <row r="7">
          <cell r="A7" t="str">
            <v>mnt/bln</v>
          </cell>
        </row>
        <row r="8">
          <cell r="A8" t="str">
            <v>jam/bln</v>
          </cell>
        </row>
        <row r="9">
          <cell r="A9" t="str">
            <v>hr/bln</v>
          </cell>
        </row>
        <row r="10">
          <cell r="A10" t="str">
            <v>mggu/bln</v>
          </cell>
        </row>
        <row r="11">
          <cell r="A11" t="str">
            <v>mnt/thn</v>
          </cell>
        </row>
        <row r="12">
          <cell r="A12" t="str">
            <v>jam/thn</v>
          </cell>
        </row>
        <row r="13">
          <cell r="A13" t="str">
            <v>hr/thn</v>
          </cell>
        </row>
        <row r="14">
          <cell r="A14" t="str">
            <v>mggu/thn</v>
          </cell>
        </row>
        <row r="15">
          <cell r="A15" t="str">
            <v>bln/thn</v>
          </cell>
        </row>
      </sheetData>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
      <sheetName val="factor"/>
      <sheetName val="sampel"/>
      <sheetName val="sampel sort"/>
      <sheetName val="jobvalue"/>
      <sheetName val="jobvalue15"/>
      <sheetName val="jobvalue16"/>
      <sheetName val="jobvalue17"/>
      <sheetName val="jobprice15"/>
      <sheetName val="all"/>
      <sheetName val="skalagaji"/>
      <sheetName val="Graf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Narasumber"/>
      <sheetName val="Moderator"/>
      <sheetName val="Panitia"/>
      <sheetName val="Perjadin Luar kota"/>
      <sheetName val="Perjadin Survey"/>
      <sheetName val="Perjadin dlm kota (2)"/>
      <sheetName val="Narsum PNS"/>
      <sheetName val="Instruktur"/>
      <sheetName val="Transport"/>
      <sheetName val="RDK"/>
      <sheetName val="Perjadin Akt II"/>
    </sheetNames>
    <sheetDataSet>
      <sheetData sheetId="0" refreshError="1">
        <row r="2">
          <cell r="B2" t="str">
            <v>Achmadi</v>
          </cell>
          <cell r="C2" t="str">
            <v>196806271989031004</v>
          </cell>
          <cell r="D2" t="str">
            <v>3201132706680005</v>
          </cell>
          <cell r="E2" t="str">
            <v>774280168403000</v>
          </cell>
          <cell r="F2" t="str">
            <v>PNS ,II/c</v>
          </cell>
          <cell r="G2" t="str">
            <v>Pengatur</v>
          </cell>
          <cell r="H2" t="str">
            <v>PNS</v>
          </cell>
          <cell r="I2" t="str">
            <v>ACHMADI</v>
          </cell>
          <cell r="J2" t="str">
            <v>ACHMADI</v>
          </cell>
          <cell r="K2" t="str">
            <v>0008226918</v>
          </cell>
          <cell r="L2" t="str">
            <v>BNI</v>
          </cell>
          <cell r="M2" t="str">
            <v>Pengadministrasi Umum</v>
          </cell>
          <cell r="N2">
            <v>25016</v>
          </cell>
          <cell r="O2" t="str">
            <v>Pengemudi pada Sub. Bagian Tata Usaha pada Bagian Umum</v>
          </cell>
          <cell r="P2" t="str">
            <v>Pengadministrasi Umum</v>
          </cell>
        </row>
        <row r="3">
          <cell r="B3" t="str">
            <v>Adhy Purnama</v>
          </cell>
          <cell r="C3" t="str">
            <v>198104182010121002</v>
          </cell>
          <cell r="D3" t="str">
            <v>3603231804810007</v>
          </cell>
          <cell r="E3" t="str">
            <v>594386401426000</v>
          </cell>
          <cell r="F3" t="str">
            <v>PNS ,III/c</v>
          </cell>
          <cell r="G3" t="str">
            <v>Pengatur</v>
          </cell>
          <cell r="H3" t="str">
            <v>PNS</v>
          </cell>
          <cell r="I3" t="str">
            <v>ADHY PURNAMA, SE</v>
          </cell>
          <cell r="J3" t="str">
            <v>ADHY PURNAMA, SE</v>
          </cell>
          <cell r="K3" t="str">
            <v>0018125748</v>
          </cell>
          <cell r="L3" t="str">
            <v>BNI</v>
          </cell>
          <cell r="M3" t="str">
            <v>Pengelola Informasi Akademik</v>
          </cell>
          <cell r="N3">
            <v>29694</v>
          </cell>
          <cell r="O3" t="str">
            <v>Pengadministrasi Data Akademik dan Kemahasiswaan pada Seksi Akademik, dan Kemahasiswaan pada Bidang Akademik, Kemahasiswaan, dan Ketenagaan</v>
          </cell>
          <cell r="P3" t="str">
            <v>Pengelola Informasi Akademik</v>
          </cell>
        </row>
        <row r="4">
          <cell r="B4" t="str">
            <v>Afrida Anis</v>
          </cell>
          <cell r="C4" t="str">
            <v>197002051994032002</v>
          </cell>
          <cell r="D4" t="str">
            <v>3276054502700012</v>
          </cell>
          <cell r="E4" t="str">
            <v>699452207412000</v>
          </cell>
          <cell r="F4" t="str">
            <v>PNS ,III/d</v>
          </cell>
          <cell r="G4" t="str">
            <v>Penata Tingkat I</v>
          </cell>
          <cell r="H4" t="str">
            <v>PNS</v>
          </cell>
          <cell r="I4" t="str">
            <v>AFRIDA ANIS, S.SOS</v>
          </cell>
          <cell r="J4" t="str">
            <v>AFRIDA ANIS</v>
          </cell>
          <cell r="K4" t="str">
            <v>0008202034</v>
          </cell>
          <cell r="L4" t="str">
            <v>BNI</v>
          </cell>
          <cell r="M4" t="str">
            <v>Analis Data Akademik</v>
          </cell>
          <cell r="N4">
            <v>25604</v>
          </cell>
          <cell r="O4" t="str">
            <v>Pengolah Data Ketenagaan pada Seksi Ketenagaan pada Bidang Akademik, Kemahasiswaan, dan Ketenagaan</v>
          </cell>
          <cell r="P4" t="str">
            <v>Analis Data Akademik</v>
          </cell>
        </row>
        <row r="5">
          <cell r="B5" t="str">
            <v>Agung Permana N</v>
          </cell>
          <cell r="C5" t="str">
            <v>198308022015041001</v>
          </cell>
          <cell r="D5" t="str">
            <v>3273230208830004</v>
          </cell>
          <cell r="E5" t="str">
            <v>722549797429000</v>
          </cell>
          <cell r="F5" t="str">
            <v>PNS ,III/a</v>
          </cell>
          <cell r="G5" t="str">
            <v>Pengatur Tingkat I</v>
          </cell>
          <cell r="H5" t="str">
            <v>PNS</v>
          </cell>
          <cell r="I5" t="str">
            <v>AGUNG PERMANA N, A.MD.</v>
          </cell>
          <cell r="J5" t="str">
            <v>AGUNG PERMANA NURRACHMAN</v>
          </cell>
          <cell r="K5" t="str">
            <v>0397880661</v>
          </cell>
          <cell r="L5" t="str">
            <v>BNI</v>
          </cell>
          <cell r="M5" t="str">
            <v>Pengelola Penilai Kinerja Pegawai</v>
          </cell>
          <cell r="N5">
            <v>30530</v>
          </cell>
          <cell r="O5" t="str">
            <v>Pengolah Data Kepegawaian pada Sub. Bagian Kepegawaian pada Bagian Umum</v>
          </cell>
          <cell r="P5" t="str">
            <v>Pengelola Penilaian Kinerja Pegawai</v>
          </cell>
        </row>
        <row r="6">
          <cell r="B6" t="str">
            <v>Agus Muhammad Ali</v>
          </cell>
          <cell r="C6" t="str">
            <v>197610072008121001</v>
          </cell>
          <cell r="D6" t="str">
            <v>3671010710760008</v>
          </cell>
          <cell r="E6" t="str">
            <v>253128854416000</v>
          </cell>
          <cell r="F6" t="str">
            <v>PNS ,III/c</v>
          </cell>
          <cell r="G6" t="str">
            <v>Pengatur</v>
          </cell>
          <cell r="H6" t="str">
            <v>PNS</v>
          </cell>
          <cell r="I6" t="str">
            <v>AGUS MUHAMMAD ALI, S.SOS</v>
          </cell>
          <cell r="J6" t="str">
            <v>BPK AGUS MUHAMMAD ALI</v>
          </cell>
          <cell r="K6" t="str">
            <v>0273029029</v>
          </cell>
          <cell r="L6" t="str">
            <v>BNI</v>
          </cell>
          <cell r="M6" t="str">
            <v>JF- Arsiparis Ahli Muda</v>
          </cell>
          <cell r="N6">
            <v>28040</v>
          </cell>
          <cell r="O6" t="str">
            <v xml:space="preserve">Analis Barang Milik Negara pada Sub. Bagian Tata Usaha pada Bagian Umum                               </v>
          </cell>
          <cell r="P6" t="str">
            <v>Kepala Subbagian Tata Usaha, dan Barang Milik Negara</v>
          </cell>
        </row>
        <row r="7">
          <cell r="B7" t="str">
            <v>Ahmad Mustaadi</v>
          </cell>
          <cell r="C7" t="str">
            <v>196605181989021002</v>
          </cell>
          <cell r="D7" t="str">
            <v>3275051805660003</v>
          </cell>
          <cell r="E7" t="str">
            <v>688766625432000</v>
          </cell>
          <cell r="F7" t="str">
            <v>PNS ,III/b</v>
          </cell>
          <cell r="G7" t="str">
            <v>Penata Muda Tingkat I</v>
          </cell>
          <cell r="H7" t="str">
            <v>PNS</v>
          </cell>
          <cell r="I7" t="str">
            <v>AHMAD MUSTAADI</v>
          </cell>
          <cell r="J7" t="str">
            <v>BPK AHMAD MUSTAADI</v>
          </cell>
          <cell r="K7" t="str">
            <v>0293668029</v>
          </cell>
          <cell r="L7" t="str">
            <v>BNI</v>
          </cell>
          <cell r="M7" t="str">
            <v>Pengadministrasi Keuangan</v>
          </cell>
          <cell r="N7">
            <v>24245</v>
          </cell>
          <cell r="O7" t="str">
            <v>Bendahara Pengeluaran  pada Sub. Bagian Keuangan pada Bagian Umum</v>
          </cell>
          <cell r="P7" t="str">
            <v>Pengadministrasi Keuangan</v>
          </cell>
        </row>
        <row r="8">
          <cell r="B8" t="str">
            <v>Ahmad Syaeful</v>
          </cell>
          <cell r="C8" t="str">
            <v>-</v>
          </cell>
          <cell r="D8" t="str">
            <v>327605300968003</v>
          </cell>
          <cell r="E8" t="str">
            <v>079139234434000</v>
          </cell>
          <cell r="F8" t="str">
            <v>Non PNS</v>
          </cell>
          <cell r="H8" t="str">
            <v>PPNPN</v>
          </cell>
          <cell r="J8" t="str">
            <v xml:space="preserve">BPK ACHMAD SYAEFULLAH 
</v>
          </cell>
          <cell r="K8" t="str">
            <v>1043454118</v>
          </cell>
          <cell r="L8" t="str">
            <v>BNI</v>
          </cell>
          <cell r="M8" t="str">
            <v>PPNPN Pengemudi</v>
          </cell>
          <cell r="N8">
            <v>32559</v>
          </cell>
          <cell r="O8" t="str">
            <v>Pengolah Data Ketenagaan pada Seksi Ketenagaan pada Bidang Akademik, Kemahasiswaan, dan Ketenagaan</v>
          </cell>
          <cell r="P8" t="str">
            <v>Pengelola Kepegawaian</v>
          </cell>
        </row>
        <row r="9">
          <cell r="B9" t="str">
            <v>Alfikri Mirza Rosadi</v>
          </cell>
          <cell r="C9" t="str">
            <v>198902202015041001</v>
          </cell>
          <cell r="D9" t="str">
            <v>1376012002890003</v>
          </cell>
          <cell r="E9" t="str">
            <v>664170735204000</v>
          </cell>
          <cell r="F9" t="str">
            <v>PNS ,II/d</v>
          </cell>
          <cell r="G9" t="str">
            <v>Pengatur Tingkat I</v>
          </cell>
          <cell r="H9" t="str">
            <v>PNS</v>
          </cell>
          <cell r="I9" t="str">
            <v>ALFIKRI MIRZA ROSADI, A.MD</v>
          </cell>
          <cell r="J9" t="str">
            <v>ALFIKRI MIRZA ROSADI</v>
          </cell>
          <cell r="K9" t="str">
            <v>0397562977</v>
          </cell>
          <cell r="L9" t="str">
            <v>BNI</v>
          </cell>
          <cell r="M9" t="str">
            <v>Pengelola Kepegawaian</v>
          </cell>
          <cell r="N9">
            <v>32008</v>
          </cell>
          <cell r="O9" t="str">
            <v>Pembuat Laporan Keuangan Pada Sub Bagian Perencanaan dan Penganggaran</v>
          </cell>
          <cell r="P9" t="str">
            <v>Penyusun Laporan Keuangan</v>
          </cell>
        </row>
        <row r="10">
          <cell r="B10" t="str">
            <v>Asri Fika Agusti</v>
          </cell>
          <cell r="C10" t="str">
            <v>198708192009122006</v>
          </cell>
          <cell r="D10" t="str">
            <v>1372015908870021</v>
          </cell>
          <cell r="E10" t="str">
            <v>348432499201000</v>
          </cell>
          <cell r="F10" t="str">
            <v>PNS ,IV/a</v>
          </cell>
          <cell r="G10" t="str">
            <v xml:space="preserve">Penata </v>
          </cell>
          <cell r="H10" t="str">
            <v>PNS</v>
          </cell>
          <cell r="I10" t="str">
            <v>ASRI FIKA AGUSTI, SE</v>
          </cell>
          <cell r="J10" t="str">
            <v>Ibu ASRI FIKA AGUSTI</v>
          </cell>
          <cell r="K10" t="str">
            <v>0298112103</v>
          </cell>
          <cell r="L10" t="str">
            <v>BNI</v>
          </cell>
          <cell r="M10" t="str">
            <v>Penyusun Laporan Keuangan</v>
          </cell>
          <cell r="N10">
            <v>22745</v>
          </cell>
          <cell r="O10" t="str">
            <v xml:space="preserve">Pengadministrasi Persuratan pada Sub. Bagian Tata Usaha pada Bagian Umum  </v>
          </cell>
          <cell r="P10" t="str">
            <v>Pengadministrasi Persuratan</v>
          </cell>
        </row>
        <row r="11">
          <cell r="B11" t="str">
            <v>Boy Alexandry</v>
          </cell>
          <cell r="C11" t="str">
            <v>196301091994031002</v>
          </cell>
          <cell r="D11" t="str">
            <v>3174040901630002</v>
          </cell>
          <cell r="E11" t="str">
            <v>688766658017000</v>
          </cell>
          <cell r="F11" t="str">
            <v>PNS ,IV/a</v>
          </cell>
          <cell r="G11" t="str">
            <v>Pembina</v>
          </cell>
          <cell r="H11" t="str">
            <v>PNS</v>
          </cell>
          <cell r="I11" t="str">
            <v>BOY ALEXANDRY, SH, MM</v>
          </cell>
          <cell r="J11" t="str">
            <v>BOY ALEXANDRY</v>
          </cell>
          <cell r="K11" t="str">
            <v>0008493247</v>
          </cell>
          <cell r="L11" t="str">
            <v>BNI</v>
          </cell>
          <cell r="M11" t="str">
            <v>JF- Analis Kepegawaian Ahli Madya</v>
          </cell>
          <cell r="N11">
            <v>23020</v>
          </cell>
          <cell r="O11" t="str">
            <v xml:space="preserve">Kepala Sub. Bagian Tata Usaha pada Bagian Umum                               </v>
          </cell>
          <cell r="P11" t="str">
            <v>Kepala Subbagian Kelembagaan</v>
          </cell>
        </row>
        <row r="12">
          <cell r="B12" t="str">
            <v>Damayanti</v>
          </cell>
          <cell r="C12" t="str">
            <v>196505291987032001</v>
          </cell>
          <cell r="D12" t="str">
            <v>3175066905650003</v>
          </cell>
          <cell r="E12" t="str">
            <v>688766682006000</v>
          </cell>
          <cell r="F12" t="str">
            <v>PNS ,III/a</v>
          </cell>
          <cell r="G12" t="str">
            <v>Penata Tingkat I</v>
          </cell>
          <cell r="H12" t="str">
            <v>PNS</v>
          </cell>
          <cell r="I12" t="str">
            <v>DAMAYANTI, S.SOS</v>
          </cell>
          <cell r="J12" t="str">
            <v>DAMAYANTI</v>
          </cell>
          <cell r="K12" t="str">
            <v>0008493815</v>
          </cell>
          <cell r="L12" t="str">
            <v>BNI</v>
          </cell>
          <cell r="M12" t="str">
            <v>Pengadministrasi Persuratan</v>
          </cell>
          <cell r="N12">
            <v>23891</v>
          </cell>
          <cell r="O12" t="str">
            <v xml:space="preserve">Pengadministrasi Persuratan pada Sub. Bagian Tata Usaha pada Bagian Umum  </v>
          </cell>
          <cell r="P12" t="str">
            <v>Pengadministrasi Persuratan</v>
          </cell>
        </row>
        <row r="13">
          <cell r="B13" t="str">
            <v>Dhita Widya Putri</v>
          </cell>
          <cell r="C13" t="str">
            <v>198804082019032016</v>
          </cell>
          <cell r="D13" t="str">
            <v>3271064804880002</v>
          </cell>
          <cell r="E13" t="str">
            <v>352690937404000</v>
          </cell>
          <cell r="F13" t="str">
            <v>PNS ,III/a</v>
          </cell>
          <cell r="G13" t="str">
            <v>Penata Muda</v>
          </cell>
          <cell r="H13" t="str">
            <v>PNS</v>
          </cell>
          <cell r="I13" t="str">
            <v>DHITA WIDYA PUTRI, S.I.Kom.</v>
          </cell>
          <cell r="J13" t="str">
            <v>Sdri DHITA WIDYA PUTRI</v>
          </cell>
          <cell r="K13" t="str">
            <v>0160555506</v>
          </cell>
          <cell r="L13" t="str">
            <v>BNI</v>
          </cell>
          <cell r="M13" t="str">
            <v>Pengelola Data</v>
          </cell>
          <cell r="N13">
            <v>32241</v>
          </cell>
          <cell r="O13" t="str">
            <v>-</v>
          </cell>
          <cell r="P13" t="str">
            <v>Penyusun Bahan Publikasi</v>
          </cell>
        </row>
        <row r="14">
          <cell r="B14" t="str">
            <v>Dian Rusdiana</v>
          </cell>
          <cell r="C14" t="str">
            <v>197610142005012001</v>
          </cell>
          <cell r="D14" t="str">
            <v>-</v>
          </cell>
          <cell r="E14" t="str">
            <v>-</v>
          </cell>
          <cell r="F14" t="str">
            <v>PNS ,IV/a</v>
          </cell>
          <cell r="G14" t="str">
            <v>Penata Muda</v>
          </cell>
          <cell r="H14" t="str">
            <v>PNS</v>
          </cell>
          <cell r="I14" t="str">
            <v>DIAN RUSDIANA, SPD</v>
          </cell>
          <cell r="J14" t="str">
            <v>DIAN RUSDIANA, SPD</v>
          </cell>
          <cell r="K14" t="str">
            <v>0067421091</v>
          </cell>
          <cell r="L14" t="str">
            <v>BNI</v>
          </cell>
          <cell r="M14" t="str">
            <v>Jakarta</v>
          </cell>
          <cell r="N14">
            <v>28047</v>
          </cell>
          <cell r="O14" t="str">
            <v>-</v>
          </cell>
          <cell r="P14" t="str">
            <v>Pengelola Informasi Akademik</v>
          </cell>
        </row>
        <row r="15">
          <cell r="B15" t="str">
            <v>Djufri</v>
          </cell>
          <cell r="C15" t="str">
            <v>195812141986031001</v>
          </cell>
          <cell r="D15" t="str">
            <v>-</v>
          </cell>
          <cell r="E15" t="str">
            <v>348432499201000</v>
          </cell>
          <cell r="F15" t="str">
            <v>PNS ,III/a</v>
          </cell>
          <cell r="G15" t="str">
            <v>Pembina</v>
          </cell>
          <cell r="H15" t="str">
            <v>PNS</v>
          </cell>
          <cell r="I15" t="str">
            <v>DRS. DJUFRI, AK.MM</v>
          </cell>
          <cell r="J15" t="str">
            <v>DRS. DJUFRI, AKT</v>
          </cell>
          <cell r="K15" t="str">
            <v>0178788098</v>
          </cell>
          <cell r="L15" t="str">
            <v>BNI</v>
          </cell>
          <cell r="M15" t="str">
            <v>-</v>
          </cell>
          <cell r="N15" t="str">
            <v>-</v>
          </cell>
          <cell r="O15" t="str">
            <v>Ketua Tim SPI</v>
          </cell>
          <cell r="P15" t="str">
            <v>Ketua Tim SPI</v>
          </cell>
        </row>
        <row r="16">
          <cell r="B16" t="str">
            <v>Elih Ermawati</v>
          </cell>
          <cell r="C16" t="str">
            <v>198609152009122006</v>
          </cell>
          <cell r="D16" t="str">
            <v>3275085508860013</v>
          </cell>
          <cell r="E16" t="str">
            <v>697161602432000</v>
          </cell>
          <cell r="F16" t="str">
            <v>PNS ,III/a</v>
          </cell>
          <cell r="G16" t="str">
            <v>Pengatur Tingkat I</v>
          </cell>
          <cell r="H16" t="str">
            <v>PNS</v>
          </cell>
          <cell r="I16" t="str">
            <v>ELIH ERMAWATI, A.MD</v>
          </cell>
          <cell r="J16" t="str">
            <v>ELIH ERMAWATI</v>
          </cell>
          <cell r="K16" t="str">
            <v>0197302653</v>
          </cell>
          <cell r="L16" t="str">
            <v>BNI</v>
          </cell>
          <cell r="M16" t="str">
            <v>Bendahara</v>
          </cell>
          <cell r="N16">
            <v>31670</v>
          </cell>
          <cell r="O16" t="str">
            <v>Bendahara Pengeluaran Pembantu pada Sub. Bagian Keuangan pada Bagian Umum</v>
          </cell>
          <cell r="P16" t="str">
            <v>Bendahara</v>
          </cell>
        </row>
        <row r="17">
          <cell r="B17" t="str">
            <v>Endang Sutisna</v>
          </cell>
          <cell r="C17" t="str">
            <v>197406292005011001</v>
          </cell>
          <cell r="D17" t="str">
            <v>3276022906740008</v>
          </cell>
          <cell r="E17" t="str">
            <v>688754233412000</v>
          </cell>
          <cell r="F17" t="str">
            <v>PNS ,III/a</v>
          </cell>
          <cell r="G17" t="str">
            <v>Pengatur Tingkat I</v>
          </cell>
          <cell r="H17" t="str">
            <v>PNS</v>
          </cell>
          <cell r="I17" t="str">
            <v>ENDANG SUTISNA</v>
          </cell>
          <cell r="J17" t="str">
            <v>ENDANG SUTISNA</v>
          </cell>
          <cell r="K17" t="str">
            <v>0114764956</v>
          </cell>
          <cell r="L17" t="str">
            <v>BNI</v>
          </cell>
          <cell r="M17" t="str">
            <v>Pengadministrasi Umum</v>
          </cell>
          <cell r="N17">
            <v>27209</v>
          </cell>
          <cell r="O17" t="str">
            <v>Pemroses Mutasi Kepegawaian pada Sub. Bagian Kepegawaian pada Bagian Umum</v>
          </cell>
          <cell r="P17" t="str">
            <v>Pengadministrasi Umum</v>
          </cell>
        </row>
        <row r="18">
          <cell r="B18" t="str">
            <v>Felizia Novi Kristanti</v>
          </cell>
          <cell r="C18" t="str">
            <v>199211192020122011</v>
          </cell>
          <cell r="E18" t="str">
            <v>928201151656000</v>
          </cell>
          <cell r="F18" t="str">
            <v>PNS ,II/c</v>
          </cell>
          <cell r="G18" t="str">
            <v>Penata Muda</v>
          </cell>
          <cell r="H18" t="str">
            <v>PNS</v>
          </cell>
          <cell r="I18" t="str">
            <v>FELIZIA NOVI KRISTANTI, SH</v>
          </cell>
          <cell r="J18" t="str">
            <v>Sdri FELIZIA NOVI KRISTANTI</v>
          </cell>
          <cell r="K18" t="str">
            <v>1174723604</v>
          </cell>
          <cell r="L18" t="str">
            <v>BNI</v>
          </cell>
          <cell r="M18" t="str">
            <v>Analis Kepegawaian Ahli Pertama</v>
          </cell>
          <cell r="N18">
            <v>35307</v>
          </cell>
          <cell r="O18" t="str">
            <v>-</v>
          </cell>
          <cell r="P18" t="str">
            <v>Pengelola Pendidik dan Tenaga Kependidikan</v>
          </cell>
        </row>
        <row r="19">
          <cell r="B19" t="str">
            <v>Finda Tyas Alfianti</v>
          </cell>
          <cell r="C19" t="str">
            <v>199608302019032012</v>
          </cell>
          <cell r="D19" t="str">
            <v>3372047008960004</v>
          </cell>
          <cell r="E19" t="str">
            <v>-</v>
          </cell>
          <cell r="F19" t="str">
            <v>PNS ,II/d</v>
          </cell>
          <cell r="G19" t="str">
            <v>Pengatur</v>
          </cell>
          <cell r="H19" t="str">
            <v>PNS</v>
          </cell>
          <cell r="I19" t="str">
            <v>FINDA TYAS ALFIANTI, A.Md.</v>
          </cell>
          <cell r="J19" t="str">
            <v>Sdri FINDA TYAS ALFIANTI</v>
          </cell>
          <cell r="K19" t="str">
            <v>0824967255</v>
          </cell>
          <cell r="L19" t="str">
            <v>BNI</v>
          </cell>
          <cell r="M19" t="str">
            <v>Pengolah Data</v>
          </cell>
          <cell r="N19">
            <v>33769</v>
          </cell>
          <cell r="O19" t="str">
            <v>Pengolah Data Ketenagaan pada Seksi Ketenagaan pada Bidang Akademik, Kemahasiswaan, dan Ketenagaan</v>
          </cell>
          <cell r="P19" t="str">
            <v>Pengelola Peningkatan Kualifikasi Pendidik dan Tenaga Kependidikan</v>
          </cell>
        </row>
        <row r="20">
          <cell r="B20" t="str">
            <v>Fiqih Hidayah</v>
          </cell>
          <cell r="C20" t="str">
            <v>199206142015041002</v>
          </cell>
          <cell r="D20" t="str">
            <v>3175031406920005</v>
          </cell>
          <cell r="E20" t="str">
            <v>737981464432000</v>
          </cell>
          <cell r="F20" t="str">
            <v>PNS ,III/a</v>
          </cell>
          <cell r="G20" t="str">
            <v>Pengatur Tingkat I</v>
          </cell>
          <cell r="H20" t="str">
            <v>PNS</v>
          </cell>
          <cell r="I20" t="str">
            <v>FIQIH HIDAYAH, A. MD</v>
          </cell>
          <cell r="J20" t="str">
            <v>FIQIH HIDAYAH</v>
          </cell>
          <cell r="K20" t="str">
            <v>0397559771</v>
          </cell>
          <cell r="L20" t="str">
            <v>BNI</v>
          </cell>
          <cell r="M20" t="str">
            <v>Pengolah Data</v>
          </cell>
          <cell r="N20">
            <v>33309</v>
          </cell>
          <cell r="O20" t="str">
            <v>-</v>
          </cell>
          <cell r="P20" t="str">
            <v>Pengelola Barang Milik Negara</v>
          </cell>
        </row>
        <row r="21">
          <cell r="B21" t="str">
            <v>Fita Pervita Sari</v>
          </cell>
          <cell r="C21" t="str">
            <v>199103122019032021</v>
          </cell>
          <cell r="D21" t="str">
            <v>3322075203910001</v>
          </cell>
          <cell r="E21" t="str">
            <v>-</v>
          </cell>
          <cell r="F21" t="str">
            <v>PNS ,II/c</v>
          </cell>
          <cell r="G21" t="str">
            <v>Pengatur</v>
          </cell>
          <cell r="H21" t="str">
            <v>PNS</v>
          </cell>
          <cell r="I21" t="str">
            <v>FITA PERVITASARI, A.Md.</v>
          </cell>
          <cell r="J21" t="str">
            <v>IbU FITA PERVITA SARI</v>
          </cell>
          <cell r="K21" t="str">
            <v>0827549789</v>
          </cell>
          <cell r="L21" t="str">
            <v>BNI</v>
          </cell>
          <cell r="M21" t="str">
            <v>Pengelola Database Surat Perintah Membayar</v>
          </cell>
          <cell r="N21">
            <v>25675</v>
          </cell>
          <cell r="O21" t="str">
            <v>Pengolah Data Kepegawaian pada Sub. Bagian Kepegawaian pada Bagian Umum</v>
          </cell>
          <cell r="P21" t="str">
            <v>Analis Organisasi dan Tata Laksana</v>
          </cell>
        </row>
        <row r="22">
          <cell r="B22" t="str">
            <v>Herlina</v>
          </cell>
          <cell r="C22" t="str">
            <v>197004171992032002</v>
          </cell>
          <cell r="D22" t="str">
            <v>3175045704700003</v>
          </cell>
          <cell r="E22" t="str">
            <v>688766690005000</v>
          </cell>
          <cell r="F22" t="str">
            <v>PNS ,III/b</v>
          </cell>
          <cell r="G22" t="str">
            <v>Pembina</v>
          </cell>
          <cell r="H22" t="str">
            <v>PNS</v>
          </cell>
          <cell r="I22" t="str">
            <v>HERLINA, SE</v>
          </cell>
          <cell r="J22" t="str">
            <v>HERLINA</v>
          </cell>
          <cell r="K22" t="str">
            <v>0307865253</v>
          </cell>
          <cell r="L22" t="str">
            <v>BNI</v>
          </cell>
          <cell r="M22" t="str">
            <v>Analis Organisasi dan Tata Laksana</v>
          </cell>
          <cell r="N22">
            <v>31625</v>
          </cell>
          <cell r="O22" t="str">
            <v>Analis Kelembagaan dan Kerja Sama pada Seksi Kelembagaan, dan Kerjasama pada Bidang Kelembagaan, dan Sistem Informasi</v>
          </cell>
          <cell r="P22" t="str">
            <v>Analis Kelembagaan</v>
          </cell>
        </row>
        <row r="23">
          <cell r="B23" t="str">
            <v>Hidayat</v>
          </cell>
          <cell r="C23" t="str">
            <v>198608012015041003</v>
          </cell>
          <cell r="D23" t="str">
            <v>3175090108860009</v>
          </cell>
          <cell r="E23" t="str">
            <v>678348889009000</v>
          </cell>
          <cell r="F23" t="str">
            <v>PNS ,II/c</v>
          </cell>
          <cell r="G23" t="str">
            <v>Penata Muda Tingkat I</v>
          </cell>
          <cell r="H23" t="str">
            <v>PNS</v>
          </cell>
          <cell r="I23" t="str">
            <v>HIDAYAT, S.SOS</v>
          </cell>
          <cell r="J23" t="str">
            <v>HIDAYAT</v>
          </cell>
          <cell r="K23" t="str">
            <v>0397801225</v>
          </cell>
          <cell r="L23" t="str">
            <v>BNI</v>
          </cell>
          <cell r="M23" t="str">
            <v>Analis Kelembagaan</v>
          </cell>
          <cell r="N23">
            <v>23708</v>
          </cell>
          <cell r="O23" t="str">
            <v>Petugas Keamanan pada Sub. Bagian Tata Usaha pada Bagian Umum</v>
          </cell>
          <cell r="P23" t="str">
            <v>Teknisi Peralatan Kantor</v>
          </cell>
        </row>
        <row r="24">
          <cell r="B24" t="str">
            <v>Ibnu Syarif</v>
          </cell>
          <cell r="C24" t="str">
            <v>196411271987031002</v>
          </cell>
          <cell r="D24" t="str">
            <v>3171052711640001</v>
          </cell>
          <cell r="E24" t="str">
            <v>688766328024000</v>
          </cell>
          <cell r="F24" t="str">
            <v>PNS ,III/c</v>
          </cell>
          <cell r="G24" t="str">
            <v>Pengatur</v>
          </cell>
          <cell r="H24" t="str">
            <v>PNS</v>
          </cell>
          <cell r="I24" t="str">
            <v>IBNU SYARIF</v>
          </cell>
          <cell r="J24" t="str">
            <v>IBNU SYARIF</v>
          </cell>
          <cell r="K24" t="str">
            <v>0008226872</v>
          </cell>
          <cell r="L24" t="str">
            <v>BNI</v>
          </cell>
          <cell r="M24" t="str">
            <v>Teknisi Peralatan Kantor</v>
          </cell>
          <cell r="N24">
            <v>30395</v>
          </cell>
          <cell r="O24" t="str">
            <v>Pengolah Surat Perintah Membayar pada Sub. Bagian Keuangan pada Bagian Umum</v>
          </cell>
          <cell r="P24" t="str">
            <v>Analis Data Akademik</v>
          </cell>
        </row>
        <row r="25">
          <cell r="B25" t="str">
            <v>Ikhsan Riyanda</v>
          </cell>
          <cell r="C25" t="str">
            <v>198303202010121003</v>
          </cell>
          <cell r="D25" t="str">
            <v>3275032003830018</v>
          </cell>
          <cell r="E25" t="str">
            <v>263956575412000</v>
          </cell>
          <cell r="F25" t="str">
            <v>PNS ,III/a</v>
          </cell>
          <cell r="G25" t="str">
            <v>Penata</v>
          </cell>
          <cell r="H25" t="str">
            <v>PNS</v>
          </cell>
          <cell r="I25" t="str">
            <v>IKHSAN RIYANDA, SE</v>
          </cell>
          <cell r="J25" t="str">
            <v>IKHSAN RIYANDA, SE</v>
          </cell>
          <cell r="K25" t="str">
            <v>0221957526</v>
          </cell>
          <cell r="L25" t="str">
            <v>BNI</v>
          </cell>
          <cell r="M25" t="str">
            <v>Analis Data Akademik</v>
          </cell>
          <cell r="N25">
            <v>33095</v>
          </cell>
          <cell r="O25" t="str">
            <v>-</v>
          </cell>
          <cell r="P25" t="str">
            <v>Analis Kompetensi</v>
          </cell>
        </row>
        <row r="26">
          <cell r="B26" t="str">
            <v>Ina Agustiani</v>
          </cell>
          <cell r="C26" t="str">
            <v>199008102019032015</v>
          </cell>
          <cell r="D26" t="str">
            <v>3175105008900004</v>
          </cell>
          <cell r="E26" t="str">
            <v>-</v>
          </cell>
          <cell r="F26" t="str">
            <v>PNS ,III/a</v>
          </cell>
          <cell r="G26" t="str">
            <v>Penata Muda</v>
          </cell>
          <cell r="H26" t="str">
            <v>PNS</v>
          </cell>
          <cell r="I26" t="str">
            <v>INA AGUSTIANI, SE</v>
          </cell>
          <cell r="J26" t="str">
            <v>Sdri INA AGUSTIANI</v>
          </cell>
          <cell r="K26" t="str">
            <v>0346345487</v>
          </cell>
          <cell r="L26" t="str">
            <v>BNI</v>
          </cell>
          <cell r="M26" t="str">
            <v>Analis Kualifikasi dan Karir Pendidik dan Tenaga Kependidikan</v>
          </cell>
          <cell r="N26">
            <v>25036</v>
          </cell>
          <cell r="O26" t="str">
            <v>Pemroses Mutasi Kepegawaian pada Sub. Bagian Kepegawaian pada Bagian Umum</v>
          </cell>
          <cell r="P26" t="str">
            <v>Pengadministrasi Pendidik dan Tenaga Kependidikan</v>
          </cell>
        </row>
        <row r="27">
          <cell r="B27" t="str">
            <v>Irmi Asnita</v>
          </cell>
          <cell r="C27" t="str">
            <v>196807171987032001</v>
          </cell>
          <cell r="D27" t="str">
            <v>3201015707680005</v>
          </cell>
          <cell r="E27" t="str">
            <v>688766666403000</v>
          </cell>
          <cell r="F27" t="str">
            <v>PNS ,III/b</v>
          </cell>
          <cell r="G27" t="str">
            <v>Penata Muda Tingkat I</v>
          </cell>
          <cell r="H27" t="str">
            <v>PNS</v>
          </cell>
          <cell r="I27" t="str">
            <v>IRMI ASNITA</v>
          </cell>
          <cell r="J27" t="str">
            <v>IRMI ASNITA</v>
          </cell>
          <cell r="K27" t="str">
            <v>0008226838</v>
          </cell>
          <cell r="L27" t="str">
            <v>BNI</v>
          </cell>
          <cell r="M27" t="str">
            <v>Pengadministrasi Pendidik dan Tenaga Kependidikan</v>
          </cell>
          <cell r="N27">
            <v>22869</v>
          </cell>
          <cell r="O27" t="str">
            <v>Pengolah Data Akademik dan Kemahasiswaan pada Seksi Akademik, dan Kemahasiswaan pada Bidang Akademik, Kemahasiswaan, dan Ketenagaan</v>
          </cell>
          <cell r="P27" t="str">
            <v>Pengadministrasi Umum</v>
          </cell>
        </row>
        <row r="28">
          <cell r="B28" t="str">
            <v>Lukman Hakim</v>
          </cell>
          <cell r="C28" t="str">
            <v>198009062008121000</v>
          </cell>
          <cell r="D28" t="str">
            <v>3275090609800012</v>
          </cell>
          <cell r="E28" t="str">
            <v>253119184071000</v>
          </cell>
          <cell r="F28" t="str">
            <v>PNS ,III/d</v>
          </cell>
          <cell r="G28" t="str">
            <v xml:space="preserve">Penata </v>
          </cell>
          <cell r="H28" t="str">
            <v>PNS</v>
          </cell>
          <cell r="I28" t="str">
            <v>LUKMAN HAKIM</v>
          </cell>
          <cell r="J28" t="str">
            <v>LUKMAN HAKIM, S.AK</v>
          </cell>
          <cell r="K28" t="str">
            <v>0172361108</v>
          </cell>
          <cell r="L28" t="str">
            <v>BNI</v>
          </cell>
          <cell r="M28" t="str">
            <v>Penyusun Program Anggaran dan Pelaporan</v>
          </cell>
          <cell r="N28">
            <v>29470</v>
          </cell>
          <cell r="O28" t="str">
            <v>Bendahara Pengeluaran  pada Sub. Bagian Keuangan pada Bagian Umum</v>
          </cell>
          <cell r="P28" t="str">
            <v>Penyusun Program Anggaran dan Pelaporan</v>
          </cell>
        </row>
        <row r="29">
          <cell r="B29" t="str">
            <v>Median Wilestari</v>
          </cell>
          <cell r="C29" t="str">
            <v>197306202005012008</v>
          </cell>
          <cell r="D29" t="str">
            <v>-</v>
          </cell>
          <cell r="E29" t="str">
            <v>-</v>
          </cell>
          <cell r="F29" t="str">
            <v>PNS ,III/b</v>
          </cell>
          <cell r="G29" t="str">
            <v>Penata</v>
          </cell>
          <cell r="H29" t="str">
            <v>PNS</v>
          </cell>
          <cell r="I29" t="str">
            <v>MEDIAN WILESTARI, SE, AK, MM.MSI</v>
          </cell>
          <cell r="J29" t="str">
            <v>MEDIAN WILESTARI</v>
          </cell>
          <cell r="K29" t="str">
            <v>0064303692</v>
          </cell>
          <cell r="L29" t="str">
            <v>BNI</v>
          </cell>
          <cell r="M29" t="str">
            <v>Anggota Tim SPI</v>
          </cell>
          <cell r="N29">
            <v>23217</v>
          </cell>
          <cell r="O29" t="str">
            <v>Petugas Keamanan pada Sub. Bagian Tata Usaha pada Bagian Umum</v>
          </cell>
          <cell r="P29" t="str">
            <v>Pengadministrasi Persuratan</v>
          </cell>
        </row>
        <row r="30">
          <cell r="B30" t="str">
            <v>Minarti Sukmajati</v>
          </cell>
          <cell r="C30" t="str">
            <v>-</v>
          </cell>
          <cell r="D30" t="str">
            <v>3175106906960007</v>
          </cell>
          <cell r="E30" t="str">
            <v>841562184009000</v>
          </cell>
          <cell r="F30" t="str">
            <v>Non PNS</v>
          </cell>
          <cell r="G30" t="str">
            <v>-</v>
          </cell>
          <cell r="H30" t="str">
            <v>PPNPN</v>
          </cell>
          <cell r="I30" t="str">
            <v>-</v>
          </cell>
          <cell r="J30" t="str">
            <v xml:space="preserve">SDRI MINARTI SUKMAJATI 
</v>
          </cell>
          <cell r="K30" t="str">
            <v>0420269282</v>
          </cell>
          <cell r="L30" t="str">
            <v>BNI</v>
          </cell>
          <cell r="M30" t="str">
            <v>Staff PPNPN</v>
          </cell>
          <cell r="N30">
            <v>28869</v>
          </cell>
          <cell r="O30" t="str">
            <v>-</v>
          </cell>
          <cell r="P30" t="str">
            <v>Sekretaris Lembaga</v>
          </cell>
        </row>
        <row r="31">
          <cell r="B31" t="str">
            <v>Mulhadi HM</v>
          </cell>
          <cell r="C31" t="str">
            <v>199204072015041001</v>
          </cell>
          <cell r="D31" t="str">
            <v>7308160704920001</v>
          </cell>
          <cell r="E31" t="str">
            <v>737792366005000</v>
          </cell>
          <cell r="F31" t="str">
            <v>PNS ,III/c</v>
          </cell>
          <cell r="G31" t="str">
            <v>Penata Muda Tingkat I</v>
          </cell>
          <cell r="H31" t="str">
            <v>PNS</v>
          </cell>
          <cell r="I31" t="str">
            <v>MULHADI. HM., S.H.</v>
          </cell>
          <cell r="J31" t="str">
            <v>MULHADI HM</v>
          </cell>
          <cell r="K31" t="str">
            <v>0361657840</v>
          </cell>
          <cell r="L31" t="str">
            <v>BNI</v>
          </cell>
          <cell r="M31" t="str">
            <v>Analis Kelembagaan</v>
          </cell>
          <cell r="N31">
            <v>22777</v>
          </cell>
          <cell r="O31" t="str">
            <v>Pengadministrasi Tenaga Dosen pada Seksi Ketenagaan pada Bidang Akademik, Kemahasiswaan, dan Ketenagaan</v>
          </cell>
          <cell r="P31" t="str">
            <v>Pengadministrasi Peningkatan Kualifikasi Pendidik dan Tenaga Kependidikan</v>
          </cell>
        </row>
        <row r="32">
          <cell r="B32" t="str">
            <v>Norsanty</v>
          </cell>
          <cell r="C32" t="str">
            <v>196411031992032001</v>
          </cell>
          <cell r="D32" t="str">
            <v>3276054311640005</v>
          </cell>
          <cell r="E32" t="str">
            <v>686766484412000</v>
          </cell>
          <cell r="F32" t="str">
            <v>PNS ,III/c</v>
          </cell>
          <cell r="G32" t="str">
            <v>Penata Tingkat I</v>
          </cell>
          <cell r="H32" t="str">
            <v>PNS</v>
          </cell>
          <cell r="I32" t="str">
            <v>NORSANTY, S.KOM</v>
          </cell>
          <cell r="J32" t="str">
            <v>IBU NORSANTY</v>
          </cell>
          <cell r="K32" t="str">
            <v>0436554114</v>
          </cell>
          <cell r="L32" t="str">
            <v>BNI</v>
          </cell>
          <cell r="M32" t="str">
            <v>Kepala Bagian Umum</v>
          </cell>
          <cell r="N32">
            <v>26835</v>
          </cell>
          <cell r="O32" t="str">
            <v>Anggota SPI</v>
          </cell>
          <cell r="P32" t="str">
            <v>Anggota Tim SPI</v>
          </cell>
        </row>
        <row r="33">
          <cell r="B33" t="str">
            <v>Noviyanto</v>
          </cell>
          <cell r="C33" t="str">
            <v>198111262008121001</v>
          </cell>
          <cell r="D33" t="str">
            <v>3275112611810004</v>
          </cell>
          <cell r="E33" t="str">
            <v>253270904432000</v>
          </cell>
          <cell r="F33" t="str">
            <v>PNS ,III/d</v>
          </cell>
          <cell r="G33" t="str">
            <v xml:space="preserve">Penata </v>
          </cell>
          <cell r="H33" t="str">
            <v>PNS</v>
          </cell>
          <cell r="I33" t="str">
            <v>NOVIYANTO, ST</v>
          </cell>
          <cell r="J33" t="str">
            <v>NOVIYANTO</v>
          </cell>
          <cell r="K33" t="str">
            <v>0172856645</v>
          </cell>
          <cell r="L33" t="str">
            <v>BNI</v>
          </cell>
          <cell r="M33" t="str">
            <v>JF- Pranata Komputer Ahli Muda</v>
          </cell>
          <cell r="N33" t="str">
            <v>-</v>
          </cell>
          <cell r="O33" t="str">
            <v>-</v>
          </cell>
          <cell r="P33" t="str">
            <v>Pramubakti PPNPN</v>
          </cell>
        </row>
        <row r="34">
          <cell r="B34" t="str">
            <v>Nur Fadillah</v>
          </cell>
          <cell r="C34" t="str">
            <v>198603192009122000</v>
          </cell>
          <cell r="D34" t="str">
            <v>3275045903860013</v>
          </cell>
          <cell r="E34" t="str">
            <v>348345349432000</v>
          </cell>
          <cell r="F34" t="str">
            <v>PNS ,III/c</v>
          </cell>
          <cell r="G34" t="str">
            <v xml:space="preserve">Penata </v>
          </cell>
          <cell r="H34" t="str">
            <v>PNS</v>
          </cell>
          <cell r="I34" t="str">
            <v>NUR FADILLAH, S.IP</v>
          </cell>
          <cell r="J34" t="str">
            <v>NUR FADILAH</v>
          </cell>
          <cell r="K34" t="str">
            <v>0197301149</v>
          </cell>
          <cell r="L34" t="str">
            <v>BNI</v>
          </cell>
          <cell r="M34" t="str">
            <v>Pengelola Keuangan</v>
          </cell>
          <cell r="N34">
            <v>23681</v>
          </cell>
          <cell r="O34" t="str">
            <v>Pengolah Data Kelembagaan, dan Kerja Sama pada Seksi Kelembagaan, dan Kerjasama pada Bidang Kelembagaan, dan Sistem Informasi</v>
          </cell>
          <cell r="P34" t="str">
            <v>Pengolah Data</v>
          </cell>
        </row>
        <row r="35">
          <cell r="B35" t="str">
            <v>Nurul Amalia Putri</v>
          </cell>
          <cell r="C35" t="str">
            <v>-</v>
          </cell>
          <cell r="D35" t="str">
            <v>3275085512960003</v>
          </cell>
          <cell r="E35" t="str">
            <v>866477516447000</v>
          </cell>
          <cell r="F35" t="str">
            <v>Non PNS</v>
          </cell>
          <cell r="G35" t="str">
            <v>-</v>
          </cell>
          <cell r="H35" t="str">
            <v>PPNPN</v>
          </cell>
          <cell r="I35" t="str">
            <v>-</v>
          </cell>
          <cell r="J35" t="str">
            <v xml:space="preserve">SDRI NURUL AMALIA PUTRI 
</v>
          </cell>
          <cell r="K35" t="str">
            <v>0791876430</v>
          </cell>
          <cell r="L35" t="str">
            <v>BNI</v>
          </cell>
          <cell r="M35" t="str">
            <v>Sekretaris PPNPN</v>
          </cell>
          <cell r="N35">
            <v>23081</v>
          </cell>
          <cell r="O35" t="str">
            <v xml:space="preserve">Penata Usaha Pimpinan pada Sub. Bagian Tata Usaha pada Bagian Umum        </v>
          </cell>
          <cell r="P35" t="str">
            <v>Pengolah Data</v>
          </cell>
        </row>
        <row r="36">
          <cell r="B36" t="str">
            <v>Nurul Fajri</v>
          </cell>
          <cell r="C36" t="str">
            <v>199409272019032028</v>
          </cell>
          <cell r="D36" t="str">
            <v>3275116709940006</v>
          </cell>
          <cell r="E36" t="str">
            <v>-</v>
          </cell>
          <cell r="F36" t="str">
            <v>PNS ,II/c</v>
          </cell>
          <cell r="G36" t="str">
            <v>Pengatur</v>
          </cell>
          <cell r="H36" t="str">
            <v>PNS</v>
          </cell>
          <cell r="I36" t="str">
            <v>NURUL FAJRI, A.Md.</v>
          </cell>
          <cell r="J36" t="str">
            <v>NURUL FAJRI</v>
          </cell>
          <cell r="K36" t="str">
            <v>0824967197</v>
          </cell>
          <cell r="L36" t="str">
            <v>BNI</v>
          </cell>
          <cell r="M36" t="str">
            <v>Pengelola Informasi Kerjasama</v>
          </cell>
          <cell r="N36">
            <v>30885</v>
          </cell>
          <cell r="O36" t="str">
            <v>Analis Kompetensi dan Kualifikasi Ketenagaan pada Seksi Ketenagaan pada Bidang Akademik, Kemahasiswaan, dan Ketenagaan</v>
          </cell>
          <cell r="P36" t="str">
            <v>Kepala Subbagian Perencanaan dan Penganggaran</v>
          </cell>
        </row>
        <row r="37">
          <cell r="B37" t="str">
            <v>Paristiyanti Nurwardani</v>
          </cell>
          <cell r="C37" t="str">
            <v>196305071990022001</v>
          </cell>
          <cell r="D37" t="str">
            <v>3203014705630016</v>
          </cell>
          <cell r="E37" t="str">
            <v>259754364406000</v>
          </cell>
          <cell r="F37" t="str">
            <v>PNS ,IV/d</v>
          </cell>
          <cell r="G37" t="str">
            <v>Pembina Utama Madya</v>
          </cell>
          <cell r="H37" t="str">
            <v>PNS</v>
          </cell>
          <cell r="J37" t="str">
            <v>Paristiyanti Nurwardani</v>
          </cell>
          <cell r="K37" t="str">
            <v>1330097022735</v>
          </cell>
          <cell r="L37" t="str">
            <v>Mandiri</v>
          </cell>
          <cell r="M37" t="str">
            <v>Kepala Lembaga LLDIKTI Wilayah III Jakarta</v>
          </cell>
          <cell r="N37" t="str">
            <v>-</v>
          </cell>
          <cell r="O37" t="str">
            <v>-</v>
          </cell>
          <cell r="P37" t="str">
            <v>Pengelola Kelembagaan PPNPN</v>
          </cell>
        </row>
        <row r="38">
          <cell r="B38" t="str">
            <v>Prayitno</v>
          </cell>
          <cell r="C38" t="str">
            <v>-</v>
          </cell>
          <cell r="D38" t="str">
            <v>3174082203800005</v>
          </cell>
          <cell r="E38" t="str">
            <v>695075515061000</v>
          </cell>
          <cell r="F38" t="str">
            <v>Non PNS</v>
          </cell>
          <cell r="G38" t="str">
            <v>-</v>
          </cell>
          <cell r="H38" t="str">
            <v>PPNPN</v>
          </cell>
          <cell r="I38" t="str">
            <v>-</v>
          </cell>
          <cell r="J38" t="str">
            <v>Bpk Prayitno</v>
          </cell>
          <cell r="K38" t="str">
            <v>0688730614</v>
          </cell>
          <cell r="L38" t="str">
            <v>BNI</v>
          </cell>
          <cell r="M38" t="str">
            <v>Staff PPNPN</v>
          </cell>
          <cell r="N38">
            <v>33701</v>
          </cell>
          <cell r="O38" t="str">
            <v>Analis Kelembagaan dan Kerja Sama pada Seksi Kelembagaan, dan Kerjasama pada Bidang Kelembagaan, dan Sistem Informasi</v>
          </cell>
          <cell r="P38" t="str">
            <v>Analis Kelembagaan</v>
          </cell>
        </row>
        <row r="39">
          <cell r="B39" t="str">
            <v>Prita Ekasari</v>
          </cell>
          <cell r="C39" t="str">
            <v>198410142009122008</v>
          </cell>
          <cell r="D39" t="str">
            <v>3275035410840016</v>
          </cell>
          <cell r="E39" t="str">
            <v>599515301407000</v>
          </cell>
          <cell r="F39" t="str">
            <v>PNS ,III/d</v>
          </cell>
          <cell r="G39" t="str">
            <v xml:space="preserve">Penata </v>
          </cell>
          <cell r="H39" t="str">
            <v>PNS</v>
          </cell>
          <cell r="I39" t="str">
            <v>PRITA EKASARI, ST</v>
          </cell>
          <cell r="J39" t="str">
            <v>PRITA EKASARI</v>
          </cell>
          <cell r="K39" t="str">
            <v>0197304242</v>
          </cell>
          <cell r="L39" t="str">
            <v>BNI</v>
          </cell>
          <cell r="M39" t="str">
            <v>JF- Analis Kepegawaian Ahli Muda</v>
          </cell>
          <cell r="N39">
            <v>23684</v>
          </cell>
          <cell r="O39" t="str">
            <v>Kepala Seksi Sistem Informasi pada Bidang Kelembagaan, dan Sistem Informasi</v>
          </cell>
          <cell r="P39" t="str">
            <v>Kepala Bagian Kelembagaan, dan Sistem Informasi</v>
          </cell>
        </row>
        <row r="40">
          <cell r="B40" t="str">
            <v>Putri Romi Eka Cikitha</v>
          </cell>
          <cell r="C40" t="str">
            <v>-</v>
          </cell>
          <cell r="D40" t="str">
            <v>3175104206980003</v>
          </cell>
          <cell r="E40" t="str">
            <v>411372519447000</v>
          </cell>
          <cell r="F40" t="str">
            <v>Non PNS</v>
          </cell>
          <cell r="H40" t="str">
            <v>PPNPN</v>
          </cell>
          <cell r="J40" t="str">
            <v xml:space="preserve">SDRI PUTRI ROMI EKA CIKITHA 
</v>
          </cell>
          <cell r="K40" t="str">
            <v>0899712083</v>
          </cell>
          <cell r="L40" t="str">
            <v>BNI</v>
          </cell>
          <cell r="M40" t="str">
            <v>Staff PPNPN</v>
          </cell>
          <cell r="N40">
            <v>29916</v>
          </cell>
          <cell r="O40" t="str">
            <v>Analis Sistem Informasi pada Seksi Sistem Informasi pada Bidang Kelembagaan, dan Sistem Informasi</v>
          </cell>
          <cell r="P40" t="str">
            <v>Kepala Subbagian Sistem Informasi dan Kerja Sama</v>
          </cell>
        </row>
        <row r="41">
          <cell r="B41" t="str">
            <v>Raafita Agustiana</v>
          </cell>
          <cell r="C41" t="str">
            <v>198508282010122004</v>
          </cell>
          <cell r="D41" t="str">
            <v>3578036808850002</v>
          </cell>
          <cell r="E41" t="str">
            <v>255713943615000</v>
          </cell>
          <cell r="F41" t="str">
            <v>PNS ,III/c</v>
          </cell>
          <cell r="G41" t="str">
            <v xml:space="preserve">Penata </v>
          </cell>
          <cell r="H41" t="str">
            <v>PNS</v>
          </cell>
          <cell r="I41" t="str">
            <v>RAAFITA AGUSTIANA, SE</v>
          </cell>
          <cell r="J41" t="str">
            <v>RAAFITA AGUSTIANA</v>
          </cell>
          <cell r="K41" t="str">
            <v>0220706377</v>
          </cell>
          <cell r="L41" t="str">
            <v>BNI</v>
          </cell>
          <cell r="M41" t="str">
            <v>Penyusun Program Pembinaan Organisasi Kemahasiswaan</v>
          </cell>
          <cell r="N41">
            <v>31490</v>
          </cell>
          <cell r="O41" t="str">
            <v>Penata Dokumen Keuangan pada Sub. Bagian Keuangan pada Bagian Umum</v>
          </cell>
          <cell r="P41" t="str">
            <v>Pengelola Keuangan</v>
          </cell>
        </row>
        <row r="42">
          <cell r="B42" t="str">
            <v>Ririh Diyah Pratista</v>
          </cell>
          <cell r="C42" t="str">
            <v>198708192009122006</v>
          </cell>
          <cell r="D42" t="str">
            <v>3273230208830004</v>
          </cell>
          <cell r="E42" t="str">
            <v>909024275542000</v>
          </cell>
          <cell r="F42" t="str">
            <v>PNS ,II/c</v>
          </cell>
          <cell r="G42" t="str">
            <v>Pengatur</v>
          </cell>
          <cell r="H42" t="str">
            <v>PNS</v>
          </cell>
          <cell r="I42" t="str">
            <v>RIRIH DIYAH PRATISTA, A.Md.</v>
          </cell>
          <cell r="J42" t="str">
            <v>Sdri RIRIH DIYAH PRATISTA</v>
          </cell>
          <cell r="K42" t="str">
            <v>0824967211</v>
          </cell>
          <cell r="L42" t="str">
            <v>BNI</v>
          </cell>
          <cell r="M42" t="str">
            <v>Pengelola Barang Milik Negara</v>
          </cell>
          <cell r="N42" t="str">
            <v>-</v>
          </cell>
          <cell r="O42" t="str">
            <v>-</v>
          </cell>
          <cell r="P42" t="str">
            <v>Sekretaris PPNPN</v>
          </cell>
        </row>
        <row r="43">
          <cell r="B43" t="str">
            <v>Risma Testir</v>
          </cell>
          <cell r="C43" t="str">
            <v>199412132019032000</v>
          </cell>
          <cell r="D43" t="str">
            <v>1246321236910331</v>
          </cell>
          <cell r="E43" t="str">
            <v>912875820203000</v>
          </cell>
          <cell r="F43" t="str">
            <v>PNS ,II/c</v>
          </cell>
          <cell r="G43" t="str">
            <v>Pengatur</v>
          </cell>
          <cell r="H43" t="str">
            <v>PNS</v>
          </cell>
          <cell r="I43" t="str">
            <v>RISMA TESTIR, A.Md.</v>
          </cell>
          <cell r="J43" t="str">
            <v>RISMA TESTIR</v>
          </cell>
          <cell r="K43" t="str">
            <v>0824967233</v>
          </cell>
          <cell r="L43" t="str">
            <v>BNI</v>
          </cell>
          <cell r="M43" t="str">
            <v>Pengelola Kepegawaian</v>
          </cell>
          <cell r="N43">
            <v>34604</v>
          </cell>
          <cell r="O43" t="str">
            <v>-</v>
          </cell>
          <cell r="P43" t="str">
            <v>Pengelola Informasi Kerjasama</v>
          </cell>
        </row>
        <row r="44">
          <cell r="B44" t="str">
            <v>Sarmedi</v>
          </cell>
          <cell r="C44" t="str">
            <v>-</v>
          </cell>
          <cell r="D44" t="str">
            <v>3173012602790005</v>
          </cell>
          <cell r="E44" t="str">
            <v>722755436034000</v>
          </cell>
          <cell r="F44" t="str">
            <v>Non PNS</v>
          </cell>
          <cell r="G44" t="str">
            <v>-</v>
          </cell>
          <cell r="H44" t="str">
            <v>PPNPN</v>
          </cell>
          <cell r="I44" t="str">
            <v>SARMEDI</v>
          </cell>
          <cell r="J44" t="str">
            <v>SARMEDI</v>
          </cell>
          <cell r="K44" t="str">
            <v>0488466215</v>
          </cell>
          <cell r="L44" t="str">
            <v>BNI</v>
          </cell>
          <cell r="M44" t="str">
            <v>PPNPN Pengemudi</v>
          </cell>
          <cell r="N44" t="str">
            <v>-</v>
          </cell>
          <cell r="O44" t="str">
            <v>-</v>
          </cell>
          <cell r="P44" t="str">
            <v>Pengadministrasi Perpajakan PPNPN</v>
          </cell>
        </row>
        <row r="45">
          <cell r="B45" t="str">
            <v>Sigit Nugroho</v>
          </cell>
          <cell r="C45" t="str">
            <v>-</v>
          </cell>
          <cell r="D45" t="str">
            <v>3175062607960004</v>
          </cell>
          <cell r="E45" t="str">
            <v>865743249004000</v>
          </cell>
          <cell r="F45" t="str">
            <v>Non PNS</v>
          </cell>
          <cell r="G45" t="str">
            <v>-</v>
          </cell>
          <cell r="H45" t="str">
            <v>PPNPN</v>
          </cell>
          <cell r="I45" t="str">
            <v>-</v>
          </cell>
          <cell r="J45" t="str">
            <v xml:space="preserve">SDR SIGIT NUGROHO 
</v>
          </cell>
          <cell r="K45" t="str">
            <v>0770053567</v>
          </cell>
          <cell r="L45" t="str">
            <v>BNI</v>
          </cell>
          <cell r="M45" t="str">
            <v>Staff PPNPN</v>
          </cell>
          <cell r="N45">
            <v>30969</v>
          </cell>
          <cell r="O45" t="str">
            <v>-</v>
          </cell>
          <cell r="P45" t="str">
            <v>Analis Kualifikasi Dan Karir Pendidik Dan Tenaga Kependidikan</v>
          </cell>
        </row>
        <row r="46">
          <cell r="B46" t="str">
            <v>Siswadi</v>
          </cell>
          <cell r="C46" t="str">
            <v>196409151994121001</v>
          </cell>
          <cell r="D46" t="str">
            <v>3175071509640011</v>
          </cell>
          <cell r="E46" t="str">
            <v>688766252008000</v>
          </cell>
          <cell r="F46" t="str">
            <v>PNS ,III/b</v>
          </cell>
          <cell r="G46" t="str">
            <v>Penata Muda</v>
          </cell>
          <cell r="H46" t="str">
            <v>PNS</v>
          </cell>
          <cell r="I46" t="str">
            <v>SISWADI</v>
          </cell>
          <cell r="J46" t="str">
            <v>SISWADI</v>
          </cell>
          <cell r="K46" t="str">
            <v>0008598750</v>
          </cell>
          <cell r="L46" t="str">
            <v>BNI</v>
          </cell>
          <cell r="M46" t="str">
            <v>Pengadministrasi Pendidik dan Tenaga Kependidikan</v>
          </cell>
          <cell r="N46">
            <v>23197</v>
          </cell>
          <cell r="O46" t="str">
            <v xml:space="preserve">Pengadministrasi Barang Milik Negara pada Sub. Bagian Tata Usaha pada Bagian Umum                               </v>
          </cell>
          <cell r="P46" t="str">
            <v>Pengadministrasi Umum</v>
          </cell>
        </row>
        <row r="47">
          <cell r="B47" t="str">
            <v>Siswanto</v>
          </cell>
          <cell r="C47" t="str">
            <v>196701181992031003</v>
          </cell>
          <cell r="D47" t="str">
            <v>3275111801670001</v>
          </cell>
          <cell r="E47" t="str">
            <v>092521178407000</v>
          </cell>
          <cell r="F47" t="str">
            <v>PNS ,III/d</v>
          </cell>
          <cell r="G47" t="str">
            <v>Penata Tingkat I</v>
          </cell>
          <cell r="H47" t="str">
            <v>PNS</v>
          </cell>
          <cell r="I47" t="str">
            <v>SISWANTO, SE</v>
          </cell>
          <cell r="J47" t="str">
            <v>SISWANTO</v>
          </cell>
          <cell r="K47" t="str">
            <v>0214922525</v>
          </cell>
          <cell r="L47" t="str">
            <v>BNI</v>
          </cell>
          <cell r="M47" t="str">
            <v>JF - Analis Anggaran Ahli Muda</v>
          </cell>
          <cell r="N47">
            <v>31287</v>
          </cell>
          <cell r="O47" t="str">
            <v>Analis Pelaksanaan Akademik dan Kemahasiswaan pada Seksi Akademik, dan Kemahasiswaan pada Bidang Akademik, Kemahasiswaan, dan Ketenagaan</v>
          </cell>
          <cell r="P47" t="str">
            <v>Penyusun Program Pembinaan Organisasi Kemahasiswaan</v>
          </cell>
        </row>
        <row r="48">
          <cell r="B48" t="str">
            <v>Siti Sulastri</v>
          </cell>
          <cell r="C48" t="str">
            <v>196407041988032001</v>
          </cell>
          <cell r="D48" t="str">
            <v>3275124407640001</v>
          </cell>
          <cell r="E48" t="str">
            <v>688766476432000</v>
          </cell>
          <cell r="F48" t="str">
            <v>PNS ,III/c</v>
          </cell>
          <cell r="G48" t="str">
            <v>Penata Muda Tingkat I</v>
          </cell>
          <cell r="H48" t="str">
            <v>PNS</v>
          </cell>
          <cell r="I48" t="str">
            <v>SITI SULASTRI, SE</v>
          </cell>
          <cell r="J48" t="str">
            <v>SITI SULASTRI</v>
          </cell>
          <cell r="K48" t="str">
            <v>0008491636</v>
          </cell>
          <cell r="L48" t="str">
            <v>BNI</v>
          </cell>
          <cell r="M48" t="str">
            <v>Pengelola Sistem Informasi</v>
          </cell>
          <cell r="N48">
            <v>35131</v>
          </cell>
          <cell r="O48" t="str">
            <v>-</v>
          </cell>
          <cell r="P48" t="str">
            <v>Pengelola Kepegawaian</v>
          </cell>
        </row>
        <row r="49">
          <cell r="B49" t="str">
            <v>Sri Mastuti</v>
          </cell>
          <cell r="C49" t="str">
            <v>196305161989022001</v>
          </cell>
          <cell r="D49" t="str">
            <v>3276105605630002</v>
          </cell>
          <cell r="E49" t="str">
            <v>688754316072000</v>
          </cell>
          <cell r="F49" t="str">
            <v>PNS ,III/c</v>
          </cell>
          <cell r="G49" t="str">
            <v>Pembina</v>
          </cell>
          <cell r="H49" t="str">
            <v>PNS</v>
          </cell>
          <cell r="I49" t="str">
            <v>SRI MASTUTI, S.KOM.M.KOM</v>
          </cell>
          <cell r="J49" t="str">
            <v>SRI MASTUTI, SKOM</v>
          </cell>
          <cell r="K49" t="str">
            <v>0008484517</v>
          </cell>
          <cell r="L49" t="str">
            <v>BNI</v>
          </cell>
          <cell r="M49" t="str">
            <v>JF- Analis Kepegawaian Ahli Madya</v>
          </cell>
          <cell r="N49">
            <v>34681</v>
          </cell>
          <cell r="O49" t="str">
            <v>-</v>
          </cell>
          <cell r="P49" t="str">
            <v>Pengelola Kepegawaian</v>
          </cell>
        </row>
        <row r="50">
          <cell r="B50" t="str">
            <v>Suherman</v>
          </cell>
          <cell r="C50" t="str">
            <v>196403131987031002</v>
          </cell>
          <cell r="D50" t="str">
            <v>3603311303640001</v>
          </cell>
          <cell r="E50" t="str">
            <v>688766732451000</v>
          </cell>
          <cell r="F50" t="str">
            <v>PNS ,III/d</v>
          </cell>
          <cell r="G50" t="str">
            <v>Penata Tingkat I</v>
          </cell>
          <cell r="H50" t="str">
            <v>PNS</v>
          </cell>
          <cell r="I50" t="str">
            <v>SUHERMAN</v>
          </cell>
          <cell r="J50" t="str">
            <v>SUHERMAN</v>
          </cell>
          <cell r="K50" t="str">
            <v>0008226849</v>
          </cell>
          <cell r="L50" t="str">
            <v>BNI</v>
          </cell>
          <cell r="M50" t="str">
            <v>Pengelola Gaji</v>
          </cell>
          <cell r="N50" t="str">
            <v>-</v>
          </cell>
          <cell r="O50" t="str">
            <v>-</v>
          </cell>
          <cell r="P50" t="str">
            <v>Pengemudi PPNPN</v>
          </cell>
        </row>
        <row r="51">
          <cell r="B51" t="str">
            <v>Sukiyana</v>
          </cell>
          <cell r="C51" t="str">
            <v>196812081989021001</v>
          </cell>
          <cell r="D51" t="str">
            <v>3175080126800011</v>
          </cell>
          <cell r="E51" t="str">
            <v>688766344005000</v>
          </cell>
          <cell r="F51" t="str">
            <v>PNS ,II/d</v>
          </cell>
          <cell r="G51" t="str">
            <v>Pengatur</v>
          </cell>
          <cell r="H51" t="str">
            <v>PNS</v>
          </cell>
          <cell r="I51" t="str">
            <v>SUKIYANA</v>
          </cell>
          <cell r="J51" t="str">
            <v>SUKIYANA</v>
          </cell>
          <cell r="K51" t="str">
            <v>0008226769</v>
          </cell>
          <cell r="L51" t="str">
            <v>BNI</v>
          </cell>
          <cell r="M51" t="str">
            <v>Teknisi Peralatan Kantor</v>
          </cell>
          <cell r="N51" t="str">
            <v>-</v>
          </cell>
          <cell r="O51" t="str">
            <v>-</v>
          </cell>
          <cell r="P51" t="str">
            <v>Penyusun Bahan Publikasi PPNPN</v>
          </cell>
        </row>
        <row r="52">
          <cell r="B52" t="str">
            <v>Suparman</v>
          </cell>
          <cell r="C52" t="str">
            <v>196705191987031006</v>
          </cell>
          <cell r="D52" t="str">
            <v>3175061905670001</v>
          </cell>
          <cell r="E52" t="str">
            <v>755960788004000</v>
          </cell>
          <cell r="F52" t="str">
            <v>PNS ,III/b</v>
          </cell>
          <cell r="G52" t="str">
            <v>-</v>
          </cell>
          <cell r="H52" t="str">
            <v>PNS</v>
          </cell>
          <cell r="I52" t="str">
            <v>SUPARMAN</v>
          </cell>
          <cell r="J52" t="str">
            <v>SUPARMAN</v>
          </cell>
          <cell r="K52" t="str">
            <v>0008226985</v>
          </cell>
          <cell r="L52" t="str">
            <v>BNI</v>
          </cell>
          <cell r="M52" t="str">
            <v>Pengadministrasi Kepegawaian</v>
          </cell>
          <cell r="N52">
            <v>23635</v>
          </cell>
          <cell r="O52" t="str">
            <v>Pengemudi pada Sub. Bagian Tata Usaha pada Bagian Umum</v>
          </cell>
          <cell r="P52" t="str">
            <v>Pengadministrasi Persuratan</v>
          </cell>
        </row>
        <row r="53">
          <cell r="B53" t="str">
            <v>Suratmi</v>
          </cell>
          <cell r="C53" t="str">
            <v>196809101986112001</v>
          </cell>
          <cell r="D53" t="str">
            <v>3276105009680001</v>
          </cell>
          <cell r="E53" t="str">
            <v>688718410412000</v>
          </cell>
          <cell r="F53" t="str">
            <v>PNS ,III/b</v>
          </cell>
          <cell r="G53" t="str">
            <v>Penata Muda Tingkat I</v>
          </cell>
          <cell r="H53" t="str">
            <v>PNS</v>
          </cell>
          <cell r="I53" t="str">
            <v>SURATMI</v>
          </cell>
          <cell r="J53" t="str">
            <v>SURATMI</v>
          </cell>
          <cell r="K53" t="str">
            <v>0201697456</v>
          </cell>
          <cell r="L53" t="str">
            <v>BNI</v>
          </cell>
          <cell r="M53" t="str">
            <v>Pengadministrasi Pendidik dan Tenaga Kependidikan</v>
          </cell>
          <cell r="N53">
            <v>24490</v>
          </cell>
          <cell r="O53" t="str">
            <v>Penyusun Laporan Keuangan  pada Sub. Bagian Keuangan pada Bagian Umum</v>
          </cell>
          <cell r="P53" t="str">
            <v>Kepala Subbagian Kemahasiswaan</v>
          </cell>
        </row>
        <row r="54">
          <cell r="B54" t="str">
            <v>Syarifudin</v>
          </cell>
          <cell r="C54" t="str">
            <v>196706061988031004</v>
          </cell>
          <cell r="D54" t="str">
            <v>3173010606700018</v>
          </cell>
          <cell r="E54" t="str">
            <v>688766534034000</v>
          </cell>
          <cell r="F54" t="str">
            <v>PNS ,III/b</v>
          </cell>
          <cell r="G54" t="str">
            <v>Penata Muda Tingkat I</v>
          </cell>
          <cell r="H54" t="str">
            <v>PNS</v>
          </cell>
          <cell r="I54" t="str">
            <v>SYARIFUDIN, S.SOS</v>
          </cell>
          <cell r="J54" t="str">
            <v>SYARIFUDIN, S.SOS</v>
          </cell>
          <cell r="K54" t="str">
            <v>0008226929</v>
          </cell>
          <cell r="L54" t="str">
            <v>BNI</v>
          </cell>
          <cell r="M54" t="str">
            <v>Sekretaris</v>
          </cell>
          <cell r="N54">
            <v>23562</v>
          </cell>
          <cell r="O54" t="str">
            <v>Penyusun Dokumentasi dan Publikasi pada Seksi Sistem Informasi pada Bidang Kelembagaan, dan Sistem Informasi</v>
          </cell>
          <cell r="P54" t="str">
            <v>Pengelola Sistem Informasi</v>
          </cell>
        </row>
        <row r="55">
          <cell r="B55" t="str">
            <v>Sofia Aulia Rizki</v>
          </cell>
          <cell r="C55" t="str">
            <v>-</v>
          </cell>
          <cell r="D55" t="str">
            <v>3201016102980007</v>
          </cell>
          <cell r="E55" t="str">
            <v>632438081403000</v>
          </cell>
          <cell r="F55" t="str">
            <v>Non PNS</v>
          </cell>
          <cell r="H55" t="str">
            <v>PPNPN</v>
          </cell>
          <cell r="J55" t="str">
            <v xml:space="preserve">SOFIA RIZKI AULIA 
</v>
          </cell>
          <cell r="K55" t="str">
            <v>0754045057</v>
          </cell>
          <cell r="L55" t="str">
            <v>BNI</v>
          </cell>
          <cell r="M55" t="str">
            <v>Staff PPNPN</v>
          </cell>
          <cell r="N55">
            <v>23147</v>
          </cell>
          <cell r="O55" t="str">
            <v>Kepala Seksi Kelembagaan, dan Kerjasama pada Bidang Kelembagaan, dan Sistem Informasi</v>
          </cell>
          <cell r="P55" t="str">
            <v>Kepala Bagian Sumber Daya Perguruan Tinggi</v>
          </cell>
        </row>
        <row r="56">
          <cell r="B56" t="str">
            <v>Taufan Setyo Pranggono</v>
          </cell>
          <cell r="C56" t="str">
            <v>198303162010121006</v>
          </cell>
          <cell r="D56" t="str">
            <v>3275051603830019</v>
          </cell>
          <cell r="E56" t="str">
            <v>367289113432000</v>
          </cell>
          <cell r="F56" t="str">
            <v>PNS ,III/c</v>
          </cell>
          <cell r="G56" t="str">
            <v>Penata</v>
          </cell>
          <cell r="H56" t="str">
            <v>PNS</v>
          </cell>
          <cell r="I56" t="str">
            <v>TAUFAN SETYO PRANGGONO, S.KOM</v>
          </cell>
          <cell r="J56" t="str">
            <v>TAUFAN SETYO PRANGGONO, S.KOM</v>
          </cell>
          <cell r="K56" t="str">
            <v>0221963721</v>
          </cell>
          <cell r="L56" t="str">
            <v>BNI</v>
          </cell>
          <cell r="M56" t="str">
            <v>JF - Analis Kepegawaian Ahli Muda</v>
          </cell>
          <cell r="N56">
            <v>23072</v>
          </cell>
          <cell r="O56" t="str">
            <v>Pengolah Data Kelembagaan, dan Kerja Sama pada Seksi Kelembagaan, dan Kerjasama pada Bidang Kelembagaan, dan Sistem Informasi</v>
          </cell>
          <cell r="P56" t="str">
            <v>Kepala Subbagian Sarana dan Prasarana</v>
          </cell>
        </row>
        <row r="57">
          <cell r="B57" t="str">
            <v>Taufiq Alamsyah</v>
          </cell>
          <cell r="C57" t="str">
            <v>196507121988101001</v>
          </cell>
          <cell r="D57" t="str">
            <v>3201021207650008</v>
          </cell>
          <cell r="E57" t="str">
            <v>688766278403000</v>
          </cell>
          <cell r="F57" t="str">
            <v>PNS ,III/d</v>
          </cell>
          <cell r="G57" t="str">
            <v>Penata</v>
          </cell>
          <cell r="H57" t="str">
            <v>PNS</v>
          </cell>
          <cell r="I57" t="str">
            <v>TAUFIQ ALAMSYAH, SH</v>
          </cell>
          <cell r="J57" t="str">
            <v>TAUFIQ ALAMSYAH, SH</v>
          </cell>
          <cell r="K57" t="str">
            <v>0008599038</v>
          </cell>
          <cell r="L57" t="str">
            <v>BNI</v>
          </cell>
          <cell r="M57" t="str">
            <v>JF- Pengelola Pengadaan Barang Jasa Ahli Muda</v>
          </cell>
          <cell r="N57">
            <v>23449</v>
          </cell>
          <cell r="O57" t="str">
            <v>Pengolah Data Keuangan pada Sub. Bagian Keuangan pada Bagian Umum</v>
          </cell>
          <cell r="P57" t="str">
            <v>Pengelola Gaji</v>
          </cell>
        </row>
        <row r="58">
          <cell r="B58" t="str">
            <v>Titah Widihastuti</v>
          </cell>
          <cell r="C58" t="str">
            <v>198312302010122003</v>
          </cell>
          <cell r="D58" t="str">
            <v>3175107012830004</v>
          </cell>
          <cell r="E58" t="str">
            <v>678780578009000</v>
          </cell>
          <cell r="F58" t="str">
            <v>PNS ,III/c</v>
          </cell>
          <cell r="G58" t="str">
            <v>Penata Tingkat I</v>
          </cell>
          <cell r="H58" t="str">
            <v>PNS</v>
          </cell>
          <cell r="I58" t="str">
            <v>TITAH WIDIHASTUTI, ST</v>
          </cell>
          <cell r="J58" t="str">
            <v>TITAH WIDIHASTUTI</v>
          </cell>
          <cell r="K58" t="str">
            <v>0218584998</v>
          </cell>
          <cell r="L58" t="str">
            <v>BNI</v>
          </cell>
          <cell r="M58" t="str">
            <v>Analis Sistem Informasi</v>
          </cell>
          <cell r="N58">
            <v>23358</v>
          </cell>
          <cell r="O58" t="str">
            <v xml:space="preserve">Pengadministrasi Persuratan pada Sub. Bagian Tata Usaha pada Bagian Umum  </v>
          </cell>
          <cell r="P58" t="str">
            <v>Pengadministrasi Persuratan</v>
          </cell>
        </row>
        <row r="59">
          <cell r="B59" t="str">
            <v>Tri Munanto</v>
          </cell>
          <cell r="C59" t="str">
            <v>198601212010121003</v>
          </cell>
          <cell r="D59" t="str">
            <v>3174102101860003</v>
          </cell>
          <cell r="E59" t="str">
            <v>248877086013000</v>
          </cell>
          <cell r="F59" t="str">
            <v>PNS ,III/c</v>
          </cell>
          <cell r="G59" t="str">
            <v>Penata</v>
          </cell>
          <cell r="H59" t="str">
            <v>PNS</v>
          </cell>
          <cell r="I59" t="str">
            <v>TRI MUNANTO, SE</v>
          </cell>
          <cell r="J59" t="str">
            <v>TRI MUNANTO</v>
          </cell>
          <cell r="K59" t="str">
            <v>0146384615</v>
          </cell>
          <cell r="L59" t="str">
            <v>BNI</v>
          </cell>
          <cell r="M59" t="str">
            <v>JF- Analis Kepegawaian Ahli Muda</v>
          </cell>
          <cell r="N59">
            <v>25180</v>
          </cell>
          <cell r="O59" t="str">
            <v>Petugas Keamanan pada Sub. Bagian Tata Usaha pada Bagian Umum</v>
          </cell>
          <cell r="P59" t="str">
            <v>Teknisi Peralatan Kantor</v>
          </cell>
        </row>
        <row r="60">
          <cell r="B60" t="str">
            <v>Welfird Phodra Sipahutar</v>
          </cell>
          <cell r="C60" t="str">
            <v>199506162019031003</v>
          </cell>
          <cell r="D60" t="str">
            <v>1276021606950001</v>
          </cell>
          <cell r="E60" t="str">
            <v>-</v>
          </cell>
          <cell r="F60" t="str">
            <v>PNS, II/c</v>
          </cell>
          <cell r="G60" t="str">
            <v>Pengatur</v>
          </cell>
          <cell r="H60" t="str">
            <v>PNS</v>
          </cell>
          <cell r="I60" t="str">
            <v>WELFRID PHEDRA SIPAHUTAR, A.Md.</v>
          </cell>
          <cell r="J60" t="str">
            <v>Sdr WELFRID PHEDRA SIPAHUTAR</v>
          </cell>
          <cell r="K60" t="str">
            <v>0824967186</v>
          </cell>
          <cell r="L60" t="str">
            <v>BNI</v>
          </cell>
          <cell r="M60" t="str">
            <v>Pengelola Keuangan</v>
          </cell>
          <cell r="N60">
            <v>23347</v>
          </cell>
          <cell r="O60" t="str">
            <v>Pengolah Data Kepegawaian pada Sub. Bagian Kepegawaian pada Bagian Umum</v>
          </cell>
          <cell r="P60" t="str">
            <v>Pengelola Kepegawaian</v>
          </cell>
        </row>
        <row r="61">
          <cell r="B61" t="str">
            <v>Wiji Murdoko</v>
          </cell>
          <cell r="C61" t="str">
            <v>1986103020199031004</v>
          </cell>
          <cell r="D61" t="str">
            <v>3519153010860001</v>
          </cell>
          <cell r="E61" t="str">
            <v>545306680621000</v>
          </cell>
          <cell r="F61" t="str">
            <v>PNS, III/a</v>
          </cell>
          <cell r="G61" t="str">
            <v>Penata Muda</v>
          </cell>
          <cell r="H61" t="str">
            <v>PNS</v>
          </cell>
          <cell r="I61" t="str">
            <v>WIJI MURDOKO, S.Kom</v>
          </cell>
          <cell r="J61" t="str">
            <v>Bpk WIJI MURDOKO</v>
          </cell>
          <cell r="K61" t="str">
            <v>0566632742</v>
          </cell>
          <cell r="L61" t="str">
            <v>BNI</v>
          </cell>
          <cell r="M61" t="str">
            <v>Penyusun Program Pembinaan Organisasi Kemahasiswaan</v>
          </cell>
          <cell r="N61">
            <v>24611</v>
          </cell>
          <cell r="O61" t="str">
            <v>Pemroses Mutasi Kepegawaian pada Sub. Bagian Kepegawaian pada Bagian Umum</v>
          </cell>
          <cell r="P61" t="str">
            <v>Pengadministrasi Umum</v>
          </cell>
        </row>
        <row r="62">
          <cell r="B62" t="str">
            <v>Wilhelmus Jeremy</v>
          </cell>
          <cell r="C62" t="str">
            <v>-</v>
          </cell>
          <cell r="D62" t="str">
            <v>3275030308980013</v>
          </cell>
          <cell r="E62" t="str">
            <v>410455828043000</v>
          </cell>
          <cell r="F62" t="str">
            <v>Non PNS</v>
          </cell>
          <cell r="H62" t="str">
            <v>PPNPN</v>
          </cell>
          <cell r="J62" t="str">
            <v xml:space="preserve">WILHELMUS JEREMY GOENAWAN 
</v>
          </cell>
          <cell r="K62" t="str">
            <v>1154150500</v>
          </cell>
          <cell r="L62" t="str">
            <v>BNI</v>
          </cell>
          <cell r="M62" t="str">
            <v>Staff PPNPN</v>
          </cell>
          <cell r="N62">
            <v>25091</v>
          </cell>
          <cell r="O62" t="str">
            <v>Pengadministrasi Tenaga Dosen pada Seksi Ketenagaan pada Bidang Akademik, Kemahasiswaan, dan Ketenagaan</v>
          </cell>
          <cell r="P62" t="str">
            <v>Pengadministrasi Peningkatan Kualifikasi Pendidik dan Tenaga Kependidikan</v>
          </cell>
        </row>
        <row r="63">
          <cell r="B63" t="str">
            <v>Yan Medya Putri</v>
          </cell>
          <cell r="C63" t="str">
            <v>197101162005012001</v>
          </cell>
          <cell r="D63" t="str">
            <v>3275095601710002</v>
          </cell>
          <cell r="E63" t="str">
            <v>594025884432000</v>
          </cell>
          <cell r="F63" t="str">
            <v>PNS, IV/a</v>
          </cell>
          <cell r="G63" t="str">
            <v>Pembina</v>
          </cell>
          <cell r="H63" t="str">
            <v>PNS</v>
          </cell>
          <cell r="I63" t="str">
            <v>YAN MEDYA PUTRI, SE</v>
          </cell>
          <cell r="J63" t="str">
            <v>YAN MEDYA PUTRI, SE</v>
          </cell>
          <cell r="K63" t="str">
            <v>0234941689</v>
          </cell>
          <cell r="L63" t="str">
            <v>BNI</v>
          </cell>
          <cell r="M63" t="str">
            <v>Analis Kebijakan Barang Milik Negara</v>
          </cell>
          <cell r="N63">
            <v>24629</v>
          </cell>
          <cell r="O63" t="str">
            <v xml:space="preserve">Penata Usaha Pimpinan pada Sub. Bagian Tata Usaha pada Bagian Umum        </v>
          </cell>
          <cell r="P63" t="str">
            <v>Sekretaris</v>
          </cell>
        </row>
        <row r="64">
          <cell r="B64" t="str">
            <v>Yeni Handayani</v>
          </cell>
          <cell r="C64" t="str">
            <v>198404022015042002</v>
          </cell>
          <cell r="D64" t="str">
            <v>3175014204840007</v>
          </cell>
          <cell r="E64" t="str">
            <v>472793371001000</v>
          </cell>
          <cell r="F64" t="str">
            <v>PNS, II/d</v>
          </cell>
          <cell r="G64" t="str">
            <v>Pengatur Tingkat I</v>
          </cell>
          <cell r="H64" t="str">
            <v>PNS</v>
          </cell>
          <cell r="I64" t="str">
            <v>YENI HANDAYANI, A.MD</v>
          </cell>
          <cell r="J64" t="str">
            <v>YENI HANDAYANI</v>
          </cell>
          <cell r="K64" t="str">
            <v>0397534031</v>
          </cell>
          <cell r="L64" t="str">
            <v>BNI</v>
          </cell>
          <cell r="M64" t="str">
            <v>Pengelola Sistem Informasi</v>
          </cell>
          <cell r="N64">
            <v>30391</v>
          </cell>
          <cell r="O64" t="str">
            <v>Analis Ketatalaksanaan pada Sub. Bagian Kepegawaian pada Bagian Umum</v>
          </cell>
          <cell r="P64" t="str">
            <v>Kepala Subbagian Hukum, Kepegawaian, dan Tata Laksana</v>
          </cell>
        </row>
        <row r="65">
          <cell r="B65" t="str">
            <v>Yudha Satria</v>
          </cell>
          <cell r="C65" t="str">
            <v>199207042019031013</v>
          </cell>
          <cell r="D65" t="str">
            <v>1371030407920004</v>
          </cell>
          <cell r="E65" t="str">
            <v>-</v>
          </cell>
          <cell r="F65" t="str">
            <v>PNS, III/a</v>
          </cell>
          <cell r="G65" t="str">
            <v>Penata Muda</v>
          </cell>
          <cell r="H65" t="str">
            <v>PNS</v>
          </cell>
          <cell r="I65" t="str">
            <v>YUDHA SATRIA</v>
          </cell>
          <cell r="J65" t="str">
            <v>Sdr YUDHA SATRIA</v>
          </cell>
          <cell r="K65" t="str">
            <v>0824967200</v>
          </cell>
          <cell r="L65" t="str">
            <v>BNI</v>
          </cell>
          <cell r="M65" t="str">
            <v>Penyusun Program Anggaran dan Pelaporan</v>
          </cell>
          <cell r="N65">
            <v>23935</v>
          </cell>
          <cell r="O65" t="str">
            <v>Analis Pelaksanaan Akademik dan Kemahasiswaan pada Seksi Akademik, dan Kemahasiswaan pada Bidang Akademik, Kemahasiswaan, dan Ketenagaan</v>
          </cell>
          <cell r="P65" t="str">
            <v xml:space="preserve">Kepala Subbagian Akademik </v>
          </cell>
        </row>
        <row r="66">
          <cell r="B66" t="str">
            <v>Yulianti AS</v>
          </cell>
          <cell r="C66" t="str">
            <v>196507041987032001</v>
          </cell>
          <cell r="D66" t="str">
            <v>3175094407650003</v>
          </cell>
          <cell r="E66" t="str">
            <v>184018083009000</v>
          </cell>
          <cell r="F66" t="str">
            <v>PNS, IV/a</v>
          </cell>
          <cell r="G66" t="str">
            <v>Penata Tingkat I</v>
          </cell>
          <cell r="H66" t="str">
            <v>PNS</v>
          </cell>
          <cell r="I66" t="str">
            <v>YULIANTI. AS,SE</v>
          </cell>
          <cell r="J66" t="str">
            <v>IBU YULIANTI IRIAWAN, SE</v>
          </cell>
          <cell r="K66" t="str">
            <v>0008599050</v>
          </cell>
          <cell r="L66" t="str">
            <v>BNI</v>
          </cell>
          <cell r="M66" t="str">
            <v>JF- Analis Pengelolaan APBN Ahli Madya</v>
          </cell>
          <cell r="N66">
            <v>30680</v>
          </cell>
          <cell r="O66" t="str">
            <v>Analis Sistem Informasi pada Seksi Sistem Informasi pada Bidang Kelembagaan, dan Sistem Informasi</v>
          </cell>
          <cell r="P66" t="str">
            <v>Analis Sistem Informasi</v>
          </cell>
        </row>
        <row r="67">
          <cell r="B67" t="str">
            <v>Zulfadli Barus</v>
          </cell>
          <cell r="C67" t="str">
            <v>195812141986031001</v>
          </cell>
          <cell r="D67" t="str">
            <v>3175021412580006</v>
          </cell>
          <cell r="E67" t="str">
            <v>053825923013000</v>
          </cell>
          <cell r="F67" t="str">
            <v>PNS, IV/c</v>
          </cell>
          <cell r="G67" t="str">
            <v>Pembina Utama Muda</v>
          </cell>
          <cell r="H67" t="str">
            <v>PNS</v>
          </cell>
          <cell r="I67" t="str">
            <v>ZULFADLI BARUS, SH.MM.MH</v>
          </cell>
          <cell r="J67" t="str">
            <v>ZULPADLY BARUS</v>
          </cell>
          <cell r="K67" t="str">
            <v>0008484903</v>
          </cell>
          <cell r="L67" t="str">
            <v>BNI</v>
          </cell>
          <cell r="M67" t="str">
            <v>Anggota Tim SPI</v>
          </cell>
          <cell r="N67">
            <v>31433</v>
          </cell>
          <cell r="O67" t="str">
            <v>Analis Kelembagaan dan Kerja Sama pada Seksi Kelembagaan, dan Kerjasama pada Bidang Kelembagaan, dan Sistem Informasi</v>
          </cell>
          <cell r="P67" t="str">
            <v>Pengevaluasi Program dan Kinerja</v>
          </cell>
        </row>
        <row r="68">
          <cell r="B68" t="str">
            <v>Zuzan Zanatul W</v>
          </cell>
          <cell r="C68" t="str">
            <v>198904052019032023</v>
          </cell>
          <cell r="D68" t="str">
            <v>3205064504890003</v>
          </cell>
          <cell r="E68" t="str">
            <v>-</v>
          </cell>
          <cell r="F68" t="str">
            <v>PNS, II/c</v>
          </cell>
          <cell r="G68" t="str">
            <v>Pengatur</v>
          </cell>
          <cell r="H68" t="str">
            <v>PNS</v>
          </cell>
          <cell r="I68" t="str">
            <v>ZUZAN ZANATUL MA'WA, A.Md.</v>
          </cell>
          <cell r="J68" t="str">
            <v>Ibu ZUZAN ZANATUL MA'WA</v>
          </cell>
          <cell r="K68" t="str">
            <v>0824967222</v>
          </cell>
          <cell r="L68" t="str">
            <v>BNI</v>
          </cell>
          <cell r="M68" t="str">
            <v>Pengelola Beasiswa dan Bantuan</v>
          </cell>
          <cell r="N68">
            <v>23136</v>
          </cell>
          <cell r="O68" t="str">
            <v>Pemroses Mutasi Kepegawaian pada Sub. Bagian Kepegawaian pada Bagian Umum</v>
          </cell>
          <cell r="P68" t="str">
            <v>Pengadministrasi Kepegawaian</v>
          </cell>
        </row>
        <row r="69">
          <cell r="B69" t="str">
            <v>Mochamad Wahyudi</v>
          </cell>
          <cell r="C69" t="str">
            <v>3671062505750004</v>
          </cell>
          <cell r="D69" t="str">
            <v>076563931034000</v>
          </cell>
          <cell r="E69" t="str">
            <v>-</v>
          </cell>
          <cell r="F69" t="str">
            <v>Non PNS</v>
          </cell>
          <cell r="L69" t="str">
            <v>BNI</v>
          </cell>
        </row>
        <row r="70">
          <cell r="B70" t="str">
            <v>Mochamad Abdul Azis</v>
          </cell>
          <cell r="C70" t="str">
            <v>3173021111961003</v>
          </cell>
          <cell r="D70" t="str">
            <v>948441480418000</v>
          </cell>
          <cell r="E70" t="str">
            <v>-</v>
          </cell>
          <cell r="F70" t="str">
            <v>Non PNS</v>
          </cell>
          <cell r="L70" t="str">
            <v>BNI</v>
          </cell>
        </row>
        <row r="71">
          <cell r="B71" t="str">
            <v>Herlambang Brawijaya</v>
          </cell>
          <cell r="C71" t="str">
            <v>3173060903880001</v>
          </cell>
          <cell r="D71" t="str">
            <v>466732153085000</v>
          </cell>
          <cell r="E71" t="str">
            <v>-</v>
          </cell>
          <cell r="F71" t="str">
            <v>Non PNS</v>
          </cell>
          <cell r="L71" t="str">
            <v>BNI</v>
          </cell>
        </row>
        <row r="72">
          <cell r="B72" t="str">
            <v>Yudhistira</v>
          </cell>
          <cell r="C72" t="str">
            <v>3671091508900006</v>
          </cell>
          <cell r="D72" t="str">
            <v>660823147402000</v>
          </cell>
          <cell r="E72" t="str">
            <v>-</v>
          </cell>
          <cell r="F72" t="str">
            <v>Non PNS</v>
          </cell>
          <cell r="L72" t="str">
            <v>BNI</v>
          </cell>
        </row>
        <row r="73">
          <cell r="B73" t="str">
            <v>Verry Riyanto</v>
          </cell>
          <cell r="C73" t="str">
            <v>3216061907880015</v>
          </cell>
          <cell r="D73" t="str">
            <v>367150737435000</v>
          </cell>
          <cell r="E73" t="str">
            <v>-</v>
          </cell>
          <cell r="F73" t="str">
            <v>Non PNS</v>
          </cell>
          <cell r="L73" t="str">
            <v>BNI</v>
          </cell>
        </row>
        <row r="74">
          <cell r="B74" t="str">
            <v>Abdul Hamid</v>
          </cell>
          <cell r="C74" t="str">
            <v>3276032408810003</v>
          </cell>
          <cell r="D74" t="str">
            <v>498436385412000</v>
          </cell>
          <cell r="E74" t="str">
            <v>-</v>
          </cell>
          <cell r="F74" t="str">
            <v>Non PNS</v>
          </cell>
          <cell r="L74" t="str">
            <v>BNI</v>
          </cell>
        </row>
        <row r="75">
          <cell r="B75" t="str">
            <v>Prof. Dr. Agus Setyo Budi, M.Sc.</v>
          </cell>
          <cell r="C75" t="str">
            <v>3275022604630001</v>
          </cell>
          <cell r="D75" t="str">
            <v>688823673407000</v>
          </cell>
          <cell r="E75" t="str">
            <v>-</v>
          </cell>
          <cell r="F75" t="str">
            <v>PNS</v>
          </cell>
          <cell r="L75" t="str">
            <v>BNI</v>
          </cell>
        </row>
        <row r="76">
          <cell r="B76" t="str">
            <v>Prof. Dr. dr. Pusparini, SpPK</v>
          </cell>
          <cell r="C76" t="str">
            <v>3173056811640004</v>
          </cell>
          <cell r="D76" t="str">
            <v>679178913039000</v>
          </cell>
          <cell r="E76" t="str">
            <v>-</v>
          </cell>
          <cell r="F76" t="str">
            <v>NON PNS</v>
          </cell>
          <cell r="L76" t="str">
            <v>BNI</v>
          </cell>
        </row>
        <row r="77">
          <cell r="B77" t="str">
            <v>Prof. Sofia W. Alisjahbana, M.Sc. Ph.D</v>
          </cell>
          <cell r="C77" t="str">
            <v>3174066109620002</v>
          </cell>
          <cell r="D77" t="str">
            <v>498871187016000</v>
          </cell>
          <cell r="E77" t="str">
            <v>-</v>
          </cell>
          <cell r="F77" t="str">
            <v>Non PNS</v>
          </cell>
          <cell r="L77" t="str">
            <v>BNI</v>
          </cell>
        </row>
        <row r="78">
          <cell r="B78" t="str">
            <v>Prof. Dr. Agustinus Purna Irawan</v>
          </cell>
          <cell r="C78" t="str">
            <v>3173052808710011</v>
          </cell>
          <cell r="D78" t="str">
            <v>177143294035000</v>
          </cell>
          <cell r="E78" t="str">
            <v>-</v>
          </cell>
          <cell r="F78" t="str">
            <v>Non PNS</v>
          </cell>
          <cell r="L78" t="str">
            <v>BNI</v>
          </cell>
        </row>
        <row r="79">
          <cell r="B79" t="str">
            <v>Prof. Dr. E.S. Margianti, S.E., M.M.</v>
          </cell>
          <cell r="D79" t="str">
            <v>3276024305540010</v>
          </cell>
          <cell r="E79" t="str">
            <v>055741540412001</v>
          </cell>
          <cell r="F79" t="str">
            <v>Non PNS</v>
          </cell>
          <cell r="J79" t="str">
            <v>EKO SRI MARGIANTI</v>
          </cell>
          <cell r="K79" t="str">
            <v>50220016237</v>
          </cell>
          <cell r="L79" t="str">
            <v>DKI</v>
          </cell>
        </row>
        <row r="80">
          <cell r="B80" t="str">
            <v>Prof. Dr. Ilza Mayuni, M.A.</v>
          </cell>
          <cell r="C80" t="str">
            <v>3175076206590006</v>
          </cell>
          <cell r="D80" t="str">
            <v>099972622008001</v>
          </cell>
          <cell r="E80" t="str">
            <v/>
          </cell>
          <cell r="F80" t="str">
            <v>PNS</v>
          </cell>
          <cell r="L80" t="str">
            <v>BNI</v>
          </cell>
        </row>
        <row r="81">
          <cell r="B81" t="str">
            <v>Muhamad Hasan</v>
          </cell>
          <cell r="C81" t="str">
            <v>3216020806950006</v>
          </cell>
          <cell r="D81" t="str">
            <v/>
          </cell>
          <cell r="E81" t="str">
            <v>-</v>
          </cell>
          <cell r="F81" t="str">
            <v>NON PNS</v>
          </cell>
          <cell r="J81" t="str">
            <v>SDR MUHAMAD HASAN</v>
          </cell>
          <cell r="K81" t="str">
            <v>0350311530</v>
          </cell>
          <cell r="L81" t="str">
            <v>BNI</v>
          </cell>
        </row>
        <row r="82">
          <cell r="B82" t="str">
            <v>Indra Chaidir</v>
          </cell>
          <cell r="D82" t="str">
            <v>3175042405780003</v>
          </cell>
          <cell r="E82" t="str">
            <v>498436708005000</v>
          </cell>
          <cell r="F82" t="str">
            <v>Non PNS</v>
          </cell>
          <cell r="J82" t="str">
            <v>Indra Chaidir</v>
          </cell>
          <cell r="K82" t="str">
            <v>458883370</v>
          </cell>
          <cell r="L82" t="str">
            <v>BNI</v>
          </cell>
        </row>
        <row r="83">
          <cell r="B83" t="str">
            <v>Samidi</v>
          </cell>
          <cell r="C83" t="str">
            <v/>
          </cell>
          <cell r="D83" t="str">
            <v/>
          </cell>
          <cell r="E83" t="str">
            <v/>
          </cell>
          <cell r="F83" t="str">
            <v>PPNPN</v>
          </cell>
          <cell r="L83" t="str">
            <v>BNI</v>
          </cell>
        </row>
        <row r="84">
          <cell r="B84" t="str">
            <v>Yayat Hendayana</v>
          </cell>
          <cell r="C84" t="str">
            <v>3674010307720005</v>
          </cell>
          <cell r="D84" t="str">
            <v>197114515423000</v>
          </cell>
          <cell r="E84" t="str">
            <v>-</v>
          </cell>
          <cell r="F84" t="str">
            <v>PNS</v>
          </cell>
          <cell r="L84" t="str">
            <v>BNI</v>
          </cell>
        </row>
        <row r="85">
          <cell r="B85" t="str">
            <v>Doddy Zulkifli Indra Atmaja</v>
          </cell>
          <cell r="C85" t="str">
            <v>3674040606860003</v>
          </cell>
          <cell r="D85" t="str">
            <v>692057763411000</v>
          </cell>
          <cell r="E85" t="str">
            <v>-</v>
          </cell>
          <cell r="F85" t="str">
            <v>PNS</v>
          </cell>
          <cell r="L85" t="str">
            <v>BNI</v>
          </cell>
        </row>
        <row r="86">
          <cell r="B86" t="str">
            <v>Selamet Widodo</v>
          </cell>
          <cell r="D86" t="str">
            <v>3173060903880001</v>
          </cell>
          <cell r="E86" t="str">
            <v>466732153085000</v>
          </cell>
          <cell r="F86" t="str">
            <v>Non PNS</v>
          </cell>
          <cell r="L86" t="str">
            <v>BNI</v>
          </cell>
        </row>
        <row r="87">
          <cell r="B87" t="str">
            <v>Dr. Wachyu Hari Haji, MPM.</v>
          </cell>
          <cell r="C87" t="str">
            <v/>
          </cell>
          <cell r="D87" t="str">
            <v/>
          </cell>
          <cell r="E87" t="str">
            <v/>
          </cell>
          <cell r="F87" t="str">
            <v/>
          </cell>
          <cell r="L87" t="str">
            <v>BNI</v>
          </cell>
        </row>
        <row r="88">
          <cell r="B88" t="str">
            <v>Magdalena Halim</v>
          </cell>
          <cell r="D88" t="str">
            <v>3674026404700002</v>
          </cell>
          <cell r="E88" t="str">
            <v>499070415411000</v>
          </cell>
          <cell r="F88" t="str">
            <v>Non PNS</v>
          </cell>
          <cell r="L88" t="str">
            <v>BNI</v>
          </cell>
        </row>
        <row r="89">
          <cell r="B89" t="str">
            <v>Prof. Dr. Ernawati Sinaga</v>
          </cell>
          <cell r="D89" t="str">
            <v>3276067107550001</v>
          </cell>
          <cell r="E89" t="str">
            <v>499015469412000</v>
          </cell>
          <cell r="F89" t="str">
            <v>PNS</v>
          </cell>
          <cell r="L89" t="str">
            <v>BNI</v>
          </cell>
        </row>
        <row r="90">
          <cell r="B90" t="str">
            <v>Prof. Ir. Dana Santoso Saroso, M.Eng.Sc., Ph.D</v>
          </cell>
          <cell r="D90" t="str">
            <v>3174070502630005</v>
          </cell>
          <cell r="E90" t="str">
            <v>242780005064000</v>
          </cell>
          <cell r="F90" t="str">
            <v>Non PNS</v>
          </cell>
          <cell r="L90" t="str">
            <v>BNI</v>
          </cell>
        </row>
        <row r="91">
          <cell r="B91" t="str">
            <v>Prof. Ir. Teddy Mantoro, M.Sc., Ph.D.</v>
          </cell>
          <cell r="D91" t="str">
            <v>3175082309640011</v>
          </cell>
          <cell r="E91" t="str">
            <v>726378219005000</v>
          </cell>
          <cell r="F91" t="str">
            <v>Non PNS</v>
          </cell>
          <cell r="L91" t="str">
            <v>BNI</v>
          </cell>
        </row>
        <row r="92">
          <cell r="B92" t="str">
            <v>Prof. Dr. Husein Umar</v>
          </cell>
          <cell r="D92" t="str">
            <v>3603281711580002</v>
          </cell>
          <cell r="E92" t="str">
            <v>575705438451000</v>
          </cell>
          <cell r="F92" t="str">
            <v xml:space="preserve">Non PNS </v>
          </cell>
          <cell r="L92" t="str">
            <v>BNI</v>
          </cell>
        </row>
        <row r="93">
          <cell r="B93" t="str">
            <v>Prof. Dr. Sasmoko, M.Pd.</v>
          </cell>
          <cell r="D93" t="str">
            <v>3674040701610002</v>
          </cell>
          <cell r="E93" t="str">
            <v>245737994411000</v>
          </cell>
          <cell r="F93" t="str">
            <v>PNS, IV/</v>
          </cell>
          <cell r="L93" t="str">
            <v>BNI</v>
          </cell>
        </row>
        <row r="94">
          <cell r="B94" t="str">
            <v>Prof. Dr. Widodo Budiharto, S.Si.,M.Kom.</v>
          </cell>
          <cell r="D94" t="str">
            <v>3275112704770001</v>
          </cell>
          <cell r="E94" t="str">
            <v>584355465432000</v>
          </cell>
          <cell r="F94" t="str">
            <v>Non PNS</v>
          </cell>
          <cell r="L94" t="str">
            <v>BNI</v>
          </cell>
        </row>
        <row r="95">
          <cell r="B95" t="str">
            <v>Prof. Dr. Mella Ismelina Farma Rahayu, S.H., M.Hum.</v>
          </cell>
          <cell r="D95" t="str">
            <v>3273094902690004</v>
          </cell>
          <cell r="E95" t="str">
            <v>093560845423000</v>
          </cell>
          <cell r="F95" t="str">
            <v>Non PNS</v>
          </cell>
          <cell r="L95" t="str">
            <v>BNI</v>
          </cell>
        </row>
        <row r="96">
          <cell r="B96" t="str">
            <v>Prof. dr. Rika Yuliwulandari, Ph.D</v>
          </cell>
          <cell r="D96" t="str">
            <v>3175064407740001</v>
          </cell>
          <cell r="E96" t="str">
            <v>470348418004000</v>
          </cell>
          <cell r="F96" t="str">
            <v>Non PNS</v>
          </cell>
          <cell r="L96" t="str">
            <v>BNI</v>
          </cell>
        </row>
        <row r="97">
          <cell r="B97" t="str">
            <v>Prof. Dr. Ing. Adang Suhendra, S.Si., S.Kom., M.Sc</v>
          </cell>
          <cell r="D97" t="str">
            <v>3276021203690020</v>
          </cell>
          <cell r="E97" t="str">
            <v>473735066407000</v>
          </cell>
          <cell r="F97" t="str">
            <v>Non PNS</v>
          </cell>
          <cell r="J97" t="str">
            <v>DR ING ADANG SUHENDRA</v>
          </cell>
          <cell r="K97" t="str">
            <v>50220009834</v>
          </cell>
          <cell r="L97" t="str">
            <v>DKI</v>
          </cell>
        </row>
        <row r="98">
          <cell r="B98" t="str">
            <v>Prof. Dr. Nani Solihati, M.Pd</v>
          </cell>
          <cell r="D98" t="str">
            <v>3175106911640006</v>
          </cell>
          <cell r="E98" t="str">
            <v>094746450005001</v>
          </cell>
          <cell r="F98" t="str">
            <v>PNS, IV/</v>
          </cell>
          <cell r="L98" t="str">
            <v>BNI</v>
          </cell>
        </row>
        <row r="99">
          <cell r="B99" t="str">
            <v>Dr. Illah Sailah, M.S</v>
          </cell>
          <cell r="D99" t="str">
            <v>3271036105580001</v>
          </cell>
          <cell r="E99" t="str">
            <v>092180272404001</v>
          </cell>
          <cell r="F99" t="str">
            <v>PNS, IV/</v>
          </cell>
          <cell r="L99" t="str">
            <v>BNI</v>
          </cell>
        </row>
        <row r="100">
          <cell r="B100" t="str">
            <v>Dr. Ir. Ridwan, M.Sc</v>
          </cell>
          <cell r="C100" t="str">
            <v>196212101992031001/0010126211</v>
          </cell>
          <cell r="D100" t="str">
            <v>3174071012640000</v>
          </cell>
          <cell r="E100" t="str">
            <v>055555635064000</v>
          </cell>
          <cell r="F100" t="str">
            <v>PNS, IV/</v>
          </cell>
          <cell r="J100" t="str">
            <v>Ridwan</v>
          </cell>
          <cell r="K100" t="str">
            <v>0769580316</v>
          </cell>
          <cell r="L100" t="str">
            <v>BNI</v>
          </cell>
        </row>
        <row r="101">
          <cell r="B101" t="str">
            <v>Purba Purnama</v>
          </cell>
          <cell r="C101" t="str">
            <v>-</v>
          </cell>
          <cell r="D101" t="str">
            <v>3277031006820010</v>
          </cell>
          <cell r="E101" t="str">
            <v>481536605421000</v>
          </cell>
          <cell r="F101" t="str">
            <v>Non PNS</v>
          </cell>
          <cell r="J101" t="str">
            <v>Purba Purnama</v>
          </cell>
          <cell r="K101" t="str">
            <v>1250170922</v>
          </cell>
          <cell r="L101" t="str">
            <v>BNI</v>
          </cell>
        </row>
        <row r="102">
          <cell r="B102" t="str">
            <v>Ivan Chen</v>
          </cell>
          <cell r="C102" t="str">
            <v>-</v>
          </cell>
          <cell r="D102" t="str">
            <v>3372032704810001</v>
          </cell>
          <cell r="E102" t="str">
            <v>776167827526000</v>
          </cell>
          <cell r="F102" t="str">
            <v>Non PNS</v>
          </cell>
          <cell r="J102" t="str">
            <v>Ivan Chen</v>
          </cell>
          <cell r="K102" t="str">
            <v>0152527771</v>
          </cell>
          <cell r="L102" t="str">
            <v>BCA</v>
          </cell>
        </row>
        <row r="103">
          <cell r="B103" t="str">
            <v>Hisar Sirait</v>
          </cell>
          <cell r="C103" t="str">
            <v>-</v>
          </cell>
          <cell r="D103" t="str">
            <v>3276031107650010</v>
          </cell>
          <cell r="E103" t="str">
            <v>575705710412000</v>
          </cell>
          <cell r="F103" t="str">
            <v>Non PNS</v>
          </cell>
          <cell r="J103" t="str">
            <v>Hisar Sirait</v>
          </cell>
          <cell r="K103" t="str">
            <v>0091424604</v>
          </cell>
          <cell r="L103" t="str">
            <v>BNI</v>
          </cell>
        </row>
        <row r="104">
          <cell r="B104" t="str">
            <v>Lidia Sandra</v>
          </cell>
          <cell r="C104" t="str">
            <v>-</v>
          </cell>
          <cell r="D104" t="str">
            <v>5103054507750000</v>
          </cell>
          <cell r="E104" t="str">
            <v>798418091905000</v>
          </cell>
          <cell r="F104" t="str">
            <v>Non PNS</v>
          </cell>
          <cell r="J104" t="str">
            <v>Lidia Sandra</v>
          </cell>
          <cell r="K104" t="str">
            <v>1461559617</v>
          </cell>
          <cell r="L104" t="str">
            <v>BCA</v>
          </cell>
        </row>
        <row r="105">
          <cell r="B105" t="str">
            <v>Rahmat Nurcahyo</v>
          </cell>
          <cell r="C105" t="str">
            <v>-</v>
          </cell>
          <cell r="D105" t="str">
            <v>3171010206690000</v>
          </cell>
          <cell r="E105" t="str">
            <v>249277948013000</v>
          </cell>
          <cell r="F105" t="str">
            <v>Non PNS</v>
          </cell>
          <cell r="J105" t="str">
            <v>Rahmat Nurcahyo</v>
          </cell>
          <cell r="K105" t="str">
            <v>0006651650</v>
          </cell>
          <cell r="L105" t="str">
            <v>BNI</v>
          </cell>
        </row>
        <row r="106">
          <cell r="B106" t="str">
            <v>Setia Abikusna</v>
          </cell>
          <cell r="C106" t="str">
            <v>-</v>
          </cell>
          <cell r="D106" t="str">
            <v>3201021608720000</v>
          </cell>
          <cell r="E106" t="str">
            <v>573986015403000</v>
          </cell>
          <cell r="F106" t="str">
            <v>Non PNS</v>
          </cell>
          <cell r="J106" t="str">
            <v>Setia Abikusna</v>
          </cell>
          <cell r="K106" t="str">
            <v>1185415609</v>
          </cell>
          <cell r="L106" t="str">
            <v>BNI</v>
          </cell>
        </row>
        <row r="107">
          <cell r="B107" t="str">
            <v>Prof. Dr. Didin Mukodim</v>
          </cell>
          <cell r="C107" t="str">
            <v>-</v>
          </cell>
          <cell r="D107" t="str">
            <v>-</v>
          </cell>
          <cell r="E107" t="str">
            <v>071396378412000</v>
          </cell>
          <cell r="F107" t="str">
            <v>Non PNS</v>
          </cell>
          <cell r="J107" t="str">
            <v>DIDIN MUKODIM DRS</v>
          </cell>
          <cell r="K107" t="str">
            <v>50220010620</v>
          </cell>
          <cell r="L107" t="str">
            <v>DKI</v>
          </cell>
        </row>
        <row r="108">
          <cell r="B108" t="str">
            <v>Prof. Dr. Budi Hermana</v>
          </cell>
          <cell r="C108" t="str">
            <v>-</v>
          </cell>
          <cell r="D108" t="str">
            <v>-</v>
          </cell>
          <cell r="E108" t="str">
            <v>077685048403000</v>
          </cell>
          <cell r="F108" t="str">
            <v>Non PNS</v>
          </cell>
          <cell r="J108" t="str">
            <v>BUDI HERMANA</v>
          </cell>
          <cell r="K108" t="str">
            <v>50220010352</v>
          </cell>
          <cell r="L108" t="str">
            <v>DKI</v>
          </cell>
        </row>
        <row r="109">
          <cell r="B109" t="str">
            <v>Prof. Dr. Eri Prasetyo</v>
          </cell>
          <cell r="C109" t="str">
            <v>-</v>
          </cell>
          <cell r="D109" t="str">
            <v>-</v>
          </cell>
          <cell r="E109" t="str">
            <v>077684504403000</v>
          </cell>
          <cell r="F109" t="str">
            <v>Non PNS</v>
          </cell>
          <cell r="J109" t="str">
            <v>ERI PRASETYO WIBOWO</v>
          </cell>
          <cell r="K109" t="str">
            <v>50220010913</v>
          </cell>
          <cell r="L109" t="str">
            <v>DKI</v>
          </cell>
        </row>
        <row r="110">
          <cell r="B110" t="str">
            <v>Dr. Tb. Maulana Kusuma</v>
          </cell>
          <cell r="C110" t="str">
            <v>-</v>
          </cell>
          <cell r="D110" t="str">
            <v>-</v>
          </cell>
          <cell r="E110" t="str">
            <v>071820138016000</v>
          </cell>
          <cell r="F110" t="str">
            <v>Non PNS</v>
          </cell>
          <cell r="J110" t="str">
            <v>TUBAGUS MAULANA K</v>
          </cell>
          <cell r="K110" t="str">
            <v>50220014536</v>
          </cell>
          <cell r="L110" t="str">
            <v>DKI</v>
          </cell>
        </row>
        <row r="111">
          <cell r="B111" t="str">
            <v>Dr. rer. nat I Made Wiryana</v>
          </cell>
          <cell r="C111" t="str">
            <v>-</v>
          </cell>
          <cell r="D111" t="str">
            <v>-</v>
          </cell>
          <cell r="E111" t="str">
            <v>262166705412000</v>
          </cell>
          <cell r="F111" t="str">
            <v>Non PNS</v>
          </cell>
          <cell r="J111" t="str">
            <v>I MADE WIRYANA</v>
          </cell>
          <cell r="K111" t="str">
            <v>50220011456</v>
          </cell>
          <cell r="L111" t="str">
            <v>DKI</v>
          </cell>
        </row>
        <row r="112">
          <cell r="B112" t="str">
            <v>Dr. Aries Budi Setyawan</v>
          </cell>
          <cell r="C112" t="str">
            <v>-</v>
          </cell>
          <cell r="D112" t="str">
            <v>-</v>
          </cell>
          <cell r="E112" t="str">
            <v>077684991412000</v>
          </cell>
          <cell r="F112" t="str">
            <v>Non PNS</v>
          </cell>
          <cell r="J112" t="str">
            <v>ARIS BUDI SETYAWAN</v>
          </cell>
          <cell r="K112" t="str">
            <v>50220010131</v>
          </cell>
          <cell r="L112" t="str">
            <v>DKI</v>
          </cell>
        </row>
        <row r="113">
          <cell r="B113" t="str">
            <v>Dr. dr. Matrissya Hermita</v>
          </cell>
          <cell r="C113" t="str">
            <v>-</v>
          </cell>
          <cell r="D113" t="str">
            <v>-</v>
          </cell>
          <cell r="E113" t="str">
            <v>807915889412000</v>
          </cell>
          <cell r="F113" t="str">
            <v>Non PNS</v>
          </cell>
          <cell r="J113" t="str">
            <v>MATRISSYA HERMITA</v>
          </cell>
          <cell r="K113" t="str">
            <v>51023001797</v>
          </cell>
          <cell r="L113" t="str">
            <v>DKI</v>
          </cell>
        </row>
        <row r="114">
          <cell r="B114" t="str">
            <v>Dr. Bertalya</v>
          </cell>
          <cell r="C114" t="str">
            <v>-</v>
          </cell>
          <cell r="D114" t="str">
            <v>-</v>
          </cell>
          <cell r="E114" t="str">
            <v>077684280403000</v>
          </cell>
          <cell r="F114" t="str">
            <v>Non PNS</v>
          </cell>
          <cell r="J114" t="str">
            <v>BERTALYA IR</v>
          </cell>
          <cell r="K114" t="str">
            <v>50220010301</v>
          </cell>
          <cell r="L114" t="str">
            <v>DKI</v>
          </cell>
        </row>
        <row r="115">
          <cell r="B115" t="str">
            <v>Dr. Benny Susanti</v>
          </cell>
          <cell r="C115" t="str">
            <v>-</v>
          </cell>
          <cell r="D115" t="str">
            <v>-</v>
          </cell>
          <cell r="E115" t="str">
            <v>072138621412000</v>
          </cell>
          <cell r="F115" t="str">
            <v>Non PNS</v>
          </cell>
          <cell r="J115" t="str">
            <v>BENY SUSANTI</v>
          </cell>
          <cell r="K115" t="str">
            <v>50220015834</v>
          </cell>
          <cell r="L115" t="str">
            <v>DKI</v>
          </cell>
        </row>
        <row r="116">
          <cell r="B116" t="str">
            <v>Dr. Sugiharti Binastuti</v>
          </cell>
          <cell r="C116" t="str">
            <v>-</v>
          </cell>
          <cell r="D116" t="str">
            <v>-</v>
          </cell>
          <cell r="E116" t="str">
            <v>077685568412000</v>
          </cell>
          <cell r="F116" t="str">
            <v>Non PNS</v>
          </cell>
          <cell r="J116" t="str">
            <v>SUGIHARTI BINASTUTI</v>
          </cell>
          <cell r="K116" t="str">
            <v>50220013343</v>
          </cell>
          <cell r="L116" t="str">
            <v>DKI</v>
          </cell>
        </row>
        <row r="117">
          <cell r="B117" t="str">
            <v>Dr. Sariyati</v>
          </cell>
          <cell r="C117" t="str">
            <v>-</v>
          </cell>
          <cell r="D117" t="str">
            <v>-</v>
          </cell>
          <cell r="E117" t="str">
            <v>077685360412001</v>
          </cell>
          <cell r="F117" t="str">
            <v>Non PNS</v>
          </cell>
          <cell r="J117" t="str">
            <v>SARIYATI SE</v>
          </cell>
          <cell r="K117" t="str">
            <v>50220012908</v>
          </cell>
          <cell r="L117" t="str">
            <v>DKI</v>
          </cell>
        </row>
        <row r="118">
          <cell r="B118" t="str">
            <v>Dr. Dwi Asih Haryanti</v>
          </cell>
          <cell r="C118" t="str">
            <v>-</v>
          </cell>
          <cell r="D118" t="str">
            <v>-</v>
          </cell>
          <cell r="E118" t="str">
            <v>072464969045000</v>
          </cell>
          <cell r="F118" t="str">
            <v>Non PNS</v>
          </cell>
          <cell r="J118" t="str">
            <v>DWI ASIH HARYANTI</v>
          </cell>
          <cell r="K118" t="str">
            <v>50220010689</v>
          </cell>
          <cell r="L118" t="str">
            <v>DKI</v>
          </cell>
        </row>
        <row r="119">
          <cell r="B119" t="str">
            <v>Dr. Misdiyono</v>
          </cell>
          <cell r="C119" t="str">
            <v>-</v>
          </cell>
          <cell r="D119" t="str">
            <v>-</v>
          </cell>
          <cell r="E119" t="str">
            <v>077685337412000</v>
          </cell>
          <cell r="F119" t="str">
            <v>Non PNS</v>
          </cell>
          <cell r="J119" t="str">
            <v>MISDIYONO SE</v>
          </cell>
          <cell r="K119" t="str">
            <v>50220012193</v>
          </cell>
          <cell r="L119" t="str">
            <v>DKI</v>
          </cell>
        </row>
        <row r="120">
          <cell r="B120" t="str">
            <v>Tonny Defriyana TS</v>
          </cell>
          <cell r="C120" t="str">
            <v>-</v>
          </cell>
          <cell r="D120" t="str">
            <v>1371092812840002</v>
          </cell>
          <cell r="E120" t="str">
            <v>14821194920100</v>
          </cell>
          <cell r="F120" t="str">
            <v>Non PNS</v>
          </cell>
          <cell r="J120" t="str">
            <v>Tonny Defriyana TS</v>
          </cell>
          <cell r="K120" t="str">
            <v>1030006183970</v>
          </cell>
          <cell r="L120" t="str">
            <v>Mandiri</v>
          </cell>
        </row>
        <row r="121">
          <cell r="B121" t="str">
            <v>Dian Khairunnisa</v>
          </cell>
          <cell r="C121" t="str">
            <v>-</v>
          </cell>
          <cell r="D121" t="str">
            <v>199402282020122029</v>
          </cell>
          <cell r="E121" t="str">
            <v>806872131427000</v>
          </cell>
          <cell r="F121" t="str">
            <v>Non PNS</v>
          </cell>
          <cell r="J121" t="str">
            <v>Dian Khairunnisa</v>
          </cell>
          <cell r="K121" t="str">
            <v>10828001020</v>
          </cell>
          <cell r="L121" t="str">
            <v>DKI</v>
          </cell>
        </row>
        <row r="122">
          <cell r="B122" t="str">
            <v>I Made Wiryana</v>
          </cell>
          <cell r="C122" t="str">
            <v>-</v>
          </cell>
          <cell r="D122" t="str">
            <v>-</v>
          </cell>
          <cell r="E122" t="str">
            <v>262166705412000</v>
          </cell>
          <cell r="F122" t="str">
            <v>Non PNS</v>
          </cell>
          <cell r="J122" t="str">
            <v>I Made Wiryana</v>
          </cell>
          <cell r="K122" t="str">
            <v>90012160053</v>
          </cell>
          <cell r="L122" t="str">
            <v>BTPN</v>
          </cell>
        </row>
        <row r="123">
          <cell r="B123" t="str">
            <v>Sutresna Wati</v>
          </cell>
          <cell r="C123" t="str">
            <v>-</v>
          </cell>
          <cell r="D123" t="str">
            <v>32750849007880010</v>
          </cell>
          <cell r="E123" t="str">
            <v>696020676432000</v>
          </cell>
          <cell r="F123" t="str">
            <v>Non PNS</v>
          </cell>
          <cell r="J123" t="str">
            <v>Sutresna Wati</v>
          </cell>
          <cell r="K123" t="str">
            <v>0417595642</v>
          </cell>
          <cell r="L123" t="str">
            <v>BNI</v>
          </cell>
        </row>
        <row r="124">
          <cell r="B124" t="str">
            <v>N.P Adhitya W</v>
          </cell>
          <cell r="C124" t="str">
            <v>-</v>
          </cell>
          <cell r="D124" t="str">
            <v>3175100610930002</v>
          </cell>
          <cell r="E124" t="str">
            <v>748720943009000</v>
          </cell>
          <cell r="F124" t="str">
            <v>Non PNS</v>
          </cell>
          <cell r="J124" t="str">
            <v>N.P Adhitya W</v>
          </cell>
          <cell r="K124" t="str">
            <v>1670061019930</v>
          </cell>
          <cell r="L124" t="str">
            <v>Mandiri</v>
          </cell>
        </row>
        <row r="125">
          <cell r="B125" t="str">
            <v>Enny Rahayu</v>
          </cell>
          <cell r="C125" t="str">
            <v>-</v>
          </cell>
          <cell r="D125" t="str">
            <v>-</v>
          </cell>
          <cell r="E125" t="str">
            <v>5845737003542000</v>
          </cell>
          <cell r="F125" t="str">
            <v>Non PNS</v>
          </cell>
          <cell r="J125" t="str">
            <v>Enny Rahayu</v>
          </cell>
          <cell r="K125" t="str">
            <v>4564959954</v>
          </cell>
          <cell r="L125" t="str">
            <v>BCA</v>
          </cell>
        </row>
        <row r="126">
          <cell r="B126" t="str">
            <v>Sri Gunawan</v>
          </cell>
          <cell r="C126" t="str">
            <v>-</v>
          </cell>
          <cell r="D126" t="str">
            <v>-</v>
          </cell>
          <cell r="E126" t="str">
            <v>259637296525000</v>
          </cell>
          <cell r="F126" t="str">
            <v>Non PNS</v>
          </cell>
          <cell r="J126" t="str">
            <v>Sri Gunawan</v>
          </cell>
          <cell r="K126" t="str">
            <v>1370004507717</v>
          </cell>
          <cell r="L126" t="str">
            <v>Mandiri</v>
          </cell>
        </row>
        <row r="127">
          <cell r="B127" t="str">
            <v>Enita</v>
          </cell>
          <cell r="C127" t="str">
            <v>-</v>
          </cell>
          <cell r="D127" t="str">
            <v>-</v>
          </cell>
          <cell r="E127" t="str">
            <v>158303735201000</v>
          </cell>
          <cell r="F127" t="str">
            <v>Non PNS</v>
          </cell>
          <cell r="J127" t="str">
            <v>Enita</v>
          </cell>
          <cell r="K127" t="str">
            <v>0059778313</v>
          </cell>
          <cell r="L127" t="str">
            <v>BNI</v>
          </cell>
        </row>
        <row r="128">
          <cell r="B128" t="str">
            <v>Agam Fatchurrochman</v>
          </cell>
          <cell r="C128" t="str">
            <v>-</v>
          </cell>
          <cell r="D128" t="str">
            <v>-</v>
          </cell>
          <cell r="E128" t="str">
            <v>246145569411000</v>
          </cell>
          <cell r="F128" t="str">
            <v>Non PNS</v>
          </cell>
          <cell r="J128" t="str">
            <v>Agam Fatchurrochman</v>
          </cell>
          <cell r="K128" t="str">
            <v>1520005441403</v>
          </cell>
          <cell r="L128" t="str">
            <v>Mandiri</v>
          </cell>
        </row>
        <row r="129">
          <cell r="B129" t="str">
            <v>Muhamad Nurdin Yusuf</v>
          </cell>
          <cell r="C129" t="str">
            <v>-</v>
          </cell>
          <cell r="D129" t="str">
            <v>-</v>
          </cell>
          <cell r="E129" t="str">
            <v>261757587442000</v>
          </cell>
          <cell r="F129" t="str">
            <v>Non PNS</v>
          </cell>
          <cell r="J129" t="str">
            <v>Muhamad Nurdin Yusuf</v>
          </cell>
          <cell r="K129" t="str">
            <v>1770015701904</v>
          </cell>
          <cell r="L129" t="str">
            <v>Mandiri</v>
          </cell>
        </row>
        <row r="130">
          <cell r="B130" t="str">
            <v>Dr. Dra. Erna Ermawati Chotim, M.Si.</v>
          </cell>
          <cell r="C130" t="str">
            <v>-</v>
          </cell>
          <cell r="D130" t="str">
            <v>3271067009670010</v>
          </cell>
          <cell r="E130" t="str">
            <v>092358217404000</v>
          </cell>
          <cell r="F130" t="str">
            <v>Non PNS</v>
          </cell>
          <cell r="J130" t="str">
            <v>Erna Ermawati Chotim</v>
          </cell>
          <cell r="K130" t="str">
            <v>80101001993501</v>
          </cell>
          <cell r="L130" t="str">
            <v>BRI</v>
          </cell>
        </row>
        <row r="131">
          <cell r="B131" t="str">
            <v>Sasmito Budi Utomo, Ssi. Mti</v>
          </cell>
          <cell r="C131" t="str">
            <v>-</v>
          </cell>
          <cell r="D131" t="str">
            <v>3317206510760000</v>
          </cell>
          <cell r="E131" t="str">
            <v>470340431043000</v>
          </cell>
          <cell r="F131" t="str">
            <v>Non PNS</v>
          </cell>
          <cell r="J131" t="str">
            <v>Bpk Sasmito Budi Utomo</v>
          </cell>
          <cell r="K131" t="str">
            <v>0400585620</v>
          </cell>
          <cell r="L131" t="str">
            <v>BNI</v>
          </cell>
        </row>
        <row r="132">
          <cell r="B132" t="str">
            <v>Ir. Desiana Vidayanti, MT</v>
          </cell>
          <cell r="C132" t="str">
            <v>-</v>
          </cell>
          <cell r="D132" t="str">
            <v>3173085612680000</v>
          </cell>
          <cell r="E132" t="str">
            <v>574395380086000</v>
          </cell>
          <cell r="F132" t="str">
            <v>Non PNS</v>
          </cell>
          <cell r="J132" t="str">
            <v>Desiana Vidayanti</v>
          </cell>
          <cell r="K132" t="str">
            <v>1262853237</v>
          </cell>
          <cell r="L132" t="str">
            <v>BNI</v>
          </cell>
        </row>
        <row r="133">
          <cell r="B133" t="str">
            <v>Dr. Ir. Dwita Suastiyanti, M.Si</v>
          </cell>
          <cell r="C133" t="str">
            <v>-</v>
          </cell>
          <cell r="D133" t="str">
            <v>3674065609650010</v>
          </cell>
          <cell r="E133" t="str">
            <v>684706559411000</v>
          </cell>
          <cell r="F133" t="str">
            <v>Non PNS</v>
          </cell>
          <cell r="J133" t="str">
            <v>Dwita Suastiyanti</v>
          </cell>
          <cell r="K133" t="str">
            <v>004933205</v>
          </cell>
          <cell r="L133" t="str">
            <v>BNI</v>
          </cell>
        </row>
        <row r="134">
          <cell r="B134" t="str">
            <v>Dr. Ifan Iskandar, S.Pd., PG</v>
          </cell>
          <cell r="C134" t="str">
            <v>-</v>
          </cell>
          <cell r="D134" t="str">
            <v>3276021405720001</v>
          </cell>
          <cell r="E134" t="str">
            <v>571653344412000</v>
          </cell>
          <cell r="F134" t="str">
            <v>Non PNS</v>
          </cell>
          <cell r="J134" t="str">
            <v>Ifan Iskandar</v>
          </cell>
          <cell r="K134" t="str">
            <v>0012439262</v>
          </cell>
          <cell r="L134" t="str">
            <v>BNI</v>
          </cell>
        </row>
        <row r="135">
          <cell r="B135" t="str">
            <v>Dr. Herwina Bahar, MA</v>
          </cell>
          <cell r="C135" t="str">
            <v>-</v>
          </cell>
          <cell r="D135" t="str">
            <v>3674046412680000</v>
          </cell>
          <cell r="E135" t="str">
            <v>786656157411000</v>
          </cell>
          <cell r="F135" t="str">
            <v>Non PNS</v>
          </cell>
          <cell r="J135" t="str">
            <v>Herwina Bahar</v>
          </cell>
          <cell r="K135" t="str">
            <v>0272345819</v>
          </cell>
          <cell r="L135" t="str">
            <v>BNI</v>
          </cell>
        </row>
        <row r="136">
          <cell r="B136" t="str">
            <v>Lilis Nuraida</v>
          </cell>
          <cell r="C136" t="str">
            <v>-</v>
          </cell>
          <cell r="D136" t="str">
            <v>3271044910620003</v>
          </cell>
          <cell r="E136" t="str">
            <v>70534094404001</v>
          </cell>
          <cell r="F136" t="str">
            <v>Non PNS</v>
          </cell>
          <cell r="J136" t="str">
            <v>Lilis Nuraida</v>
          </cell>
          <cell r="K136" t="str">
            <v>0376177094</v>
          </cell>
          <cell r="L136" t="str">
            <v>BNI</v>
          </cell>
        </row>
        <row r="137">
          <cell r="B137" t="str">
            <v>Prima Satria</v>
          </cell>
          <cell r="C137" t="str">
            <v>199110142022031004</v>
          </cell>
          <cell r="D137" t="str">
            <v>1306141410910000</v>
          </cell>
          <cell r="E137" t="str">
            <v>725386510202000</v>
          </cell>
          <cell r="F137" t="str">
            <v>PNS, III/a</v>
          </cell>
          <cell r="J137" t="str">
            <v>Sdr PRIMA SATRIA</v>
          </cell>
          <cell r="K137" t="str">
            <v>0377194961</v>
          </cell>
          <cell r="L137" t="str">
            <v>BNI</v>
          </cell>
        </row>
        <row r="138">
          <cell r="B138" t="str">
            <v>Aprie Wellandira Suhardi</v>
          </cell>
          <cell r="C138" t="str">
            <v>199804052022032015</v>
          </cell>
          <cell r="D138" t="str">
            <v>3174074504980003</v>
          </cell>
          <cell r="E138" t="str">
            <v>651878373012000</v>
          </cell>
          <cell r="F138" t="str">
            <v>PNS, III/a</v>
          </cell>
          <cell r="J138" t="str">
            <v>Sdri APRIE WELLANDIRA SUHARDI</v>
          </cell>
          <cell r="K138" t="str">
            <v>1378321653</v>
          </cell>
          <cell r="L138" t="str">
            <v>BNI</v>
          </cell>
        </row>
        <row r="139">
          <cell r="B139" t="str">
            <v>Maulani Yasintha</v>
          </cell>
          <cell r="C139" t="str">
            <v>199707092022032015</v>
          </cell>
          <cell r="D139" t="str">
            <v>3175104907970000</v>
          </cell>
          <cell r="E139" t="str">
            <v>651919276009000</v>
          </cell>
          <cell r="F139" t="str">
            <v>PNS, II/c</v>
          </cell>
          <cell r="J139" t="str">
            <v>MAULANI YASINTHA</v>
          </cell>
          <cell r="K139" t="str">
            <v>1378321675</v>
          </cell>
          <cell r="L139" t="str">
            <v>BNI</v>
          </cell>
        </row>
        <row r="140">
          <cell r="B140" t="str">
            <v>Elsita Yusera</v>
          </cell>
          <cell r="C140" t="str">
            <v>-</v>
          </cell>
          <cell r="D140" t="str">
            <v>3175075504940009</v>
          </cell>
          <cell r="E140" t="str">
            <v>908011430008000</v>
          </cell>
          <cell r="F140" t="str">
            <v>Non PNS</v>
          </cell>
          <cell r="J140" t="str">
            <v>Elsita Yusera</v>
          </cell>
          <cell r="K140" t="str">
            <v>0805853772</v>
          </cell>
          <cell r="L140" t="str">
            <v>BNI</v>
          </cell>
        </row>
        <row r="141">
          <cell r="B141" t="str">
            <v>ALMADINDA</v>
          </cell>
          <cell r="C141" t="str">
            <v>199911102022032004</v>
          </cell>
          <cell r="D141" t="str">
            <v>3175095011990004</v>
          </cell>
          <cell r="E141" t="str">
            <v>651879603009000</v>
          </cell>
          <cell r="F141" t="str">
            <v>PNS, II/c</v>
          </cell>
          <cell r="J141" t="str">
            <v>Sdri ALMADINDA</v>
          </cell>
          <cell r="K141" t="str">
            <v>1378321642</v>
          </cell>
          <cell r="L141" t="str">
            <v>BNI</v>
          </cell>
        </row>
        <row r="142">
          <cell r="B142" t="str">
            <v>Regina Dwi Vania</v>
          </cell>
          <cell r="C142" t="str">
            <v>199707182022032013</v>
          </cell>
          <cell r="D142" t="str">
            <v>3174045807970005</v>
          </cell>
          <cell r="E142" t="str">
            <v>869428920017000</v>
          </cell>
          <cell r="F142" t="str">
            <v>PNS, II/c</v>
          </cell>
          <cell r="J142" t="str">
            <v>REGINA DWI VANIA</v>
          </cell>
          <cell r="K142" t="str">
            <v>1378321686</v>
          </cell>
          <cell r="L142" t="str">
            <v>BNI</v>
          </cell>
        </row>
        <row r="143">
          <cell r="B143" t="str">
            <v>Virna Pradini Nazhar</v>
          </cell>
          <cell r="C143" t="str">
            <v>198709042022032004</v>
          </cell>
          <cell r="D143" t="str">
            <v>3174094409870004</v>
          </cell>
          <cell r="E143" t="str">
            <v>757235478017000</v>
          </cell>
          <cell r="F143" t="str">
            <v>PNS, III/a</v>
          </cell>
          <cell r="J143" t="str">
            <v>VIRNA PRADINI NAZHAR</v>
          </cell>
          <cell r="K143" t="str">
            <v>1378321697</v>
          </cell>
          <cell r="L143" t="str">
            <v>BNI</v>
          </cell>
        </row>
        <row r="144">
          <cell r="B144" t="str">
            <v>Naorah Putri A</v>
          </cell>
          <cell r="C144" t="str">
            <v>199806032022032015</v>
          </cell>
          <cell r="D144" t="str">
            <v>3215034306980003</v>
          </cell>
          <cell r="E144" t="str">
            <v>768808131408000</v>
          </cell>
          <cell r="F144" t="str">
            <v>PNS, III/a</v>
          </cell>
          <cell r="J144" t="str">
            <v>Sdri NAORAH PUTRI ANGGELIA</v>
          </cell>
          <cell r="K144" t="str">
            <v>1378321664</v>
          </cell>
          <cell r="L144" t="str">
            <v>BNI</v>
          </cell>
        </row>
        <row r="145">
          <cell r="B145" t="str">
            <v>Andhika Hegar Syahbowo</v>
          </cell>
          <cell r="C145" t="str">
            <v>-</v>
          </cell>
          <cell r="D145" t="str">
            <v>-</v>
          </cell>
          <cell r="E145" t="str">
            <v>-</v>
          </cell>
          <cell r="F145" t="str">
            <v>Non PNS</v>
          </cell>
          <cell r="J145" t="str">
            <v>Andika Hegar Syahbowo</v>
          </cell>
          <cell r="K145" t="str">
            <v>1439048798</v>
          </cell>
          <cell r="L145" t="str">
            <v>BNI</v>
          </cell>
        </row>
        <row r="146">
          <cell r="B146" t="str">
            <v>Syifa Luthfiah Fatimah</v>
          </cell>
          <cell r="C146" t="str">
            <v>-</v>
          </cell>
          <cell r="D146" t="str">
            <v>-</v>
          </cell>
          <cell r="E146" t="str">
            <v>-</v>
          </cell>
          <cell r="F146" t="str">
            <v>Non PNS</v>
          </cell>
          <cell r="J146" t="str">
            <v xml:space="preserve">SDRI SYIFA LUTHFIAH FATIMAH </v>
          </cell>
          <cell r="K146" t="str">
            <v>1354304894</v>
          </cell>
          <cell r="L146" t="str">
            <v>BNI</v>
          </cell>
        </row>
        <row r="147">
          <cell r="B147" t="str">
            <v>Dr. Asep Supena, M.P.si</v>
          </cell>
          <cell r="C147" t="str">
            <v>196509071990031003</v>
          </cell>
          <cell r="E147" t="str">
            <v>690309927432000</v>
          </cell>
          <cell r="F147" t="str">
            <v>PNS, IV/</v>
          </cell>
          <cell r="J147" t="str">
            <v>Asep Supena</v>
          </cell>
          <cell r="K147" t="str">
            <v>0108932498</v>
          </cell>
          <cell r="L147" t="str">
            <v>BNI</v>
          </cell>
        </row>
        <row r="148">
          <cell r="B148" t="str">
            <v>Biro SDM Kemendikbudristek-1</v>
          </cell>
          <cell r="C148" t="str">
            <v>-</v>
          </cell>
          <cell r="D148" t="str">
            <v>-</v>
          </cell>
          <cell r="E148" t="str">
            <v>-</v>
          </cell>
          <cell r="F148" t="str">
            <v>PNS, III/a</v>
          </cell>
          <cell r="G148"/>
          <cell r="H148"/>
          <cell r="I148" t="str">
            <v>-</v>
          </cell>
          <cell r="J148" t="str">
            <v>-</v>
          </cell>
          <cell r="K148" t="str">
            <v>-</v>
          </cell>
          <cell r="L148" t="str">
            <v>-</v>
          </cell>
          <cell r="M148"/>
        </row>
        <row r="149">
          <cell r="B149" t="str">
            <v>Biro SDM Kemendikbudristek-2</v>
          </cell>
          <cell r="C149" t="str">
            <v>-</v>
          </cell>
          <cell r="D149" t="str">
            <v>-</v>
          </cell>
          <cell r="E149" t="str">
            <v>-</v>
          </cell>
          <cell r="F149" t="str">
            <v>PNS, III/a</v>
          </cell>
          <cell r="G149"/>
          <cell r="H149"/>
          <cell r="I149" t="str">
            <v>-</v>
          </cell>
          <cell r="J149" t="str">
            <v>-</v>
          </cell>
          <cell r="K149" t="str">
            <v>-</v>
          </cell>
          <cell r="L149" t="str">
            <v>-</v>
          </cell>
          <cell r="M149"/>
        </row>
        <row r="150">
          <cell r="B150" t="str">
            <v>Lisye Nurzaman</v>
          </cell>
          <cell r="C150" t="str">
            <v>-</v>
          </cell>
          <cell r="D150" t="str">
            <v>3603176801700003</v>
          </cell>
          <cell r="E150" t="str">
            <v>093100444451001</v>
          </cell>
          <cell r="F150" t="str">
            <v>NON PNS</v>
          </cell>
          <cell r="H150" t="str">
            <v>NON PNS</v>
          </cell>
          <cell r="J150" t="str">
            <v>Lisye Nurzaman</v>
          </cell>
          <cell r="K150" t="str">
            <v>8840445870</v>
          </cell>
          <cell r="L150" t="str">
            <v>BCA</v>
          </cell>
        </row>
        <row r="151">
          <cell r="B151" t="str">
            <v>Kardinah Indrianna Meutia, S.Pi., MM</v>
          </cell>
          <cell r="C151" t="str">
            <v>-</v>
          </cell>
          <cell r="D151" t="str">
            <v>-</v>
          </cell>
          <cell r="E151" t="str">
            <v>718725740432000</v>
          </cell>
          <cell r="F151" t="str">
            <v>NON PNS</v>
          </cell>
          <cell r="H151" t="str">
            <v>NON PNS</v>
          </cell>
          <cell r="J151" t="str">
            <v>kardinah indriana meutia</v>
          </cell>
          <cell r="K151" t="str">
            <v>121101006677500</v>
          </cell>
          <cell r="L151" t="str">
            <v>BRI</v>
          </cell>
        </row>
        <row r="152">
          <cell r="B152" t="str">
            <v>Lily wulandari, SE</v>
          </cell>
          <cell r="C152" t="str">
            <v>-</v>
          </cell>
          <cell r="D152" t="str">
            <v>3201024603690004</v>
          </cell>
          <cell r="E152" t="str">
            <v>077691814403000</v>
          </cell>
          <cell r="F152" t="str">
            <v>NON PNS</v>
          </cell>
          <cell r="H152" t="str">
            <v>NON PNS</v>
          </cell>
          <cell r="J152" t="str">
            <v>Ibu Lily Wulandari</v>
          </cell>
          <cell r="K152" t="str">
            <v>1284450866</v>
          </cell>
          <cell r="L152" t="str">
            <v>BNI</v>
          </cell>
        </row>
        <row r="153">
          <cell r="B153" t="str">
            <v>Ika Triana, S.Pd., MM.</v>
          </cell>
          <cell r="C153" t="str">
            <v>-</v>
          </cell>
          <cell r="D153" t="str">
            <v>-</v>
          </cell>
          <cell r="E153" t="str">
            <v>896158508086000</v>
          </cell>
          <cell r="F153" t="str">
            <v>NON PNS</v>
          </cell>
          <cell r="G153"/>
          <cell r="H153" t="str">
            <v>NON PNS</v>
          </cell>
          <cell r="I153"/>
          <cell r="J153" t="str">
            <v>IKA TRIANA</v>
          </cell>
          <cell r="K153" t="str">
            <v>5271063807</v>
          </cell>
          <cell r="L153" t="str">
            <v>BCA</v>
          </cell>
          <cell r="M153"/>
          <cell r="N153"/>
        </row>
        <row r="154">
          <cell r="B154" t="str">
            <v>MAGHFIRA SYALENDRI ALQADRI</v>
          </cell>
          <cell r="C154" t="str">
            <v>199610292022032016</v>
          </cell>
          <cell r="D154" t="str">
            <v>3171076910960002</v>
          </cell>
          <cell r="E154" t="str">
            <v>851647347008000</v>
          </cell>
          <cell r="F154" t="str">
            <v>PNS, III/a</v>
          </cell>
          <cell r="G154"/>
          <cell r="H154" t="str">
            <v>PNS</v>
          </cell>
          <cell r="I154" t="str">
            <v>Sdri MAGHFIRA SYALENDRI ALQADRI</v>
          </cell>
          <cell r="J154" t="str">
            <v>Sdri MAGHFIRA SYALENDRI ALQADRI</v>
          </cell>
          <cell r="K154" t="str">
            <v>1374414747</v>
          </cell>
          <cell r="L154" t="str">
            <v>BNI</v>
          </cell>
          <cell r="M154"/>
        </row>
        <row r="155">
          <cell r="B155" t="str">
            <v>Eli Nurmaniska, S.Si</v>
          </cell>
          <cell r="C155" t="str">
            <v>198108022015042001</v>
          </cell>
          <cell r="D155" t="str">
            <v>-</v>
          </cell>
          <cell r="E155" t="str">
            <v>-</v>
          </cell>
          <cell r="F155" t="str">
            <v>PNS, III/b</v>
          </cell>
          <cell r="H155" t="str">
            <v>PNS</v>
          </cell>
          <cell r="I155" t="str">
            <v>-</v>
          </cell>
          <cell r="J155" t="str">
            <v>Eli Nurmaniska</v>
          </cell>
          <cell r="K155" t="str">
            <v>1220010013079</v>
          </cell>
          <cell r="L155" t="str">
            <v>Mandiri</v>
          </cell>
        </row>
        <row r="156">
          <cell r="B156" t="str">
            <v>Yoga Muktiadhi Wiyono, S.E., M.B.A.</v>
          </cell>
          <cell r="C156" t="str">
            <v>198908122018011001</v>
          </cell>
          <cell r="D156" t="str">
            <v>-</v>
          </cell>
          <cell r="E156" t="str">
            <v>-</v>
          </cell>
          <cell r="F156" t="str">
            <v>PNS, III/b</v>
          </cell>
          <cell r="H156" t="str">
            <v>PNS</v>
          </cell>
          <cell r="I156" t="str">
            <v>-</v>
          </cell>
          <cell r="J156" t="str">
            <v>Yoga Mukti Adhi Wiyo</v>
          </cell>
          <cell r="K156" t="str">
            <v>9000001812248</v>
          </cell>
          <cell r="L156" t="str">
            <v>Mandiri</v>
          </cell>
        </row>
        <row r="157">
          <cell r="B157" t="str">
            <v>Tantri Rinjani</v>
          </cell>
          <cell r="C157" t="str">
            <v>198609102010012029</v>
          </cell>
          <cell r="D157" t="str">
            <v>1672015009860004</v>
          </cell>
          <cell r="E157" t="str">
            <v>443839576309000</v>
          </cell>
          <cell r="F157" t="str">
            <v>PNS, III/c</v>
          </cell>
          <cell r="H157" t="str">
            <v>PNS</v>
          </cell>
          <cell r="I157" t="str">
            <v>-</v>
          </cell>
          <cell r="J157" t="str">
            <v>Ibu Tantri Rinjani</v>
          </cell>
          <cell r="K157" t="str">
            <v>1596820914</v>
          </cell>
          <cell r="L157" t="str">
            <v>BNI</v>
          </cell>
        </row>
        <row r="158">
          <cell r="B158" t="str">
            <v>Biro SDM Kemendikbudristek</v>
          </cell>
          <cell r="C158" t="str">
            <v>-</v>
          </cell>
          <cell r="D158" t="str">
            <v>-</v>
          </cell>
          <cell r="E158" t="str">
            <v>-</v>
          </cell>
          <cell r="F158" t="str">
            <v>PNS, III/b</v>
          </cell>
          <cell r="H158" t="str">
            <v>PNS</v>
          </cell>
          <cell r="I158" t="str">
            <v>-</v>
          </cell>
          <cell r="J158" t="str">
            <v>-</v>
          </cell>
          <cell r="K158" t="str">
            <v>-</v>
          </cell>
          <cell r="L158"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Isian"/>
      <sheetName val="SPD-Terlampir"/>
      <sheetName val="SPD-2"/>
      <sheetName val="P-Riil1"/>
      <sheetName val="SPD-1"/>
      <sheetName val="SPD-32"/>
      <sheetName val="SPD-3"/>
      <sheetName val="tembak_Rill"/>
      <sheetName val="tembak (2)"/>
      <sheetName val="tembak"/>
      <sheetName val="Tembak Baru"/>
      <sheetName val="Bukti Kehadiran"/>
      <sheetName val="Tembak Lama"/>
      <sheetName val="Amplop"/>
      <sheetName val="Laporan Perjadin"/>
      <sheetName val="Biaya Tiket Pesawat"/>
    </sheetNames>
    <sheetDataSet>
      <sheetData sheetId="0"/>
      <sheetData sheetId="1">
        <row r="2">
          <cell r="A2">
            <v>1</v>
          </cell>
          <cell r="B2" t="str">
            <v>Desiana Vidayanti</v>
          </cell>
          <cell r="C2" t="str">
            <v>-</v>
          </cell>
          <cell r="D2" t="str">
            <v>-</v>
          </cell>
          <cell r="E2">
            <v>0</v>
          </cell>
          <cell r="F2" t="str">
            <v>Narasumber</v>
          </cell>
          <cell r="G2" t="str">
            <v>Tingkat C</v>
          </cell>
          <cell r="H2" t="str">
            <v>Melakukan Kegiatan Monitoring dan Evaluasi PTS STT 10 November tgl 15 Feb 2019</v>
          </cell>
          <cell r="I2" t="str">
            <v>DKI Jakarta</v>
          </cell>
          <cell r="J2" t="str">
            <v>DKI Jakarta</v>
          </cell>
          <cell r="K2">
            <v>1</v>
          </cell>
          <cell r="L2" t="str">
            <v>19 Februari 2018</v>
          </cell>
          <cell r="M2" t="str">
            <v>19 Februari 2018</v>
          </cell>
          <cell r="N2">
            <v>524114</v>
          </cell>
          <cell r="O2" t="str">
            <v>Belanja Perjalanan Dinas Paket Meeting Dalam Kota</v>
          </cell>
          <cell r="P2" t="str">
            <v>255/L3/TU/KA.11.00/2019</v>
          </cell>
          <cell r="Q2" t="str">
            <v>15 Februari 2019</v>
          </cell>
          <cell r="R2" t="str">
            <v>ya</v>
          </cell>
          <cell r="S2">
            <v>150000</v>
          </cell>
          <cell r="T2">
            <v>3138400</v>
          </cell>
          <cell r="V2">
            <v>0</v>
          </cell>
          <cell r="W2">
            <v>0</v>
          </cell>
          <cell r="X2">
            <v>0</v>
          </cell>
          <cell r="Z2">
            <v>0</v>
          </cell>
          <cell r="AB2">
            <v>0</v>
          </cell>
          <cell r="AD2">
            <v>0</v>
          </cell>
          <cell r="AF2">
            <v>0</v>
          </cell>
          <cell r="AH2" t="str">
            <v xml:space="preserve">Angkutan Umum </v>
          </cell>
          <cell r="AI2" t="str">
            <v>STT 10 November</v>
          </cell>
        </row>
        <row r="3">
          <cell r="A3">
            <v>2</v>
          </cell>
          <cell r="B3" t="str">
            <v>Norsanty</v>
          </cell>
          <cell r="C3" t="str">
            <v>196411031992032001</v>
          </cell>
          <cell r="D3" t="str">
            <v>III/d</v>
          </cell>
          <cell r="E3" t="str">
            <v>Penata Tk. I</v>
          </cell>
          <cell r="F3" t="str">
            <v>Kepala Bagian Kelembagaan dan Sistem Informasi</v>
          </cell>
          <cell r="G3" t="str">
            <v>Tingkat C</v>
          </cell>
          <cell r="H3" t="str">
            <v>Melakukan Kegiatan Monitoring dan Evaluasi PTS Universitas Jakarta tgl 26 Feb 2019</v>
          </cell>
          <cell r="I3" t="str">
            <v>DKI Jakarta</v>
          </cell>
          <cell r="J3" t="str">
            <v>DKI Jakarta</v>
          </cell>
          <cell r="K3">
            <v>1</v>
          </cell>
          <cell r="L3" t="str">
            <v>26 Februari 2018</v>
          </cell>
          <cell r="M3" t="str">
            <v>26 Februari 2018</v>
          </cell>
          <cell r="N3">
            <v>524114</v>
          </cell>
          <cell r="O3" t="str">
            <v>Belanja Perjalanan Dinas Paket Meeting Dalam Kota</v>
          </cell>
          <cell r="P3" t="str">
            <v>255/L3/TU/KA.11.00/2019</v>
          </cell>
          <cell r="Q3" t="str">
            <v>15 Februari 2019</v>
          </cell>
          <cell r="R3" t="str">
            <v>ya</v>
          </cell>
          <cell r="S3">
            <v>150000</v>
          </cell>
          <cell r="T3">
            <v>3138400</v>
          </cell>
          <cell r="V3">
            <v>0</v>
          </cell>
          <cell r="W3">
            <v>0</v>
          </cell>
          <cell r="X3">
            <v>0</v>
          </cell>
          <cell r="Z3">
            <v>0</v>
          </cell>
          <cell r="AB3">
            <v>0</v>
          </cell>
          <cell r="AD3">
            <v>0</v>
          </cell>
          <cell r="AE3" t="str">
            <v>ya</v>
          </cell>
          <cell r="AF3">
            <v>210000</v>
          </cell>
          <cell r="AH3" t="str">
            <v xml:space="preserve">Angkutan Umum </v>
          </cell>
          <cell r="AI3" t="str">
            <v>Universitas Jakarta</v>
          </cell>
        </row>
        <row r="4">
          <cell r="A4">
            <v>3</v>
          </cell>
          <cell r="B4" t="str">
            <v>Yan Medya Putri</v>
          </cell>
          <cell r="C4" t="str">
            <v>197101162005012001</v>
          </cell>
          <cell r="D4" t="str">
            <v>III/d</v>
          </cell>
          <cell r="E4" t="str">
            <v>Penata Tk. I</v>
          </cell>
          <cell r="F4" t="str">
            <v>Pengelola Keuangan pada Sub. Bagian Keuangan pada Bagian Umum</v>
          </cell>
          <cell r="G4" t="str">
            <v>Tingkat C</v>
          </cell>
          <cell r="H4" t="str">
            <v>Melakukan Kegiatan Monitoring dan Evaluasi PTS Universitas Jakarta tgl 26 Feb 2019</v>
          </cell>
          <cell r="I4" t="str">
            <v>DKI Jakarta</v>
          </cell>
          <cell r="J4" t="str">
            <v>DKI Jakarta</v>
          </cell>
          <cell r="K4">
            <v>1</v>
          </cell>
          <cell r="L4" t="str">
            <v>26 Februari 2018</v>
          </cell>
          <cell r="M4" t="str">
            <v>26 Februari 2018</v>
          </cell>
          <cell r="N4">
            <v>524114</v>
          </cell>
          <cell r="O4" t="str">
            <v>Belanja Perjalanan Dinas Paket Meeting Dalam Kota</v>
          </cell>
          <cell r="P4" t="str">
            <v>255/L3/TU/KA.11.00/2019</v>
          </cell>
          <cell r="Q4" t="str">
            <v>15 Februari 2019</v>
          </cell>
          <cell r="R4" t="str">
            <v>ya</v>
          </cell>
          <cell r="S4">
            <v>150000</v>
          </cell>
          <cell r="T4">
            <v>3138400</v>
          </cell>
          <cell r="V4">
            <v>0</v>
          </cell>
          <cell r="W4">
            <v>0</v>
          </cell>
          <cell r="X4">
            <v>0</v>
          </cell>
          <cell r="Z4">
            <v>0</v>
          </cell>
          <cell r="AB4">
            <v>0</v>
          </cell>
          <cell r="AD4">
            <v>0</v>
          </cell>
          <cell r="AE4" t="str">
            <v>ya</v>
          </cell>
          <cell r="AF4">
            <v>210000</v>
          </cell>
          <cell r="AH4" t="str">
            <v xml:space="preserve">Angkutan Umum </v>
          </cell>
          <cell r="AI4" t="str">
            <v>Universitas Jakarta</v>
          </cell>
        </row>
        <row r="5">
          <cell r="A5">
            <v>4</v>
          </cell>
          <cell r="B5" t="str">
            <v>Irmi Asnita</v>
          </cell>
          <cell r="C5" t="str">
            <v>196807171987032001</v>
          </cell>
          <cell r="D5" t="str">
            <v>III/b</v>
          </cell>
          <cell r="E5" t="str">
            <v>Penata Muda Tk. I</v>
          </cell>
          <cell r="F5" t="str">
            <v>Pengadministrasi Kepegawaian pada Sub. Bagian Kepegawaian pada Bagian Umum</v>
          </cell>
          <cell r="G5" t="str">
            <v>Tingkat C</v>
          </cell>
          <cell r="H5" t="str">
            <v>Melakukan Kegiatan Monitoring dan Evaluasi PTS Universitas Jakarta tgl 26 Feb 2019</v>
          </cell>
          <cell r="I5" t="str">
            <v>DKI Jakarta</v>
          </cell>
          <cell r="J5" t="str">
            <v>DKI Jakarta</v>
          </cell>
          <cell r="K5">
            <v>1</v>
          </cell>
          <cell r="L5" t="str">
            <v>26 Februari 2018</v>
          </cell>
          <cell r="M5" t="str">
            <v>26 Februari 2018</v>
          </cell>
          <cell r="N5">
            <v>524114</v>
          </cell>
          <cell r="O5" t="str">
            <v>Belanja Perjalanan Dinas Paket Meeting Dalam Kota</v>
          </cell>
          <cell r="P5" t="str">
            <v>255/L3/TU/KA.11.00/2019</v>
          </cell>
          <cell r="Q5" t="str">
            <v>15 Februari 2019</v>
          </cell>
          <cell r="R5" t="str">
            <v>ya</v>
          </cell>
          <cell r="S5">
            <v>150000</v>
          </cell>
          <cell r="T5">
            <v>3138400</v>
          </cell>
          <cell r="V5">
            <v>0</v>
          </cell>
          <cell r="W5">
            <v>0</v>
          </cell>
          <cell r="X5">
            <v>0</v>
          </cell>
          <cell r="Z5">
            <v>0</v>
          </cell>
          <cell r="AB5">
            <v>0</v>
          </cell>
          <cell r="AD5">
            <v>0</v>
          </cell>
          <cell r="AE5" t="str">
            <v>ya</v>
          </cell>
          <cell r="AF5">
            <v>210000</v>
          </cell>
          <cell r="AH5" t="str">
            <v xml:space="preserve">Angkutan Umum </v>
          </cell>
          <cell r="AI5" t="str">
            <v>Universitas Jakarta</v>
          </cell>
        </row>
        <row r="6">
          <cell r="A6">
            <v>5</v>
          </cell>
          <cell r="B6" t="str">
            <v>Achmadi</v>
          </cell>
          <cell r="C6" t="str">
            <v>196806271989031004</v>
          </cell>
          <cell r="D6" t="str">
            <v>II/c</v>
          </cell>
          <cell r="E6" t="str">
            <v>Pengatur</v>
          </cell>
          <cell r="F6" t="str">
            <v>Pengemudi pada Sub. Bagian Tata Usaha pada Bagian Umum</v>
          </cell>
          <cell r="G6" t="str">
            <v>Tingkat C</v>
          </cell>
          <cell r="H6" t="str">
            <v>Melakukan Kegiatan Monitoring dan Evaluasi PTS Universitas Jakarta tgl 26 Feb 2019</v>
          </cell>
          <cell r="I6" t="str">
            <v>DKI Jakarta</v>
          </cell>
          <cell r="J6" t="str">
            <v>DKI Jakarta</v>
          </cell>
          <cell r="K6">
            <v>1</v>
          </cell>
          <cell r="L6" t="str">
            <v>26 Februari 2018</v>
          </cell>
          <cell r="M6" t="str">
            <v>26 Februari 2018</v>
          </cell>
          <cell r="N6">
            <v>524114</v>
          </cell>
          <cell r="O6" t="str">
            <v>Belanja Perjalanan Dinas Paket Meeting Dalam Kota</v>
          </cell>
          <cell r="P6" t="str">
            <v>255/L3/TU/KA.11.00/2019</v>
          </cell>
          <cell r="Q6" t="str">
            <v>15 Februari 2019</v>
          </cell>
          <cell r="R6" t="str">
            <v>ya</v>
          </cell>
          <cell r="S6">
            <v>150000</v>
          </cell>
          <cell r="T6">
            <v>3138400</v>
          </cell>
          <cell r="V6">
            <v>0</v>
          </cell>
          <cell r="W6">
            <v>0</v>
          </cell>
          <cell r="X6">
            <v>0</v>
          </cell>
          <cell r="Z6">
            <v>0</v>
          </cell>
          <cell r="AB6">
            <v>0</v>
          </cell>
          <cell r="AD6">
            <v>0</v>
          </cell>
          <cell r="AE6" t="str">
            <v>ya</v>
          </cell>
          <cell r="AF6">
            <v>210000</v>
          </cell>
          <cell r="AH6" t="str">
            <v xml:space="preserve">Angkutan Umum </v>
          </cell>
          <cell r="AI6" t="str">
            <v>Universitas Jakarta</v>
          </cell>
        </row>
        <row r="7">
          <cell r="A7">
            <v>6</v>
          </cell>
          <cell r="B7" t="str">
            <v>Sigit Nugroho</v>
          </cell>
          <cell r="C7" t="str">
            <v>-</v>
          </cell>
          <cell r="D7" t="str">
            <v>-</v>
          </cell>
          <cell r="E7" t="str">
            <v>-</v>
          </cell>
          <cell r="F7" t="str">
            <v>PPNPN</v>
          </cell>
          <cell r="G7" t="str">
            <v>-</v>
          </cell>
          <cell r="H7" t="str">
            <v>Melakukan Kegiatan Monitoring dan Evaluasi PTS Universitas Jakarta tgl 26 Feb 2019</v>
          </cell>
          <cell r="I7" t="str">
            <v>DKI Jakarta</v>
          </cell>
          <cell r="J7" t="str">
            <v>DKI Jakarta</v>
          </cell>
          <cell r="K7">
            <v>1</v>
          </cell>
          <cell r="L7" t="str">
            <v>26 Februari 2018</v>
          </cell>
          <cell r="M7" t="str">
            <v>26 Februari 2018</v>
          </cell>
          <cell r="N7">
            <v>524114</v>
          </cell>
          <cell r="O7" t="str">
            <v>Belanja Perjalanan Dinas Paket Meeting Dalam Kota</v>
          </cell>
          <cell r="P7" t="str">
            <v>255/L3/TU/KA.11.00/2019</v>
          </cell>
          <cell r="Q7" t="str">
            <v>15 Februari 2019</v>
          </cell>
          <cell r="R7" t="str">
            <v>ya</v>
          </cell>
          <cell r="S7">
            <v>150000</v>
          </cell>
          <cell r="T7">
            <v>3138400</v>
          </cell>
          <cell r="V7">
            <v>0</v>
          </cell>
          <cell r="W7">
            <v>0</v>
          </cell>
          <cell r="X7">
            <v>0</v>
          </cell>
          <cell r="Z7">
            <v>0</v>
          </cell>
          <cell r="AB7">
            <v>0</v>
          </cell>
          <cell r="AD7">
            <v>0</v>
          </cell>
          <cell r="AE7" t="str">
            <v>ya</v>
          </cell>
          <cell r="AF7">
            <v>210000</v>
          </cell>
          <cell r="AH7" t="str">
            <v xml:space="preserve">Angkutan Umum </v>
          </cell>
          <cell r="AI7" t="str">
            <v>Universitas Jakarta</v>
          </cell>
        </row>
        <row r="8">
          <cell r="A8">
            <v>7</v>
          </cell>
          <cell r="B8" t="str">
            <v>Tri Munanto</v>
          </cell>
          <cell r="C8" t="str">
            <v>198601212010121003</v>
          </cell>
          <cell r="D8" t="str">
            <v>III/b</v>
          </cell>
          <cell r="E8" t="str">
            <v>Penata Muda Tk. I</v>
          </cell>
          <cell r="F8" t="str">
            <v>Analis Kelembagaan pada Seksi Kelembagaan, dan Kerjasama pada Bidang Kelembagaan, dan Sistem Informasi</v>
          </cell>
          <cell r="G8" t="str">
            <v>Tingkat C</v>
          </cell>
          <cell r="H8" t="str">
            <v>Melakukan Kegiatan Monitoring dan Evaluasi PTS STT 10 November tgl 15 Feb 2019</v>
          </cell>
          <cell r="I8" t="str">
            <v>DKI Jakarta</v>
          </cell>
          <cell r="J8" t="str">
            <v>DKI Jakarta</v>
          </cell>
          <cell r="K8">
            <v>1</v>
          </cell>
          <cell r="L8" t="str">
            <v>19 Februari 2018</v>
          </cell>
          <cell r="M8" t="str">
            <v>19 Februari 2018</v>
          </cell>
          <cell r="N8">
            <v>524114</v>
          </cell>
          <cell r="O8" t="str">
            <v>Belanja Perjalanan Dinas Paket Meeting Dalam Kota</v>
          </cell>
          <cell r="P8" t="str">
            <v>255/L3/TU/KA.11.00/2019</v>
          </cell>
          <cell r="Q8" t="str">
            <v>15 Februari 2019</v>
          </cell>
          <cell r="R8" t="str">
            <v>ya</v>
          </cell>
          <cell r="S8">
            <v>150000</v>
          </cell>
          <cell r="T8">
            <v>3138400</v>
          </cell>
          <cell r="V8">
            <v>0</v>
          </cell>
          <cell r="W8">
            <v>0</v>
          </cell>
          <cell r="X8">
            <v>0</v>
          </cell>
          <cell r="Z8">
            <v>0</v>
          </cell>
          <cell r="AB8">
            <v>0</v>
          </cell>
          <cell r="AD8">
            <v>0</v>
          </cell>
          <cell r="AF8">
            <v>0</v>
          </cell>
          <cell r="AH8" t="str">
            <v xml:space="preserve">Angkutan Umum </v>
          </cell>
          <cell r="AI8" t="str">
            <v>STT 10 November</v>
          </cell>
        </row>
        <row r="9">
          <cell r="A9">
            <v>8</v>
          </cell>
          <cell r="B9" t="str">
            <v>Adhy Purnama</v>
          </cell>
          <cell r="C9" t="str">
            <v>198104182010121002</v>
          </cell>
          <cell r="D9" t="str">
            <v>III/b</v>
          </cell>
          <cell r="E9" t="str">
            <v>Penata Muda Tk. I</v>
          </cell>
          <cell r="F9" t="str">
            <v>Pengadministrasi Akademik pada Seksi Akademik, dan Kemahasiswaan pada Bidang Akademik, Kemahasiswaan, dan Ketenagaan</v>
          </cell>
          <cell r="G9" t="str">
            <v>Tingkat C</v>
          </cell>
          <cell r="H9" t="str">
            <v>Melakukan Kegiatan Monitoring dan Evaluasi PTS STT 10 November tgl 15 Feb 2019</v>
          </cell>
          <cell r="I9" t="str">
            <v>DKI Jakarta</v>
          </cell>
          <cell r="J9" t="str">
            <v>DKI Jakarta</v>
          </cell>
          <cell r="K9">
            <v>1</v>
          </cell>
          <cell r="L9" t="str">
            <v>19 Februari 2018</v>
          </cell>
          <cell r="M9" t="str">
            <v>19 Februari 2018</v>
          </cell>
          <cell r="N9">
            <v>524114</v>
          </cell>
          <cell r="O9" t="str">
            <v>Belanja Perjalanan Dinas Paket Meeting Dalam Kota</v>
          </cell>
          <cell r="P9" t="str">
            <v>255/L3/TU/KA.11.00/2019</v>
          </cell>
          <cell r="Q9" t="str">
            <v>15 Februari 2019</v>
          </cell>
          <cell r="R9" t="str">
            <v>ya</v>
          </cell>
          <cell r="S9">
            <v>150000</v>
          </cell>
          <cell r="T9">
            <v>3138400</v>
          </cell>
          <cell r="V9">
            <v>0</v>
          </cell>
          <cell r="W9">
            <v>0</v>
          </cell>
          <cell r="X9">
            <v>0</v>
          </cell>
          <cell r="Z9">
            <v>0</v>
          </cell>
          <cell r="AB9">
            <v>0</v>
          </cell>
          <cell r="AD9">
            <v>0</v>
          </cell>
          <cell r="AF9">
            <v>0</v>
          </cell>
          <cell r="AH9" t="str">
            <v xml:space="preserve">Angkutan Umum </v>
          </cell>
          <cell r="AI9" t="str">
            <v>STT 10 November</v>
          </cell>
        </row>
        <row r="10">
          <cell r="A10">
            <v>9</v>
          </cell>
          <cell r="B10" t="str">
            <v>Sujono</v>
          </cell>
          <cell r="C10" t="str">
            <v>196312131987031003</v>
          </cell>
          <cell r="D10" t="str">
            <v>III/b</v>
          </cell>
          <cell r="E10" t="str">
            <v>Penata Muda Tk. I</v>
          </cell>
          <cell r="F10" t="str">
            <v xml:space="preserve">Pengadministrasi Persuratan pada Sub. Bagian Tata Usaha pada Bagian Umum  </v>
          </cell>
          <cell r="G10" t="str">
            <v>Tingkat C</v>
          </cell>
          <cell r="H10" t="str">
            <v>Melakukan Kegiatan Monitoring dan Evaluasi PTS STT 10 November tgl 15 Feb 2019</v>
          </cell>
          <cell r="I10" t="str">
            <v>DKI Jakarta</v>
          </cell>
          <cell r="J10" t="str">
            <v>DKI Jakarta</v>
          </cell>
          <cell r="K10">
            <v>1</v>
          </cell>
          <cell r="L10" t="str">
            <v>19 Februari 2018</v>
          </cell>
          <cell r="M10" t="str">
            <v>19 Februari 2018</v>
          </cell>
          <cell r="N10">
            <v>524114</v>
          </cell>
          <cell r="O10" t="str">
            <v>Belanja Perjalanan Dinas Paket Meeting Dalam Kota</v>
          </cell>
          <cell r="P10" t="str">
            <v>255/L3/TU/KA.11.00/2019</v>
          </cell>
          <cell r="Q10" t="str">
            <v>15 Februari 2019</v>
          </cell>
          <cell r="R10" t="str">
            <v>ya</v>
          </cell>
          <cell r="S10">
            <v>150000</v>
          </cell>
          <cell r="T10">
            <v>3138400</v>
          </cell>
          <cell r="V10">
            <v>0</v>
          </cell>
          <cell r="W10">
            <v>0</v>
          </cell>
          <cell r="X10">
            <v>0</v>
          </cell>
          <cell r="Z10">
            <v>0</v>
          </cell>
          <cell r="AB10">
            <v>0</v>
          </cell>
          <cell r="AD10">
            <v>0</v>
          </cell>
          <cell r="AF10">
            <v>0</v>
          </cell>
          <cell r="AH10" t="str">
            <v xml:space="preserve">Angkutan Umum </v>
          </cell>
          <cell r="AI10" t="str">
            <v>STT 10 November</v>
          </cell>
        </row>
        <row r="11">
          <cell r="A11">
            <v>10</v>
          </cell>
          <cell r="B11" t="str">
            <v>Prayitno</v>
          </cell>
          <cell r="C11" t="str">
            <v>-</v>
          </cell>
          <cell r="D11" t="str">
            <v>-</v>
          </cell>
          <cell r="E11" t="str">
            <v>-</v>
          </cell>
          <cell r="F11" t="str">
            <v>PPNPN</v>
          </cell>
          <cell r="G11" t="str">
            <v>-</v>
          </cell>
          <cell r="H11" t="str">
            <v>Melakukan Kegiatan Monitoring dan Evaluasi PTS STT 10 November tgl 15 Feb 2019</v>
          </cell>
          <cell r="I11" t="str">
            <v>DKI Jakarta</v>
          </cell>
          <cell r="J11" t="str">
            <v>DKI Jakarta</v>
          </cell>
          <cell r="K11">
            <v>1</v>
          </cell>
          <cell r="L11" t="str">
            <v>19 Februari 2018</v>
          </cell>
          <cell r="M11" t="str">
            <v>19 Februari 2018</v>
          </cell>
          <cell r="N11">
            <v>524114</v>
          </cell>
          <cell r="O11" t="str">
            <v>Belanja Perjalanan Dinas Paket Meeting Dalam Kota</v>
          </cell>
          <cell r="P11" t="str">
            <v>255/L3/TU/KA.11.00/2019</v>
          </cell>
          <cell r="Q11" t="str">
            <v>15 Februari 2019</v>
          </cell>
          <cell r="R11" t="str">
            <v>ya</v>
          </cell>
          <cell r="S11">
            <v>150000</v>
          </cell>
          <cell r="T11">
            <v>3138400</v>
          </cell>
          <cell r="V11">
            <v>0</v>
          </cell>
          <cell r="W11">
            <v>0</v>
          </cell>
          <cell r="X11">
            <v>0</v>
          </cell>
          <cell r="Z11">
            <v>0</v>
          </cell>
          <cell r="AB11">
            <v>0</v>
          </cell>
          <cell r="AD11">
            <v>0</v>
          </cell>
          <cell r="AF11">
            <v>0</v>
          </cell>
          <cell r="AH11" t="str">
            <v xml:space="preserve">Angkutan Umum </v>
          </cell>
          <cell r="AI11" t="str">
            <v>STT 10 November</v>
          </cell>
        </row>
        <row r="12">
          <cell r="A12">
            <v>11</v>
          </cell>
          <cell r="B12" t="str">
            <v>Norsanty</v>
          </cell>
          <cell r="C12" t="str">
            <v>196411031992032001</v>
          </cell>
          <cell r="D12" t="str">
            <v>III/d</v>
          </cell>
          <cell r="E12" t="str">
            <v>Penata Tk. I</v>
          </cell>
          <cell r="F12" t="str">
            <v>Kepala Bagian Kelembagaan dan Sistem Informasi</v>
          </cell>
          <cell r="G12" t="str">
            <v>Tingkat C</v>
          </cell>
          <cell r="H12" t="str">
            <v>Melakukan Monitoring dan Evaluasi ke Universitas Ibnu Chaldun, Jakarta</v>
          </cell>
          <cell r="I12" t="str">
            <v>DKI Jakarta</v>
          </cell>
          <cell r="J12" t="str">
            <v>DKI Jakarta</v>
          </cell>
          <cell r="K12">
            <v>1</v>
          </cell>
          <cell r="L12" t="str">
            <v>12 Maret 2018</v>
          </cell>
          <cell r="M12" t="str">
            <v>12 Maret 2018</v>
          </cell>
          <cell r="N12">
            <v>524114</v>
          </cell>
          <cell r="O12" t="str">
            <v>Belanja Perjalanan Dinas Paket Meeting Dalam Kota</v>
          </cell>
          <cell r="P12" t="str">
            <v>341/L3/TU/KA.11.00/2019</v>
          </cell>
          <cell r="Q12" t="str">
            <v>28 Februari 2018</v>
          </cell>
          <cell r="R12" t="str">
            <v>ya</v>
          </cell>
          <cell r="S12">
            <v>150000</v>
          </cell>
          <cell r="T12">
            <v>3138400</v>
          </cell>
          <cell r="V12">
            <v>0</v>
          </cell>
          <cell r="W12">
            <v>0</v>
          </cell>
          <cell r="X12">
            <v>0</v>
          </cell>
          <cell r="Z12">
            <v>0</v>
          </cell>
          <cell r="AB12">
            <v>0</v>
          </cell>
          <cell r="AD12">
            <v>0</v>
          </cell>
          <cell r="AE12" t="str">
            <v>ya</v>
          </cell>
          <cell r="AF12">
            <v>210000</v>
          </cell>
          <cell r="AH12" t="str">
            <v xml:space="preserve">Angkutan Umum </v>
          </cell>
          <cell r="AI12" t="str">
            <v>Universitas Ibnu Chaldun</v>
          </cell>
        </row>
        <row r="13">
          <cell r="A13">
            <v>12</v>
          </cell>
          <cell r="B13" t="str">
            <v>Mulhadi HM</v>
          </cell>
          <cell r="C13" t="str">
            <v>199204072015041001</v>
          </cell>
          <cell r="D13" t="str">
            <v>III/a</v>
          </cell>
          <cell r="E13" t="str">
            <v>Penata Muda</v>
          </cell>
          <cell r="F13" t="str">
            <v>Analis Kelembagaan pada Seksi Kelembagaan, dan Kerjasama pada Bidang Kelembagaan, dan Sistem Informasi</v>
          </cell>
          <cell r="G13" t="str">
            <v>Tingkat C</v>
          </cell>
          <cell r="H13" t="str">
            <v>Melakukan Monitoring dan Evaluasi ke Universitas Ibnu Chaldun, Jakarta</v>
          </cell>
          <cell r="I13" t="str">
            <v>DKI Jakarta</v>
          </cell>
          <cell r="J13" t="str">
            <v>DKI Jakarta</v>
          </cell>
          <cell r="K13">
            <v>1</v>
          </cell>
          <cell r="L13" t="str">
            <v>12 Maret 2018</v>
          </cell>
          <cell r="M13" t="str">
            <v>12 Maret 2018</v>
          </cell>
          <cell r="N13">
            <v>524114</v>
          </cell>
          <cell r="O13" t="str">
            <v>Belanja Perjalanan Dinas Paket Meeting Dalam Kota</v>
          </cell>
          <cell r="P13" t="str">
            <v>341/L3/TU/KA.11.00/2019</v>
          </cell>
          <cell r="Q13" t="str">
            <v>28 Februari 2018</v>
          </cell>
          <cell r="R13" t="str">
            <v>ya</v>
          </cell>
          <cell r="S13">
            <v>150000</v>
          </cell>
          <cell r="T13">
            <v>3138400</v>
          </cell>
          <cell r="V13">
            <v>0</v>
          </cell>
          <cell r="W13">
            <v>0</v>
          </cell>
          <cell r="X13">
            <v>0</v>
          </cell>
          <cell r="Z13">
            <v>0</v>
          </cell>
          <cell r="AB13">
            <v>0</v>
          </cell>
          <cell r="AD13">
            <v>0</v>
          </cell>
          <cell r="AE13" t="str">
            <v>ya</v>
          </cell>
          <cell r="AF13">
            <v>210000</v>
          </cell>
          <cell r="AH13" t="str">
            <v xml:space="preserve">Angkutan Umum </v>
          </cell>
          <cell r="AI13" t="str">
            <v>Universitas Ibnu Chaldun</v>
          </cell>
        </row>
        <row r="14">
          <cell r="A14">
            <v>13</v>
          </cell>
          <cell r="B14" t="str">
            <v>Achmadi</v>
          </cell>
          <cell r="C14" t="str">
            <v>196806271989031004</v>
          </cell>
          <cell r="D14" t="str">
            <v>II/c</v>
          </cell>
          <cell r="E14" t="str">
            <v>Pengatur</v>
          </cell>
          <cell r="F14" t="str">
            <v>Pengemudi pada Sub. Bagian Tata Usaha pada Bagian Umum</v>
          </cell>
          <cell r="G14" t="str">
            <v>Tingkat C</v>
          </cell>
          <cell r="H14" t="str">
            <v>Melakukan Monitoring dan Evaluasi ke Universitas Ibnu Chaldun, Jakarta</v>
          </cell>
          <cell r="I14" t="str">
            <v>DKI Jakarta</v>
          </cell>
          <cell r="J14" t="str">
            <v>DKI Jakarta</v>
          </cell>
          <cell r="K14">
            <v>1</v>
          </cell>
          <cell r="L14" t="str">
            <v>12 Maret 2018</v>
          </cell>
          <cell r="M14" t="str">
            <v>12 Maret 2018</v>
          </cell>
          <cell r="N14">
            <v>524114</v>
          </cell>
          <cell r="O14" t="str">
            <v>Belanja Perjalanan Dinas Paket Meeting Dalam Kota</v>
          </cell>
          <cell r="P14" t="str">
            <v>341/L3/TU/KA.11.00/2019</v>
          </cell>
          <cell r="Q14" t="str">
            <v>28 Februari 2018</v>
          </cell>
          <cell r="R14" t="str">
            <v>ya</v>
          </cell>
          <cell r="S14">
            <v>150000</v>
          </cell>
          <cell r="T14">
            <v>3138400</v>
          </cell>
          <cell r="V14">
            <v>0</v>
          </cell>
          <cell r="W14">
            <v>0</v>
          </cell>
          <cell r="X14">
            <v>0</v>
          </cell>
          <cell r="Z14">
            <v>0</v>
          </cell>
          <cell r="AB14">
            <v>0</v>
          </cell>
          <cell r="AD14">
            <v>0</v>
          </cell>
          <cell r="AE14" t="str">
            <v>ya</v>
          </cell>
          <cell r="AF14">
            <v>210000</v>
          </cell>
          <cell r="AH14" t="str">
            <v xml:space="preserve">Angkutan Umum </v>
          </cell>
          <cell r="AI14" t="str">
            <v>Universitas Ibnu Chaldun</v>
          </cell>
        </row>
        <row r="15">
          <cell r="A15">
            <v>14</v>
          </cell>
          <cell r="B15" t="str">
            <v>Sigit Nugroho</v>
          </cell>
          <cell r="C15" t="str">
            <v>-</v>
          </cell>
          <cell r="D15" t="str">
            <v>-</v>
          </cell>
          <cell r="E15" t="str">
            <v>-</v>
          </cell>
          <cell r="F15" t="str">
            <v>PPNPN</v>
          </cell>
          <cell r="G15" t="str">
            <v>-</v>
          </cell>
          <cell r="H15" t="str">
            <v>Melakukan Monitoring dan Evaluasi ke Universitas Ibnu Chaldun, Jakarta</v>
          </cell>
          <cell r="I15" t="str">
            <v>DKI Jakarta</v>
          </cell>
          <cell r="J15" t="str">
            <v>DKI Jakarta</v>
          </cell>
          <cell r="K15">
            <v>1</v>
          </cell>
          <cell r="L15" t="str">
            <v>12 Maret 2018</v>
          </cell>
          <cell r="M15" t="str">
            <v>12 Maret 2018</v>
          </cell>
          <cell r="N15">
            <v>524114</v>
          </cell>
          <cell r="O15" t="str">
            <v>Belanja Perjalanan Dinas Paket Meeting Dalam Kota</v>
          </cell>
          <cell r="P15" t="str">
            <v>341/L3/TU/KA.11.00/2019</v>
          </cell>
          <cell r="Q15" t="str">
            <v>28 Februari 2018</v>
          </cell>
          <cell r="R15" t="str">
            <v>ya</v>
          </cell>
          <cell r="S15">
            <v>150000</v>
          </cell>
          <cell r="T15">
            <v>3138400</v>
          </cell>
          <cell r="V15">
            <v>0</v>
          </cell>
          <cell r="W15">
            <v>0</v>
          </cell>
          <cell r="X15">
            <v>0</v>
          </cell>
          <cell r="Z15">
            <v>0</v>
          </cell>
          <cell r="AB15">
            <v>0</v>
          </cell>
          <cell r="AD15">
            <v>0</v>
          </cell>
          <cell r="AE15" t="str">
            <v>ya</v>
          </cell>
          <cell r="AF15">
            <v>210000</v>
          </cell>
          <cell r="AH15" t="str">
            <v xml:space="preserve">Angkutan Umum </v>
          </cell>
          <cell r="AI15" t="str">
            <v>Universitas Ibnu Chaldun</v>
          </cell>
        </row>
        <row r="16">
          <cell r="A16">
            <v>15</v>
          </cell>
          <cell r="B16" t="str">
            <v>Boy Alexandry</v>
          </cell>
          <cell r="C16" t="str">
            <v>196301091994031002</v>
          </cell>
          <cell r="D16" t="str">
            <v>IV/a</v>
          </cell>
          <cell r="E16" t="str">
            <v>Pembina</v>
          </cell>
          <cell r="F16" t="str">
            <v xml:space="preserve">Kepala Sub. Bagian Tata Usaha pada Bagian Umum                                          </v>
          </cell>
          <cell r="G16" t="str">
            <v>Tingkat C</v>
          </cell>
          <cell r="H16" t="str">
            <v>Melakukan Monitoring dan Evaluasi ke Sekolah Tinggi Ilmu Ekonomi Santa Ursula</v>
          </cell>
          <cell r="I16" t="str">
            <v>DKI Jakarta</v>
          </cell>
          <cell r="J16" t="str">
            <v>DKI Jakarta</v>
          </cell>
          <cell r="K16">
            <v>1</v>
          </cell>
          <cell r="L16" t="str">
            <v>12 Maret 2018</v>
          </cell>
          <cell r="M16" t="str">
            <v>12 Maret 2018</v>
          </cell>
          <cell r="N16">
            <v>524114</v>
          </cell>
          <cell r="O16" t="str">
            <v>Belanja Perjalanan Dinas Paket Meeting Dalam Kota</v>
          </cell>
          <cell r="P16" t="str">
            <v>341/L3/TU/KA.11.00/2019</v>
          </cell>
          <cell r="Q16" t="str">
            <v>28 Februari 2018</v>
          </cell>
          <cell r="R16" t="str">
            <v>ya</v>
          </cell>
          <cell r="S16">
            <v>150000</v>
          </cell>
          <cell r="T16">
            <v>3138400</v>
          </cell>
          <cell r="V16">
            <v>0</v>
          </cell>
          <cell r="W16">
            <v>0</v>
          </cell>
          <cell r="X16">
            <v>0</v>
          </cell>
          <cell r="Z16">
            <v>0</v>
          </cell>
          <cell r="AB16">
            <v>0</v>
          </cell>
          <cell r="AD16">
            <v>0</v>
          </cell>
          <cell r="AE16" t="str">
            <v>ya</v>
          </cell>
          <cell r="AF16">
            <v>210000</v>
          </cell>
          <cell r="AH16" t="str">
            <v xml:space="preserve">Angkutan Umum </v>
          </cell>
          <cell r="AI16" t="str">
            <v>Sekolah Tinggi Ilmu Ekonomi Santa Ursula</v>
          </cell>
        </row>
        <row r="17">
          <cell r="A17">
            <v>16</v>
          </cell>
          <cell r="B17" t="str">
            <v>Titah Widihastuti</v>
          </cell>
          <cell r="C17" t="str">
            <v>198312302010122003</v>
          </cell>
          <cell r="D17" t="str">
            <v>III/b</v>
          </cell>
          <cell r="E17" t="str">
            <v>Penata Muda Tk. I</v>
          </cell>
          <cell r="F17" t="str">
            <v>Analis Sistem Informasi pada Seksi Sistem Informasi pada Bidang Kelembagaan, dan Sistem Informasi</v>
          </cell>
          <cell r="G17" t="str">
            <v>Tingkat C</v>
          </cell>
          <cell r="H17" t="str">
            <v>Melakukan Monitoring dan Evaluasi ke Sekolah Tinggi Ilmu Ekonomi Santa Ursula</v>
          </cell>
          <cell r="I17" t="str">
            <v>DKI Jakarta</v>
          </cell>
          <cell r="J17" t="str">
            <v>DKI Jakarta</v>
          </cell>
          <cell r="K17">
            <v>1</v>
          </cell>
          <cell r="L17" t="str">
            <v>12 Maret 2018</v>
          </cell>
          <cell r="M17" t="str">
            <v>12 Maret 2018</v>
          </cell>
          <cell r="N17">
            <v>524114</v>
          </cell>
          <cell r="O17" t="str">
            <v>Belanja Perjalanan Dinas Paket Meeting Dalam Kota</v>
          </cell>
          <cell r="P17" t="str">
            <v>341/L3/TU/KA.11.00/2019</v>
          </cell>
          <cell r="Q17" t="str">
            <v>28 Februari 2018</v>
          </cell>
          <cell r="R17" t="str">
            <v>ya</v>
          </cell>
          <cell r="S17">
            <v>150000</v>
          </cell>
          <cell r="T17">
            <v>3138400</v>
          </cell>
          <cell r="V17">
            <v>0</v>
          </cell>
          <cell r="W17">
            <v>0</v>
          </cell>
          <cell r="X17">
            <v>0</v>
          </cell>
          <cell r="Z17">
            <v>0</v>
          </cell>
          <cell r="AB17">
            <v>0</v>
          </cell>
          <cell r="AD17">
            <v>0</v>
          </cell>
          <cell r="AE17" t="str">
            <v>ya</v>
          </cell>
          <cell r="AF17">
            <v>210000</v>
          </cell>
          <cell r="AH17" t="str">
            <v xml:space="preserve">Angkutan Umum </v>
          </cell>
          <cell r="AI17" t="str">
            <v>Sekolah Tinggi Ilmu Ekonomi Santa Ursula</v>
          </cell>
        </row>
        <row r="18">
          <cell r="A18">
            <v>17</v>
          </cell>
          <cell r="B18" t="str">
            <v>Ning Dwi Hastuti</v>
          </cell>
          <cell r="C18" t="str">
            <v>196408091988032001</v>
          </cell>
          <cell r="D18" t="str">
            <v>III/d</v>
          </cell>
          <cell r="E18" t="str">
            <v>Penata Tk. I</v>
          </cell>
          <cell r="F18" t="str">
            <v>Pengelola Informasi Akademik pada Seksi Akademik, dan Kemahasiswaan pada Bidang Akademik, Kemahasiswaan, dan Ketenagaan</v>
          </cell>
          <cell r="G18" t="str">
            <v>Tingkat C</v>
          </cell>
          <cell r="H18" t="str">
            <v>Melakukan Monitoring dan Evaluasi ke Sekolah Tinggi Ilmu Ekonomi Santa Ursula</v>
          </cell>
          <cell r="I18" t="str">
            <v>DKI Jakarta</v>
          </cell>
          <cell r="J18" t="str">
            <v>DKI Jakarta</v>
          </cell>
          <cell r="K18">
            <v>1</v>
          </cell>
          <cell r="L18" t="str">
            <v>12 Maret 2018</v>
          </cell>
          <cell r="M18" t="str">
            <v>12 Maret 2018</v>
          </cell>
          <cell r="N18">
            <v>524114</v>
          </cell>
          <cell r="O18" t="str">
            <v>Belanja Perjalanan Dinas Paket Meeting Dalam Kota</v>
          </cell>
          <cell r="P18" t="str">
            <v>341/L3/TU/KA.11.00/2019</v>
          </cell>
          <cell r="Q18" t="str">
            <v>28 Februari 2018</v>
          </cell>
          <cell r="R18" t="str">
            <v>ya</v>
          </cell>
          <cell r="S18">
            <v>150000</v>
          </cell>
          <cell r="T18">
            <v>3138400</v>
          </cell>
          <cell r="V18">
            <v>0</v>
          </cell>
          <cell r="W18">
            <v>0</v>
          </cell>
          <cell r="X18">
            <v>0</v>
          </cell>
          <cell r="Z18">
            <v>0</v>
          </cell>
          <cell r="AB18">
            <v>0</v>
          </cell>
          <cell r="AD18">
            <v>0</v>
          </cell>
          <cell r="AE18" t="str">
            <v>ya</v>
          </cell>
          <cell r="AF18">
            <v>210000</v>
          </cell>
          <cell r="AH18" t="str">
            <v xml:space="preserve">Angkutan Umum </v>
          </cell>
          <cell r="AI18" t="str">
            <v>Sekolah Tinggi Ilmu Ekonomi Santa Ursula</v>
          </cell>
        </row>
        <row r="19">
          <cell r="A19">
            <v>18</v>
          </cell>
          <cell r="B19" t="str">
            <v>Suratmi</v>
          </cell>
          <cell r="C19" t="str">
            <v>196809101986112001</v>
          </cell>
          <cell r="D19" t="str">
            <v>III/b</v>
          </cell>
          <cell r="E19" t="str">
            <v>Penata Muda Tk. I</v>
          </cell>
          <cell r="F19" t="str">
            <v>Pengadministrasi Pendidik Dan Tenaga Kependidikan pada Seksi Ketenagaan pada Bidang Akademik, Kemahasiswaan, dan Ketenagaan</v>
          </cell>
          <cell r="G19" t="str">
            <v>Tingkat C</v>
          </cell>
          <cell r="H19" t="str">
            <v>Melakukan Monitoring dan Evaluasi ke Sekolah Tinggi Ilmu Ekonomi Santa Ursula</v>
          </cell>
          <cell r="I19" t="str">
            <v>DKI Jakarta</v>
          </cell>
          <cell r="J19" t="str">
            <v>DKI Jakarta</v>
          </cell>
          <cell r="K19">
            <v>1</v>
          </cell>
          <cell r="L19" t="str">
            <v>12 Maret 2018</v>
          </cell>
          <cell r="M19" t="str">
            <v>12 Maret 2018</v>
          </cell>
          <cell r="N19">
            <v>524114</v>
          </cell>
          <cell r="O19" t="str">
            <v>Belanja Perjalanan Dinas Paket Meeting Dalam Kota</v>
          </cell>
          <cell r="P19" t="str">
            <v>341/L3/TU/KA.11.00/2019</v>
          </cell>
          <cell r="Q19" t="str">
            <v>28 Februari 2018</v>
          </cell>
          <cell r="R19" t="str">
            <v>ya</v>
          </cell>
          <cell r="S19">
            <v>150000</v>
          </cell>
          <cell r="T19">
            <v>3138400</v>
          </cell>
          <cell r="V19">
            <v>0</v>
          </cell>
          <cell r="W19">
            <v>0</v>
          </cell>
          <cell r="X19">
            <v>0</v>
          </cell>
          <cell r="Z19">
            <v>0</v>
          </cell>
          <cell r="AB19">
            <v>0</v>
          </cell>
          <cell r="AD19">
            <v>0</v>
          </cell>
          <cell r="AE19" t="str">
            <v>ya</v>
          </cell>
          <cell r="AF19">
            <v>210000</v>
          </cell>
          <cell r="AH19" t="str">
            <v xml:space="preserve">Angkutan Umum </v>
          </cell>
          <cell r="AI19" t="str">
            <v>Sekolah Tinggi Ilmu Ekonomi Santa Ursula</v>
          </cell>
        </row>
        <row r="20">
          <cell r="A20">
            <v>19</v>
          </cell>
          <cell r="B20" t="str">
            <v>Sri Mastuti</v>
          </cell>
          <cell r="C20" t="str">
            <v>196305161989022001</v>
          </cell>
          <cell r="D20" t="str">
            <v>IV/a</v>
          </cell>
          <cell r="E20" t="str">
            <v>Pembina</v>
          </cell>
          <cell r="F20" t="str">
            <v>Kepala Bagian Sumber Daya Perguruan Tinggi</v>
          </cell>
          <cell r="G20" t="str">
            <v>Tingkat C</v>
          </cell>
          <cell r="H20" t="str">
            <v>Melakukan Monitoring dan Evaluasi ke Akademi Terapi Wicara</v>
          </cell>
          <cell r="I20" t="str">
            <v>DKI Jakarta</v>
          </cell>
          <cell r="J20" t="str">
            <v>DKI Jakarta</v>
          </cell>
          <cell r="K20">
            <v>1</v>
          </cell>
          <cell r="L20" t="str">
            <v>12 Maret 2018</v>
          </cell>
          <cell r="M20" t="str">
            <v>12 Maret 2018</v>
          </cell>
          <cell r="N20">
            <v>524114</v>
          </cell>
          <cell r="O20" t="str">
            <v>Belanja Perjalanan Dinas Paket Meeting Dalam Kota</v>
          </cell>
          <cell r="P20" t="str">
            <v>341/L3/TU/KA.11.00/2019</v>
          </cell>
          <cell r="Q20" t="str">
            <v>28 Februari 2018</v>
          </cell>
          <cell r="R20" t="str">
            <v>ya</v>
          </cell>
          <cell r="S20">
            <v>150000</v>
          </cell>
          <cell r="T20">
            <v>3138400</v>
          </cell>
          <cell r="V20">
            <v>0</v>
          </cell>
          <cell r="W20">
            <v>0</v>
          </cell>
          <cell r="X20">
            <v>0</v>
          </cell>
          <cell r="Z20">
            <v>0</v>
          </cell>
          <cell r="AB20">
            <v>0</v>
          </cell>
          <cell r="AD20">
            <v>0</v>
          </cell>
          <cell r="AE20" t="str">
            <v>ya</v>
          </cell>
          <cell r="AF20">
            <v>210000</v>
          </cell>
          <cell r="AH20" t="str">
            <v xml:space="preserve">Angkutan Umum </v>
          </cell>
          <cell r="AI20" t="str">
            <v>Akademi Terapi Wicara, Jakarta</v>
          </cell>
        </row>
        <row r="21">
          <cell r="A21">
            <v>20</v>
          </cell>
          <cell r="B21" t="str">
            <v>Hidayat</v>
          </cell>
          <cell r="C21" t="str">
            <v>198608012015041003</v>
          </cell>
          <cell r="D21" t="str">
            <v>III/a</v>
          </cell>
          <cell r="E21" t="str">
            <v>Penata Muda</v>
          </cell>
          <cell r="F21" t="str">
            <v>Analis Kelembagaan pada Seksi Kelembagaan, dan Kerjasama pada Bidang Kelembagaan, dan Sistem Informasi</v>
          </cell>
          <cell r="G21" t="str">
            <v>Tingkat C</v>
          </cell>
          <cell r="H21" t="str">
            <v>Melakukan Monitoring dan Evaluasi ke Akademi Terapi Wicara</v>
          </cell>
          <cell r="I21" t="str">
            <v>DKI Jakarta</v>
          </cell>
          <cell r="J21" t="str">
            <v>DKI Jakarta</v>
          </cell>
          <cell r="K21">
            <v>1</v>
          </cell>
          <cell r="L21" t="str">
            <v>12 Maret 2018</v>
          </cell>
          <cell r="M21" t="str">
            <v>12 Maret 2018</v>
          </cell>
          <cell r="N21">
            <v>524114</v>
          </cell>
          <cell r="O21" t="str">
            <v>Belanja Perjalanan Dinas Paket Meeting Dalam Kota</v>
          </cell>
          <cell r="P21" t="str">
            <v>341/L3/TU/KA.11.00/2019</v>
          </cell>
          <cell r="Q21" t="str">
            <v>28 Februari 2018</v>
          </cell>
          <cell r="R21" t="str">
            <v>ya</v>
          </cell>
          <cell r="S21">
            <v>150000</v>
          </cell>
          <cell r="T21">
            <v>3138400</v>
          </cell>
          <cell r="V21">
            <v>0</v>
          </cell>
          <cell r="W21">
            <v>0</v>
          </cell>
          <cell r="X21">
            <v>0</v>
          </cell>
          <cell r="Z21">
            <v>0</v>
          </cell>
          <cell r="AB21">
            <v>0</v>
          </cell>
          <cell r="AD21">
            <v>0</v>
          </cell>
          <cell r="AE21" t="str">
            <v>ya</v>
          </cell>
          <cell r="AF21">
            <v>210000</v>
          </cell>
          <cell r="AH21" t="str">
            <v xml:space="preserve">Angkutan Umum </v>
          </cell>
          <cell r="AI21" t="str">
            <v>Akademi Terapi Wicara, Jakarta</v>
          </cell>
        </row>
        <row r="22">
          <cell r="A22">
            <v>21</v>
          </cell>
          <cell r="B22" t="str">
            <v>Ahmad Mustaadi</v>
          </cell>
          <cell r="C22" t="str">
            <v>196605181989021002</v>
          </cell>
          <cell r="D22" t="str">
            <v>III/b</v>
          </cell>
          <cell r="E22" t="str">
            <v>Penata Muda Tk. I</v>
          </cell>
          <cell r="F22" t="str">
            <v>Bendahara  pada Sub. Bagian Keuangan pada Bagian Umum</v>
          </cell>
          <cell r="G22">
            <v>0</v>
          </cell>
          <cell r="H22" t="str">
            <v>Melakukan Monitoring dan Evaluasi ke Akademi Terapi Wicara</v>
          </cell>
          <cell r="I22" t="str">
            <v>DKI Jakarta</v>
          </cell>
          <cell r="J22" t="str">
            <v>DKI Jakarta</v>
          </cell>
          <cell r="K22">
            <v>1</v>
          </cell>
          <cell r="L22" t="str">
            <v>12 Maret 2018</v>
          </cell>
          <cell r="M22" t="str">
            <v>12 Maret 2018</v>
          </cell>
          <cell r="N22">
            <v>524114</v>
          </cell>
          <cell r="O22" t="str">
            <v>Belanja Perjalanan Dinas Paket Meeting Dalam Kota</v>
          </cell>
          <cell r="P22" t="str">
            <v>341/L3/TU/KA.11.00/2019</v>
          </cell>
          <cell r="Q22" t="str">
            <v>28 Februari 2018</v>
          </cell>
          <cell r="R22" t="str">
            <v>ya</v>
          </cell>
          <cell r="S22">
            <v>150000</v>
          </cell>
          <cell r="T22">
            <v>3138400</v>
          </cell>
          <cell r="V22">
            <v>0</v>
          </cell>
          <cell r="W22">
            <v>0</v>
          </cell>
          <cell r="X22">
            <v>0</v>
          </cell>
          <cell r="Z22">
            <v>0</v>
          </cell>
          <cell r="AB22">
            <v>0</v>
          </cell>
          <cell r="AD22">
            <v>0</v>
          </cell>
          <cell r="AE22" t="str">
            <v>ya</v>
          </cell>
          <cell r="AF22">
            <v>210000</v>
          </cell>
          <cell r="AH22" t="str">
            <v xml:space="preserve">Angkutan Umum </v>
          </cell>
          <cell r="AI22" t="str">
            <v>Akademi Terapi Wicara, Jakarta</v>
          </cell>
        </row>
        <row r="23">
          <cell r="A23">
            <v>22</v>
          </cell>
          <cell r="B23" t="str">
            <v>Endang Sutisna</v>
          </cell>
          <cell r="C23" t="str">
            <v>197406292005011001</v>
          </cell>
          <cell r="D23" t="str">
            <v>II/d</v>
          </cell>
          <cell r="E23" t="str">
            <v>Pengatur Tk. I</v>
          </cell>
          <cell r="F23" t="str">
            <v>Pengadministrasi Kepegawaian pada Sub. Bagian Kepegawaian pada Bagian Umum</v>
          </cell>
          <cell r="G23" t="str">
            <v>Tingkat C</v>
          </cell>
          <cell r="H23" t="str">
            <v>Melakukan Monitoring dan Evaluasi ke Akademi Terapi Wicara</v>
          </cell>
          <cell r="I23" t="str">
            <v>DKI Jakarta</v>
          </cell>
          <cell r="J23" t="str">
            <v>DKI Jakarta</v>
          </cell>
          <cell r="K23">
            <v>1</v>
          </cell>
          <cell r="L23" t="str">
            <v>12 Maret 2018</v>
          </cell>
          <cell r="M23" t="str">
            <v>12 Maret 2018</v>
          </cell>
          <cell r="N23">
            <v>524114</v>
          </cell>
          <cell r="O23" t="str">
            <v>Belanja Perjalanan Dinas Paket Meeting Dalam Kota</v>
          </cell>
          <cell r="P23" t="str">
            <v>341/L3/TU/KA.11.00/2019</v>
          </cell>
          <cell r="Q23" t="str">
            <v>28 Februari 2018</v>
          </cell>
          <cell r="R23" t="str">
            <v>ya</v>
          </cell>
          <cell r="S23">
            <v>150000</v>
          </cell>
          <cell r="T23">
            <v>3138400</v>
          </cell>
          <cell r="V23">
            <v>0</v>
          </cell>
          <cell r="W23">
            <v>0</v>
          </cell>
          <cell r="X23">
            <v>0</v>
          </cell>
          <cell r="Z23">
            <v>0</v>
          </cell>
          <cell r="AB23">
            <v>0</v>
          </cell>
          <cell r="AD23">
            <v>0</v>
          </cell>
          <cell r="AE23" t="str">
            <v>ya</v>
          </cell>
          <cell r="AF23">
            <v>210000</v>
          </cell>
          <cell r="AH23" t="str">
            <v xml:space="preserve">Angkutan Umum </v>
          </cell>
          <cell r="AI23" t="str">
            <v>Akademi Terapi Wicara, Jakarta</v>
          </cell>
        </row>
        <row r="24">
          <cell r="A24">
            <v>23</v>
          </cell>
          <cell r="B24" t="str">
            <v>Damayanti</v>
          </cell>
          <cell r="C24" t="str">
            <v>196505291987032001</v>
          </cell>
          <cell r="D24" t="str">
            <v>III/d</v>
          </cell>
          <cell r="E24" t="str">
            <v>Penata Tk. I</v>
          </cell>
          <cell r="F24" t="str">
            <v xml:space="preserve">Pengadministrasi Persuratan pada Sub. Bagian Tata Usaha pada Bagian Umum  </v>
          </cell>
          <cell r="G24" t="str">
            <v>Tingkat C</v>
          </cell>
          <cell r="H24" t="str">
            <v>Melakukan Monitoring dan Evaluasi ke Akademi Terapi Wicara</v>
          </cell>
          <cell r="I24" t="str">
            <v>DKI Jakarta</v>
          </cell>
          <cell r="J24" t="str">
            <v>DKI Jakarta</v>
          </cell>
          <cell r="K24">
            <v>1</v>
          </cell>
          <cell r="L24" t="str">
            <v>12 Maret 2018</v>
          </cell>
          <cell r="M24" t="str">
            <v>12 Maret 2018</v>
          </cell>
          <cell r="N24">
            <v>524114</v>
          </cell>
          <cell r="O24" t="str">
            <v>Belanja Perjalanan Dinas Paket Meeting Dalam Kota</v>
          </cell>
          <cell r="P24" t="str">
            <v>341/L3/TU/KA.11.00/2019</v>
          </cell>
          <cell r="Q24" t="str">
            <v>28 Februari 2018</v>
          </cell>
          <cell r="R24" t="str">
            <v>ya</v>
          </cell>
          <cell r="S24">
            <v>150000</v>
          </cell>
          <cell r="T24">
            <v>3138400</v>
          </cell>
          <cell r="V24">
            <v>0</v>
          </cell>
          <cell r="W24">
            <v>0</v>
          </cell>
          <cell r="X24">
            <v>0</v>
          </cell>
          <cell r="Z24">
            <v>0</v>
          </cell>
          <cell r="AB24">
            <v>0</v>
          </cell>
          <cell r="AD24">
            <v>0</v>
          </cell>
          <cell r="AE24" t="str">
            <v>ya</v>
          </cell>
          <cell r="AF24">
            <v>210000</v>
          </cell>
          <cell r="AH24" t="str">
            <v xml:space="preserve">Angkutan Umum </v>
          </cell>
          <cell r="AI24" t="str">
            <v>Akademi Terapi Wicara, Jakarta</v>
          </cell>
        </row>
        <row r="25">
          <cell r="A25">
            <v>24</v>
          </cell>
          <cell r="B25" t="str">
            <v>M. Samsuri</v>
          </cell>
          <cell r="C25" t="str">
            <v>197901142003121001</v>
          </cell>
          <cell r="D25" t="str">
            <v>IV/a</v>
          </cell>
          <cell r="E25" t="str">
            <v>Pembina</v>
          </cell>
          <cell r="F25" t="str">
            <v>Sekretaris Lembaga</v>
          </cell>
          <cell r="G25" t="str">
            <v>Tingkat C</v>
          </cell>
          <cell r="H25" t="str">
            <v>Melakukan Monitoring dan Evaluasi ke Universitas Esa Unggul</v>
          </cell>
          <cell r="I25" t="str">
            <v>DKI Jakarta</v>
          </cell>
          <cell r="J25" t="str">
            <v>DKI Jakarta</v>
          </cell>
          <cell r="K25">
            <v>1</v>
          </cell>
          <cell r="L25" t="str">
            <v>12 Maret 2018</v>
          </cell>
          <cell r="M25" t="str">
            <v>12 Maret 2018</v>
          </cell>
          <cell r="N25">
            <v>524114</v>
          </cell>
          <cell r="O25" t="str">
            <v>Belanja Perjalanan Dinas Paket Meeting Dalam Kota</v>
          </cell>
          <cell r="P25" t="str">
            <v>341/L3/TU/KA.11.00/2019</v>
          </cell>
          <cell r="Q25" t="str">
            <v>28 Februari 2018</v>
          </cell>
          <cell r="R25" t="str">
            <v>ya</v>
          </cell>
          <cell r="T25">
            <v>3138400</v>
          </cell>
          <cell r="V25">
            <v>0</v>
          </cell>
          <cell r="W25">
            <v>0</v>
          </cell>
          <cell r="X25">
            <v>0</v>
          </cell>
          <cell r="Z25">
            <v>0</v>
          </cell>
          <cell r="AB25">
            <v>0</v>
          </cell>
          <cell r="AD25">
            <v>0</v>
          </cell>
          <cell r="AE25" t="str">
            <v>ya</v>
          </cell>
          <cell r="AF25">
            <v>210000</v>
          </cell>
          <cell r="AH25" t="str">
            <v xml:space="preserve">Angkutan Umum </v>
          </cell>
          <cell r="AI25" t="str">
            <v>Universitas Esa Unggul, Jakarta</v>
          </cell>
        </row>
        <row r="26">
          <cell r="A26">
            <v>25</v>
          </cell>
          <cell r="B26" t="str">
            <v>Noviyanto</v>
          </cell>
          <cell r="C26" t="str">
            <v>198111262008121001</v>
          </cell>
          <cell r="D26" t="str">
            <v>III/c</v>
          </cell>
          <cell r="E26" t="str">
            <v>Penata</v>
          </cell>
          <cell r="F26" t="str">
            <v>Analis Sistem Informasi pada Seksi Sistem Informasi pada Bidang Kelembagaan, dan Sistem Informasi</v>
          </cell>
          <cell r="G26" t="str">
            <v>Tingkat C</v>
          </cell>
          <cell r="H26" t="str">
            <v>Melakukan Monitoring dan Evaluasi ke Universitas Esa Unggul</v>
          </cell>
          <cell r="I26" t="str">
            <v>DKI Jakarta</v>
          </cell>
          <cell r="J26" t="str">
            <v>DKI Jakarta</v>
          </cell>
          <cell r="K26">
            <v>1</v>
          </cell>
          <cell r="L26" t="str">
            <v>12 Maret 2018</v>
          </cell>
          <cell r="M26" t="str">
            <v>12 Maret 2018</v>
          </cell>
          <cell r="N26">
            <v>524114</v>
          </cell>
          <cell r="O26" t="str">
            <v>Belanja Perjalanan Dinas Paket Meeting Dalam Kota</v>
          </cell>
          <cell r="P26" t="str">
            <v>341/L3/TU/KA.11.00/2019</v>
          </cell>
          <cell r="Q26" t="str">
            <v>28 Februari 2018</v>
          </cell>
          <cell r="R26" t="str">
            <v>ya</v>
          </cell>
          <cell r="S26">
            <v>150000</v>
          </cell>
          <cell r="T26">
            <v>3138400</v>
          </cell>
          <cell r="V26">
            <v>0</v>
          </cell>
          <cell r="W26">
            <v>0</v>
          </cell>
          <cell r="X26">
            <v>0</v>
          </cell>
          <cell r="Z26">
            <v>0</v>
          </cell>
          <cell r="AB26">
            <v>0</v>
          </cell>
          <cell r="AD26">
            <v>0</v>
          </cell>
          <cell r="AE26" t="str">
            <v>ya</v>
          </cell>
          <cell r="AF26">
            <v>210000</v>
          </cell>
          <cell r="AH26" t="str">
            <v xml:space="preserve">Angkutan Umum </v>
          </cell>
          <cell r="AI26" t="str">
            <v>Universitas Esa Unggul, Jakarta</v>
          </cell>
        </row>
        <row r="27">
          <cell r="A27">
            <v>26</v>
          </cell>
          <cell r="B27" t="str">
            <v>Prita Ekasari</v>
          </cell>
          <cell r="C27" t="str">
            <v>198410142009122008</v>
          </cell>
          <cell r="D27" t="str">
            <v>III/b</v>
          </cell>
          <cell r="E27" t="str">
            <v>Penata Muda Tk. I</v>
          </cell>
          <cell r="F27" t="str">
            <v>Analis Sistem Informasi pada Seksi Sistem Informasi pada Bidang Kelembagaan, dan Sistem Informasi</v>
          </cell>
          <cell r="G27" t="str">
            <v>Tingkat C</v>
          </cell>
          <cell r="H27" t="str">
            <v>Melakukan Monitoring dan Evaluasi ke Universitas Esa Unggul</v>
          </cell>
          <cell r="I27" t="str">
            <v>DKI Jakarta</v>
          </cell>
          <cell r="J27" t="str">
            <v>DKI Jakarta</v>
          </cell>
          <cell r="K27">
            <v>1</v>
          </cell>
          <cell r="L27" t="str">
            <v>12 Maret 2018</v>
          </cell>
          <cell r="M27" t="str">
            <v>12 Maret 2018</v>
          </cell>
          <cell r="N27">
            <v>524114</v>
          </cell>
          <cell r="O27" t="str">
            <v>Belanja Perjalanan Dinas Paket Meeting Dalam Kota</v>
          </cell>
          <cell r="P27" t="str">
            <v>341/L3/TU/KA.11.00/2019</v>
          </cell>
          <cell r="Q27" t="str">
            <v>28 Februari 2018</v>
          </cell>
          <cell r="R27" t="str">
            <v>ya</v>
          </cell>
          <cell r="S27">
            <v>150000</v>
          </cell>
          <cell r="T27">
            <v>3138400</v>
          </cell>
          <cell r="V27">
            <v>0</v>
          </cell>
          <cell r="W27">
            <v>0</v>
          </cell>
          <cell r="X27">
            <v>0</v>
          </cell>
          <cell r="Z27">
            <v>0</v>
          </cell>
          <cell r="AB27">
            <v>0</v>
          </cell>
          <cell r="AD27">
            <v>0</v>
          </cell>
          <cell r="AE27" t="str">
            <v>ya</v>
          </cell>
          <cell r="AF27">
            <v>210000</v>
          </cell>
          <cell r="AH27" t="str">
            <v xml:space="preserve">Angkutan Umum </v>
          </cell>
          <cell r="AI27" t="str">
            <v>Universitas Esa Unggul, Jakarta</v>
          </cell>
        </row>
        <row r="28">
          <cell r="A28">
            <v>27</v>
          </cell>
          <cell r="B28" t="str">
            <v>Agus Muhammad Ali</v>
          </cell>
          <cell r="C28" t="str">
            <v>197610072008121001</v>
          </cell>
          <cell r="D28" t="str">
            <v>III/c</v>
          </cell>
          <cell r="E28" t="str">
            <v>Penata</v>
          </cell>
          <cell r="F28" t="str">
            <v xml:space="preserve">Analis Kebijakan Barang Milik Negara pada  Sub. Bagian Tata Usaha pada Bagian Umum                               </v>
          </cell>
          <cell r="G28" t="str">
            <v>Tingkat C</v>
          </cell>
          <cell r="H28" t="str">
            <v>Melakukan Monitoring dan Evaluasi ke Universitas Esa Unggul</v>
          </cell>
          <cell r="I28" t="str">
            <v>DKI Jakarta</v>
          </cell>
          <cell r="J28" t="str">
            <v>DKI Jakarta</v>
          </cell>
          <cell r="K28">
            <v>1</v>
          </cell>
          <cell r="L28" t="str">
            <v>12 Maret 2018</v>
          </cell>
          <cell r="M28" t="str">
            <v>12 Maret 2018</v>
          </cell>
          <cell r="N28">
            <v>524114</v>
          </cell>
          <cell r="O28" t="str">
            <v>Belanja Perjalanan Dinas Paket Meeting Dalam Kota</v>
          </cell>
          <cell r="P28" t="str">
            <v>341/L3/TU/KA.11.00/2019</v>
          </cell>
          <cell r="Q28" t="str">
            <v>28 Februari 2018</v>
          </cell>
          <cell r="R28" t="str">
            <v>ya</v>
          </cell>
          <cell r="S28">
            <v>150000</v>
          </cell>
          <cell r="T28">
            <v>3138400</v>
          </cell>
          <cell r="V28">
            <v>0</v>
          </cell>
          <cell r="W28">
            <v>0</v>
          </cell>
          <cell r="X28">
            <v>0</v>
          </cell>
          <cell r="Z28">
            <v>0</v>
          </cell>
          <cell r="AB28">
            <v>0</v>
          </cell>
          <cell r="AD28">
            <v>0</v>
          </cell>
          <cell r="AE28" t="str">
            <v>ya</v>
          </cell>
          <cell r="AF28">
            <v>210000</v>
          </cell>
          <cell r="AH28" t="str">
            <v xml:space="preserve">Angkutan Umum </v>
          </cell>
          <cell r="AI28" t="str">
            <v>Universitas Esa Unggul, Jakarta</v>
          </cell>
        </row>
        <row r="29">
          <cell r="A29">
            <v>28</v>
          </cell>
          <cell r="B29" t="str">
            <v>Mudlikah</v>
          </cell>
          <cell r="C29" t="str">
            <v>196303111987032001</v>
          </cell>
          <cell r="D29" t="str">
            <v>III/d</v>
          </cell>
          <cell r="E29" t="str">
            <v>Penata Tk. I</v>
          </cell>
          <cell r="F29" t="str">
            <v xml:space="preserve">Pengadministrasi Persuratan pada Sub. Bagian Tata Usaha pada Bagian Umum        </v>
          </cell>
          <cell r="G29" t="str">
            <v>Tingkat B</v>
          </cell>
          <cell r="H29" t="str">
            <v>Melakukan Monitoring dan Evaluasi ke Universitas Esa Unggul</v>
          </cell>
          <cell r="I29" t="str">
            <v>DKI Jakarta</v>
          </cell>
          <cell r="J29" t="str">
            <v>DKI Jakarta</v>
          </cell>
          <cell r="K29">
            <v>1</v>
          </cell>
          <cell r="L29" t="str">
            <v>12 Maret 2018</v>
          </cell>
          <cell r="M29" t="str">
            <v>12 Maret 2018</v>
          </cell>
          <cell r="N29">
            <v>524114</v>
          </cell>
          <cell r="O29" t="str">
            <v>Belanja Perjalanan Dinas Paket Meeting Dalam Kota</v>
          </cell>
          <cell r="P29" t="str">
            <v>341/L3/TU/KA.11.00/2019</v>
          </cell>
          <cell r="Q29" t="str">
            <v>28 Februari 2018</v>
          </cell>
          <cell r="R29" t="str">
            <v>ya</v>
          </cell>
          <cell r="S29">
            <v>150000</v>
          </cell>
          <cell r="T29">
            <v>3138400</v>
          </cell>
          <cell r="V29">
            <v>0</v>
          </cell>
          <cell r="W29">
            <v>0</v>
          </cell>
          <cell r="X29">
            <v>0</v>
          </cell>
          <cell r="Z29">
            <v>0</v>
          </cell>
          <cell r="AB29">
            <v>0</v>
          </cell>
          <cell r="AD29">
            <v>0</v>
          </cell>
          <cell r="AE29" t="str">
            <v>ya</v>
          </cell>
          <cell r="AF29">
            <v>210000</v>
          </cell>
          <cell r="AH29" t="str">
            <v xml:space="preserve">Angkutan Umum </v>
          </cell>
          <cell r="AI29" t="str">
            <v>Universitas Esa Unggul, Jakarta</v>
          </cell>
        </row>
        <row r="30">
          <cell r="A30">
            <v>29</v>
          </cell>
          <cell r="B30" t="str">
            <v>Sugiarto</v>
          </cell>
          <cell r="C30" t="str">
            <v>196303021985101001</v>
          </cell>
          <cell r="D30" t="str">
            <v>III/b</v>
          </cell>
          <cell r="E30" t="str">
            <v>Penata Muda Tk. I</v>
          </cell>
          <cell r="F30" t="str">
            <v>Pengelola Informasi Kerjasama pada Seksi Kelembagaan, dan Kerjasama pada Bidang Kelembagaan, dan Sistem Informasi</v>
          </cell>
          <cell r="G30" t="str">
            <v>Tingkat C</v>
          </cell>
          <cell r="H30" t="str">
            <v>Melakukan Monitoring dan Evaluasi ke STIKes Tarumanegara, Jakarta</v>
          </cell>
          <cell r="I30" t="str">
            <v>DKI Jakarta</v>
          </cell>
          <cell r="J30" t="str">
            <v>DKI Jakarta</v>
          </cell>
          <cell r="K30">
            <v>1</v>
          </cell>
          <cell r="L30" t="str">
            <v>12 Maret 2018</v>
          </cell>
          <cell r="M30" t="str">
            <v>12 Maret 2018</v>
          </cell>
          <cell r="N30">
            <v>524114</v>
          </cell>
          <cell r="O30" t="str">
            <v>Belanja Perjalanan Dinas Paket Meeting Dalam Kota</v>
          </cell>
          <cell r="P30" t="str">
            <v>341/L3/TU/KA.11.00/2019</v>
          </cell>
          <cell r="Q30" t="str">
            <v>28 Februari 2018</v>
          </cell>
          <cell r="R30" t="str">
            <v>ya</v>
          </cell>
          <cell r="S30">
            <v>150000</v>
          </cell>
          <cell r="T30">
            <v>3138400</v>
          </cell>
          <cell r="V30">
            <v>0</v>
          </cell>
          <cell r="W30">
            <v>0</v>
          </cell>
          <cell r="X30">
            <v>0</v>
          </cell>
          <cell r="Z30">
            <v>0</v>
          </cell>
          <cell r="AB30">
            <v>0</v>
          </cell>
          <cell r="AD30">
            <v>0</v>
          </cell>
          <cell r="AE30" t="str">
            <v>ya</v>
          </cell>
          <cell r="AF30">
            <v>210000</v>
          </cell>
          <cell r="AH30" t="str">
            <v xml:space="preserve">Angkutan Umum </v>
          </cell>
          <cell r="AI30" t="str">
            <v>Stikes Tarumanegara, Jakarta</v>
          </cell>
        </row>
        <row r="31">
          <cell r="A31">
            <v>30</v>
          </cell>
          <cell r="B31" t="str">
            <v>Taufan Setyo Pranggono</v>
          </cell>
          <cell r="C31" t="str">
            <v>198303162010121006</v>
          </cell>
          <cell r="D31" t="str">
            <v>III/b</v>
          </cell>
          <cell r="E31" t="str">
            <v>Penata Muda Tk. I</v>
          </cell>
          <cell r="F31" t="str">
            <v>Analis Organisasi dan Tata Laksana pada Sub. Bagian Kepegawaian pada Bagian Umum</v>
          </cell>
          <cell r="G31" t="str">
            <v>Tingkat C</v>
          </cell>
          <cell r="H31" t="str">
            <v>Melakukan Monitoring dan Evaluasi ke STIKes Tarumanegara, Jakarta</v>
          </cell>
          <cell r="I31" t="str">
            <v>DKI Jakarta</v>
          </cell>
          <cell r="J31" t="str">
            <v>DKI Jakarta</v>
          </cell>
          <cell r="K31">
            <v>1</v>
          </cell>
          <cell r="L31" t="str">
            <v>12 Maret 2018</v>
          </cell>
          <cell r="M31" t="str">
            <v>12 Maret 2018</v>
          </cell>
          <cell r="N31">
            <v>524114</v>
          </cell>
          <cell r="O31" t="str">
            <v>Belanja Perjalanan Dinas Paket Meeting Dalam Kota</v>
          </cell>
          <cell r="P31" t="str">
            <v>341/L3/TU/KA.11.00/2019</v>
          </cell>
          <cell r="Q31" t="str">
            <v>28 Februari 2018</v>
          </cell>
          <cell r="R31" t="str">
            <v>ya</v>
          </cell>
          <cell r="S31">
            <v>150000</v>
          </cell>
          <cell r="T31">
            <v>3138400</v>
          </cell>
          <cell r="V31">
            <v>0</v>
          </cell>
          <cell r="W31">
            <v>0</v>
          </cell>
          <cell r="X31">
            <v>0</v>
          </cell>
          <cell r="Z31">
            <v>0</v>
          </cell>
          <cell r="AB31">
            <v>0</v>
          </cell>
          <cell r="AD31">
            <v>0</v>
          </cell>
          <cell r="AE31" t="str">
            <v>ya</v>
          </cell>
          <cell r="AF31">
            <v>210000</v>
          </cell>
          <cell r="AH31" t="str">
            <v xml:space="preserve">Angkutan Umum </v>
          </cell>
          <cell r="AI31" t="str">
            <v>Stikes Tarumanegara, Jakarta</v>
          </cell>
        </row>
        <row r="32">
          <cell r="A32">
            <v>31</v>
          </cell>
          <cell r="B32" t="str">
            <v>Suherman</v>
          </cell>
          <cell r="C32" t="str">
            <v>196403131987031002</v>
          </cell>
          <cell r="D32" t="str">
            <v>III/c</v>
          </cell>
          <cell r="E32" t="str">
            <v>Penata</v>
          </cell>
          <cell r="F32" t="str">
            <v>Pengelola Keuangan pada Sub. Bagian Keuangan pada Bagian Umum</v>
          </cell>
          <cell r="G32" t="str">
            <v>Tingkat C</v>
          </cell>
          <cell r="H32" t="str">
            <v>Melakukan Monitoring dan Evaluasi ke STIKes Tarumanegara, Jakarta</v>
          </cell>
          <cell r="I32" t="str">
            <v>DKI Jakarta</v>
          </cell>
          <cell r="J32" t="str">
            <v>DKI Jakarta</v>
          </cell>
          <cell r="K32">
            <v>1</v>
          </cell>
          <cell r="L32" t="str">
            <v>12 Maret 2018</v>
          </cell>
          <cell r="M32" t="str">
            <v>12 Maret 2018</v>
          </cell>
          <cell r="N32">
            <v>524114</v>
          </cell>
          <cell r="O32" t="str">
            <v>Belanja Perjalanan Dinas Paket Meeting Dalam Kota</v>
          </cell>
          <cell r="P32" t="str">
            <v>341/L3/TU/KA.11.00/2019</v>
          </cell>
          <cell r="Q32" t="str">
            <v>28 Februari 2018</v>
          </cell>
          <cell r="R32" t="str">
            <v>ya</v>
          </cell>
          <cell r="S32">
            <v>150000</v>
          </cell>
          <cell r="T32">
            <v>3138400</v>
          </cell>
          <cell r="V32">
            <v>0</v>
          </cell>
          <cell r="W32">
            <v>0</v>
          </cell>
          <cell r="X32">
            <v>0</v>
          </cell>
          <cell r="Z32">
            <v>0</v>
          </cell>
          <cell r="AB32">
            <v>0</v>
          </cell>
          <cell r="AD32">
            <v>0</v>
          </cell>
          <cell r="AE32" t="str">
            <v>ya</v>
          </cell>
          <cell r="AF32">
            <v>210000</v>
          </cell>
          <cell r="AH32" t="str">
            <v xml:space="preserve">Angkutan Umum </v>
          </cell>
          <cell r="AI32" t="str">
            <v>Stikes Tarumanegara, Jakarta</v>
          </cell>
        </row>
        <row r="33">
          <cell r="A33">
            <v>32</v>
          </cell>
          <cell r="B33" t="str">
            <v>Siti Sulastri</v>
          </cell>
          <cell r="C33" t="str">
            <v>196407041988032001</v>
          </cell>
          <cell r="D33" t="str">
            <v>III/d</v>
          </cell>
          <cell r="E33" t="str">
            <v>Penata Tk. I</v>
          </cell>
          <cell r="F33" t="str">
            <v>Penyusun Bahan Publikasi pada Seksi Sistem Informasi pada Bidang Kelembagaan, dan Sistem Informasi</v>
          </cell>
          <cell r="G33" t="str">
            <v>Tingkat C</v>
          </cell>
          <cell r="H33" t="str">
            <v>Melakukan Monitoring dan Evaluasi ke STIKes Tarumanegara, Jakarta</v>
          </cell>
          <cell r="I33" t="str">
            <v>DKI Jakarta</v>
          </cell>
          <cell r="J33" t="str">
            <v>DKI Jakarta</v>
          </cell>
          <cell r="K33">
            <v>1</v>
          </cell>
          <cell r="L33" t="str">
            <v>12 Maret 2018</v>
          </cell>
          <cell r="M33" t="str">
            <v>12 Maret 2018</v>
          </cell>
          <cell r="N33">
            <v>524114</v>
          </cell>
          <cell r="O33" t="str">
            <v>Belanja Perjalanan Dinas Paket Meeting Dalam Kota</v>
          </cell>
          <cell r="P33" t="str">
            <v>341/L3/TU/KA.11.00/2019</v>
          </cell>
          <cell r="Q33" t="str">
            <v>28 Februari 2018</v>
          </cell>
          <cell r="R33" t="str">
            <v>ya</v>
          </cell>
          <cell r="S33">
            <v>150000</v>
          </cell>
          <cell r="T33">
            <v>3138400</v>
          </cell>
          <cell r="V33">
            <v>0</v>
          </cell>
          <cell r="W33">
            <v>0</v>
          </cell>
          <cell r="X33">
            <v>0</v>
          </cell>
          <cell r="Z33">
            <v>0</v>
          </cell>
          <cell r="AB33">
            <v>0</v>
          </cell>
          <cell r="AD33">
            <v>0</v>
          </cell>
          <cell r="AE33" t="str">
            <v>ya</v>
          </cell>
          <cell r="AF33">
            <v>210000</v>
          </cell>
          <cell r="AH33" t="str">
            <v xml:space="preserve">Angkutan Umum </v>
          </cell>
          <cell r="AI33" t="str">
            <v>Stikes Tarumanegara, Jakarta</v>
          </cell>
        </row>
        <row r="34">
          <cell r="A34">
            <v>33</v>
          </cell>
          <cell r="B34" t="str">
            <v>Syarifudin</v>
          </cell>
          <cell r="C34" t="str">
            <v>196706061988031004</v>
          </cell>
          <cell r="D34" t="str">
            <v>III/c</v>
          </cell>
          <cell r="E34" t="str">
            <v>Penata</v>
          </cell>
          <cell r="F34" t="str">
            <v xml:space="preserve">Pengadministrasi Persuratan pada Sub. Bagian Tata Usaha pada Bagian Umum        </v>
          </cell>
          <cell r="G34" t="str">
            <v>Tingkat C</v>
          </cell>
          <cell r="H34" t="str">
            <v>Melakukan Monitoring dan Evaluasi ke STIKes Tarumanegara, Jakarta</v>
          </cell>
          <cell r="I34" t="str">
            <v>DKI Jakarta</v>
          </cell>
          <cell r="J34" t="str">
            <v>DKI Jakarta</v>
          </cell>
          <cell r="K34">
            <v>1</v>
          </cell>
          <cell r="L34" t="str">
            <v>12 Maret 2018</v>
          </cell>
          <cell r="M34" t="str">
            <v>12 Maret 2018</v>
          </cell>
          <cell r="N34">
            <v>524114</v>
          </cell>
          <cell r="O34" t="str">
            <v>Belanja Perjalanan Dinas Paket Meeting Dalam Kota</v>
          </cell>
          <cell r="P34" t="str">
            <v>341/L3/TU/KA.11.00/2019</v>
          </cell>
          <cell r="Q34" t="str">
            <v>28 Februari 2018</v>
          </cell>
          <cell r="R34" t="str">
            <v>ya</v>
          </cell>
          <cell r="S34">
            <v>150000</v>
          </cell>
          <cell r="T34">
            <v>3138400</v>
          </cell>
          <cell r="V34">
            <v>0</v>
          </cell>
          <cell r="W34">
            <v>0</v>
          </cell>
          <cell r="X34">
            <v>0</v>
          </cell>
          <cell r="Z34">
            <v>0</v>
          </cell>
          <cell r="AB34">
            <v>0</v>
          </cell>
          <cell r="AD34">
            <v>0</v>
          </cell>
          <cell r="AE34" t="str">
            <v>ya</v>
          </cell>
          <cell r="AF34">
            <v>210000</v>
          </cell>
          <cell r="AH34" t="str">
            <v xml:space="preserve">Angkutan Umum </v>
          </cell>
          <cell r="AI34" t="str">
            <v>Stikes Tarumanegara, Jakarta</v>
          </cell>
        </row>
        <row r="35">
          <cell r="A35">
            <v>34</v>
          </cell>
          <cell r="B35" t="str">
            <v>Sugiarto</v>
          </cell>
          <cell r="C35" t="str">
            <v>196303021985101001</v>
          </cell>
          <cell r="D35" t="str">
            <v>III/b</v>
          </cell>
          <cell r="E35" t="str">
            <v>Penata Muda Tk. I</v>
          </cell>
          <cell r="F35" t="str">
            <v>Pengelola Informasi Kerjasama pada Seksi Kelembagaan, dan Kerjasama pada Bidang Kelembagaan, dan Sistem Informasi</v>
          </cell>
          <cell r="G35" t="str">
            <v>Tingkat C</v>
          </cell>
          <cell r="H35" t="str">
            <v xml:space="preserve">Melakukan Monitoring dan Evaluasi ke Akademi Keperawatan As-Syafi'iyah </v>
          </cell>
          <cell r="I35" t="str">
            <v>DKI Jakarta</v>
          </cell>
          <cell r="J35" t="str">
            <v>DKI Jakarta</v>
          </cell>
          <cell r="K35">
            <v>1</v>
          </cell>
          <cell r="L35" t="str">
            <v>12 Maret 2018</v>
          </cell>
          <cell r="M35" t="str">
            <v>12 Maret 2018</v>
          </cell>
          <cell r="N35">
            <v>524114</v>
          </cell>
          <cell r="O35" t="str">
            <v>Belanja Perjalanan Dinas Paket Meeting Dalam Kota</v>
          </cell>
          <cell r="P35" t="str">
            <v>341/L3/TU/KA.11.00/2019</v>
          </cell>
          <cell r="Q35" t="str">
            <v>28 Februari 2018</v>
          </cell>
          <cell r="R35" t="str">
            <v>ya</v>
          </cell>
          <cell r="S35">
            <v>150000</v>
          </cell>
          <cell r="T35">
            <v>3138400</v>
          </cell>
          <cell r="V35">
            <v>0</v>
          </cell>
          <cell r="W35">
            <v>0</v>
          </cell>
          <cell r="X35">
            <v>0</v>
          </cell>
          <cell r="Z35">
            <v>0</v>
          </cell>
          <cell r="AB35">
            <v>0</v>
          </cell>
          <cell r="AD35">
            <v>0</v>
          </cell>
          <cell r="AE35" t="str">
            <v>ya</v>
          </cell>
          <cell r="AF35">
            <v>210000</v>
          </cell>
          <cell r="AH35" t="str">
            <v xml:space="preserve">Angkutan Umum </v>
          </cell>
          <cell r="AI35" t="str">
            <v>Akademi Keperawatan As-Syafi'iyah, Jakarta</v>
          </cell>
        </row>
        <row r="36">
          <cell r="A36">
            <v>35</v>
          </cell>
          <cell r="B36" t="str">
            <v>Taufan Setyo Pranggono</v>
          </cell>
          <cell r="C36" t="str">
            <v>198303162010121006</v>
          </cell>
          <cell r="D36" t="str">
            <v>III/b</v>
          </cell>
          <cell r="E36" t="str">
            <v>Penata Muda Tk. I</v>
          </cell>
          <cell r="F36" t="str">
            <v>Analis Organisasi dan Tata Laksana pada Sub. Bagian Kepegawaian pada Bagian Umum</v>
          </cell>
          <cell r="G36" t="str">
            <v>Tingkat C</v>
          </cell>
          <cell r="H36" t="str">
            <v xml:space="preserve">Melakukan Monitoring dan Evaluasi ke Akademi Keperawatan As-Syafi'iyah </v>
          </cell>
          <cell r="I36" t="str">
            <v>DKI Jakarta</v>
          </cell>
          <cell r="J36" t="str">
            <v>DKI Jakarta</v>
          </cell>
          <cell r="K36">
            <v>1</v>
          </cell>
          <cell r="L36" t="str">
            <v>12 Maret 2018</v>
          </cell>
          <cell r="M36" t="str">
            <v>12 Maret 2018</v>
          </cell>
          <cell r="N36">
            <v>524114</v>
          </cell>
          <cell r="O36" t="str">
            <v>Belanja Perjalanan Dinas Paket Meeting Dalam Kota</v>
          </cell>
          <cell r="P36" t="str">
            <v>341/L3/TU/KA.11.00/2019</v>
          </cell>
          <cell r="Q36" t="str">
            <v>28 Februari 2018</v>
          </cell>
          <cell r="R36" t="str">
            <v>ya</v>
          </cell>
          <cell r="S36">
            <v>150000</v>
          </cell>
          <cell r="T36">
            <v>3138400</v>
          </cell>
          <cell r="V36">
            <v>0</v>
          </cell>
          <cell r="W36">
            <v>0</v>
          </cell>
          <cell r="X36">
            <v>0</v>
          </cell>
          <cell r="Z36">
            <v>0</v>
          </cell>
          <cell r="AB36">
            <v>0</v>
          </cell>
          <cell r="AD36">
            <v>0</v>
          </cell>
          <cell r="AE36" t="str">
            <v>ya</v>
          </cell>
          <cell r="AF36">
            <v>210000</v>
          </cell>
          <cell r="AH36" t="str">
            <v xml:space="preserve">Angkutan Umum </v>
          </cell>
          <cell r="AI36" t="str">
            <v>Akademi Keperawatan As-Syafi'iyah, Jakarta</v>
          </cell>
        </row>
        <row r="37">
          <cell r="A37">
            <v>36</v>
          </cell>
          <cell r="B37" t="str">
            <v>Nur Fadillah</v>
          </cell>
          <cell r="C37" t="str">
            <v>198603192009122007</v>
          </cell>
          <cell r="D37" t="str">
            <v>III/b</v>
          </cell>
          <cell r="E37" t="str">
            <v>Penata Muda Tk. I</v>
          </cell>
          <cell r="F37" t="str">
            <v>Pengadministrasi Keuangan pada Sub. Bagian Keuangan pada Bagian Umum</v>
          </cell>
          <cell r="G37" t="str">
            <v>Tingkat C</v>
          </cell>
          <cell r="H37" t="str">
            <v xml:space="preserve">Melakukan Monitoring dan Evaluasi ke Akademi Keperawatan As-Syafi'iyah </v>
          </cell>
          <cell r="I37" t="str">
            <v>DKI Jakarta</v>
          </cell>
          <cell r="J37" t="str">
            <v>DKI Jakarta</v>
          </cell>
          <cell r="K37">
            <v>1</v>
          </cell>
          <cell r="L37" t="str">
            <v>12 Maret 2018</v>
          </cell>
          <cell r="M37" t="str">
            <v>12 Maret 2018</v>
          </cell>
          <cell r="N37">
            <v>524114</v>
          </cell>
          <cell r="O37" t="str">
            <v>Belanja Perjalanan Dinas Paket Meeting Dalam Kota</v>
          </cell>
          <cell r="P37" t="str">
            <v>341/L3/TU/KA.11.00/2019</v>
          </cell>
          <cell r="Q37" t="str">
            <v>28 Februari 2018</v>
          </cell>
          <cell r="R37" t="str">
            <v>ya</v>
          </cell>
          <cell r="S37">
            <v>150000</v>
          </cell>
          <cell r="T37">
            <v>3138400</v>
          </cell>
          <cell r="V37">
            <v>0</v>
          </cell>
          <cell r="W37">
            <v>0</v>
          </cell>
          <cell r="X37">
            <v>0</v>
          </cell>
          <cell r="Z37">
            <v>0</v>
          </cell>
          <cell r="AB37">
            <v>0</v>
          </cell>
          <cell r="AD37">
            <v>0</v>
          </cell>
          <cell r="AE37" t="str">
            <v>ya</v>
          </cell>
          <cell r="AF37">
            <v>210000</v>
          </cell>
          <cell r="AH37" t="str">
            <v xml:space="preserve">Angkutan Umum </v>
          </cell>
          <cell r="AI37" t="str">
            <v>Akademi Keperawatan As-Syafi'iyah, Jakarta</v>
          </cell>
        </row>
        <row r="38">
          <cell r="A38">
            <v>37</v>
          </cell>
          <cell r="B38" t="str">
            <v>Siti Sulastri</v>
          </cell>
          <cell r="C38" t="str">
            <v>196407041988032001</v>
          </cell>
          <cell r="D38" t="str">
            <v>III/d</v>
          </cell>
          <cell r="E38" t="str">
            <v>Penata Tk. I</v>
          </cell>
          <cell r="F38" t="str">
            <v>Penyusun Bahan Publikasi pada Seksi Sistem Informasi pada Bidang Kelembagaan, dan Sistem Informasi</v>
          </cell>
          <cell r="G38" t="str">
            <v>Tingkat C</v>
          </cell>
          <cell r="H38" t="str">
            <v xml:space="preserve">Melakukan Monitoring dan Evaluasi ke Akademi Keperawatan As-Syafi'iyah </v>
          </cell>
          <cell r="I38" t="str">
            <v>DKI Jakarta</v>
          </cell>
          <cell r="J38" t="str">
            <v>DKI Jakarta</v>
          </cell>
          <cell r="K38">
            <v>1</v>
          </cell>
          <cell r="L38" t="str">
            <v>12 Maret 2018</v>
          </cell>
          <cell r="M38" t="str">
            <v>12 Maret 2018</v>
          </cell>
          <cell r="N38">
            <v>524114</v>
          </cell>
          <cell r="O38" t="str">
            <v>Belanja Perjalanan Dinas Paket Meeting Dalam Kota</v>
          </cell>
          <cell r="P38" t="str">
            <v>341/L3/TU/KA.11.00/2019</v>
          </cell>
          <cell r="Q38" t="str">
            <v>28 Februari 2018</v>
          </cell>
          <cell r="R38" t="str">
            <v>ya</v>
          </cell>
          <cell r="S38">
            <v>150000</v>
          </cell>
          <cell r="T38">
            <v>3138400</v>
          </cell>
          <cell r="V38">
            <v>0</v>
          </cell>
          <cell r="W38">
            <v>0</v>
          </cell>
          <cell r="X38">
            <v>0</v>
          </cell>
          <cell r="Z38">
            <v>0</v>
          </cell>
          <cell r="AB38">
            <v>0</v>
          </cell>
          <cell r="AD38">
            <v>0</v>
          </cell>
          <cell r="AE38" t="str">
            <v>ya</v>
          </cell>
          <cell r="AF38">
            <v>210000</v>
          </cell>
          <cell r="AH38" t="str">
            <v xml:space="preserve">Angkutan Umum </v>
          </cell>
          <cell r="AI38" t="str">
            <v>Akademi Keperawatan As-Syafi'iyah, Jakarta</v>
          </cell>
        </row>
        <row r="39">
          <cell r="A39">
            <v>38</v>
          </cell>
          <cell r="B39" t="str">
            <v>Nurul Amalia</v>
          </cell>
          <cell r="C39" t="str">
            <v>-</v>
          </cell>
          <cell r="D39" t="str">
            <v>-</v>
          </cell>
          <cell r="E39" t="str">
            <v>-</v>
          </cell>
          <cell r="F39" t="str">
            <v>PPNPN</v>
          </cell>
          <cell r="G39" t="str">
            <v>-</v>
          </cell>
          <cell r="H39" t="str">
            <v xml:space="preserve">Melakukan Monitoring dan Evaluasi ke Akademi Keperawatan As-Syafi'iyah </v>
          </cell>
          <cell r="I39" t="str">
            <v>DKI Jakarta</v>
          </cell>
          <cell r="J39" t="str">
            <v>DKI Jakarta</v>
          </cell>
          <cell r="K39">
            <v>1</v>
          </cell>
          <cell r="L39" t="str">
            <v>12 Maret 2018</v>
          </cell>
          <cell r="M39" t="str">
            <v>12 Maret 2018</v>
          </cell>
          <cell r="N39">
            <v>524114</v>
          </cell>
          <cell r="O39" t="str">
            <v>Belanja Perjalanan Dinas Paket Meeting Dalam Kota</v>
          </cell>
          <cell r="P39" t="str">
            <v>341/L3/TU/KA.11.00/2019</v>
          </cell>
          <cell r="Q39" t="str">
            <v>28 Februari 2018</v>
          </cell>
          <cell r="R39" t="str">
            <v>ya</v>
          </cell>
          <cell r="S39">
            <v>150000</v>
          </cell>
          <cell r="T39">
            <v>3138400</v>
          </cell>
          <cell r="V39">
            <v>0</v>
          </cell>
          <cell r="W39">
            <v>0</v>
          </cell>
          <cell r="X39">
            <v>0</v>
          </cell>
          <cell r="Z39">
            <v>0</v>
          </cell>
          <cell r="AB39">
            <v>0</v>
          </cell>
          <cell r="AD39">
            <v>0</v>
          </cell>
          <cell r="AE39" t="str">
            <v>ya</v>
          </cell>
          <cell r="AF39">
            <v>210000</v>
          </cell>
          <cell r="AH39" t="str">
            <v xml:space="preserve">Angkutan Umum </v>
          </cell>
          <cell r="AI39" t="str">
            <v>Akademi Keperawatan As-Syafi'iyah, Jakarta</v>
          </cell>
        </row>
        <row r="40">
          <cell r="A40">
            <v>39</v>
          </cell>
          <cell r="B40" t="str">
            <v>Mulhadi HM</v>
          </cell>
          <cell r="C40" t="str">
            <v>199204072015041001</v>
          </cell>
          <cell r="D40" t="str">
            <v>III/a</v>
          </cell>
          <cell r="E40" t="str">
            <v>Penata Muda</v>
          </cell>
          <cell r="F40" t="str">
            <v>Analis Kelembagaan pada Seksi Kelembagaan, dan Kerjasama pada Bidang Kelembagaan, dan Sistem Informasi</v>
          </cell>
          <cell r="G40" t="str">
            <v>Tingkat C</v>
          </cell>
          <cell r="H40" t="str">
            <v>Melakukan Monitoring dan Evaluasi ke Universitas Islam As-Syafi'iyah, Jakarta</v>
          </cell>
          <cell r="I40" t="str">
            <v>DKI Jakarta</v>
          </cell>
          <cell r="J40" t="str">
            <v>DKI Jakarta</v>
          </cell>
          <cell r="K40">
            <v>1</v>
          </cell>
          <cell r="L40" t="str">
            <v>13 Maret 2018</v>
          </cell>
          <cell r="M40" t="str">
            <v>13 Maret 2018</v>
          </cell>
          <cell r="N40">
            <v>524114</v>
          </cell>
          <cell r="O40" t="str">
            <v>Belanja Perjalanan Dinas Paket Meeting Dalam Kota</v>
          </cell>
          <cell r="P40" t="str">
            <v>341/L3/TU/KA.11.00/2019</v>
          </cell>
          <cell r="Q40" t="str">
            <v>28 Februari 2018</v>
          </cell>
          <cell r="R40" t="str">
            <v>ya</v>
          </cell>
          <cell r="S40">
            <v>150000</v>
          </cell>
          <cell r="T40">
            <v>3138400</v>
          </cell>
          <cell r="V40">
            <v>0</v>
          </cell>
          <cell r="W40">
            <v>0</v>
          </cell>
          <cell r="X40">
            <v>0</v>
          </cell>
          <cell r="Z40">
            <v>0</v>
          </cell>
          <cell r="AB40">
            <v>0</v>
          </cell>
          <cell r="AD40">
            <v>0</v>
          </cell>
          <cell r="AE40" t="str">
            <v>ya</v>
          </cell>
          <cell r="AF40">
            <v>210000</v>
          </cell>
          <cell r="AH40" t="str">
            <v xml:space="preserve">Angkutan Umum </v>
          </cell>
          <cell r="AI40" t="str">
            <v>Universitas Islam As-Syafi'iyah, Jakarta</v>
          </cell>
        </row>
        <row r="41">
          <cell r="A41">
            <v>40</v>
          </cell>
          <cell r="B41" t="str">
            <v>Asri Fika Agusti</v>
          </cell>
          <cell r="C41" t="str">
            <v>198708192009122006</v>
          </cell>
          <cell r="D41" t="str">
            <v>III/c</v>
          </cell>
          <cell r="E41" t="str">
            <v>Penata</v>
          </cell>
          <cell r="F41" t="str">
            <v>Pengelola Keuangan pada Sub. Bagian Keuangan pada Bagian Umum</v>
          </cell>
          <cell r="G41" t="str">
            <v>Tingkat C</v>
          </cell>
          <cell r="H41" t="str">
            <v>Melakukan Monitoring dan Evaluasi ke Universitas Islam As-Syafi'iyah, Jakarta</v>
          </cell>
          <cell r="I41" t="str">
            <v>DKI Jakarta</v>
          </cell>
          <cell r="J41" t="str">
            <v>DKI Jakarta</v>
          </cell>
          <cell r="K41">
            <v>1</v>
          </cell>
          <cell r="L41" t="str">
            <v>13 Maret 2018</v>
          </cell>
          <cell r="M41" t="str">
            <v>13 Maret 2018</v>
          </cell>
          <cell r="N41">
            <v>524114</v>
          </cell>
          <cell r="O41" t="str">
            <v>Belanja Perjalanan Dinas Paket Meeting Dalam Kota</v>
          </cell>
          <cell r="P41" t="str">
            <v>341/L3/TU/KA.11.00/2019</v>
          </cell>
          <cell r="Q41" t="str">
            <v>28 Februari 2018</v>
          </cell>
          <cell r="R41" t="str">
            <v>ya</v>
          </cell>
          <cell r="S41">
            <v>150000</v>
          </cell>
          <cell r="T41">
            <v>3138400</v>
          </cell>
          <cell r="V41">
            <v>0</v>
          </cell>
          <cell r="W41">
            <v>0</v>
          </cell>
          <cell r="X41">
            <v>0</v>
          </cell>
          <cell r="Z41">
            <v>0</v>
          </cell>
          <cell r="AB41">
            <v>0</v>
          </cell>
          <cell r="AD41">
            <v>0</v>
          </cell>
          <cell r="AE41" t="str">
            <v>ya</v>
          </cell>
          <cell r="AF41">
            <v>210000</v>
          </cell>
          <cell r="AH41" t="str">
            <v xml:space="preserve">Angkutan Umum </v>
          </cell>
          <cell r="AI41" t="str">
            <v>Universitas Islam As-Syafi'iyah, Jakarta</v>
          </cell>
        </row>
        <row r="42">
          <cell r="A42">
            <v>41</v>
          </cell>
          <cell r="B42" t="str">
            <v>Suparman</v>
          </cell>
          <cell r="C42" t="str">
            <v>196705191987031006</v>
          </cell>
          <cell r="D42" t="str">
            <v>III/b</v>
          </cell>
          <cell r="E42" t="str">
            <v>Penata Muda Tk. I</v>
          </cell>
          <cell r="F42" t="str">
            <v>Pengadministrasi Kepegawaian pada Sub. Bagian Kepegawaian pada Bagian Umum</v>
          </cell>
          <cell r="G42" t="str">
            <v>Tingkat C</v>
          </cell>
          <cell r="H42" t="str">
            <v>Melakukan Monitoring dan Evaluasi ke Universitas Islam As-Syafi'iyah, Jakarta</v>
          </cell>
          <cell r="I42" t="str">
            <v>DKI Jakarta</v>
          </cell>
          <cell r="J42" t="str">
            <v>DKI Jakarta</v>
          </cell>
          <cell r="K42">
            <v>1</v>
          </cell>
          <cell r="L42" t="str">
            <v>13 Maret 2018</v>
          </cell>
          <cell r="M42" t="str">
            <v>13 Maret 2018</v>
          </cell>
          <cell r="N42">
            <v>524114</v>
          </cell>
          <cell r="O42" t="str">
            <v>Belanja Perjalanan Dinas Paket Meeting Dalam Kota</v>
          </cell>
          <cell r="P42" t="str">
            <v>341/L3/TU/KA.11.00/2019</v>
          </cell>
          <cell r="Q42" t="str">
            <v>28 Februari 2018</v>
          </cell>
          <cell r="R42" t="str">
            <v>ya</v>
          </cell>
          <cell r="S42">
            <v>150000</v>
          </cell>
          <cell r="T42">
            <v>3138400</v>
          </cell>
          <cell r="V42">
            <v>0</v>
          </cell>
          <cell r="W42">
            <v>0</v>
          </cell>
          <cell r="X42">
            <v>0</v>
          </cell>
          <cell r="Z42">
            <v>0</v>
          </cell>
          <cell r="AB42">
            <v>0</v>
          </cell>
          <cell r="AD42">
            <v>0</v>
          </cell>
          <cell r="AE42" t="str">
            <v>ya</v>
          </cell>
          <cell r="AF42">
            <v>210000</v>
          </cell>
          <cell r="AH42" t="str">
            <v xml:space="preserve">Angkutan Umum </v>
          </cell>
          <cell r="AI42" t="str">
            <v>Universitas Islam As-Syafi'iyah, Jakarta</v>
          </cell>
        </row>
        <row r="43">
          <cell r="A43">
            <v>42</v>
          </cell>
          <cell r="B43" t="str">
            <v>Taufiq Alamsyah</v>
          </cell>
          <cell r="C43" t="str">
            <v>196507121988101001</v>
          </cell>
          <cell r="D43" t="str">
            <v>III/d</v>
          </cell>
          <cell r="E43" t="str">
            <v>Penata Tk. I</v>
          </cell>
          <cell r="F43" t="str">
            <v>Analis Pelaksanaan Akademik Dan Kemahasiswaan pada Seksi Akademik, dan Kemahasiswaan pada Bidang Akademik, Kemahasiswaan, dan Ketenagaan</v>
          </cell>
          <cell r="G43" t="str">
            <v>Tingkat C</v>
          </cell>
          <cell r="H43" t="str">
            <v>Melakukan Monitoring dan Evaluasi ke STIE Widya Persada</v>
          </cell>
          <cell r="I43" t="str">
            <v>DKI Jakarta</v>
          </cell>
          <cell r="J43" t="str">
            <v>DKI Jakarta</v>
          </cell>
          <cell r="K43">
            <v>1</v>
          </cell>
          <cell r="L43" t="str">
            <v>13 Maret 2018</v>
          </cell>
          <cell r="M43" t="str">
            <v>13 Maret 2018</v>
          </cell>
          <cell r="N43">
            <v>524114</v>
          </cell>
          <cell r="O43" t="str">
            <v>Belanja Perjalanan Dinas Paket Meeting Dalam Kota</v>
          </cell>
          <cell r="P43" t="str">
            <v>341/L3/TU/KA.11.00/2019</v>
          </cell>
          <cell r="Q43" t="str">
            <v>28 Februari 2018</v>
          </cell>
          <cell r="R43" t="str">
            <v>ya</v>
          </cell>
          <cell r="S43">
            <v>150000</v>
          </cell>
          <cell r="T43">
            <v>3138400</v>
          </cell>
          <cell r="V43">
            <v>0</v>
          </cell>
          <cell r="W43">
            <v>0</v>
          </cell>
          <cell r="X43">
            <v>0</v>
          </cell>
          <cell r="Z43">
            <v>0</v>
          </cell>
          <cell r="AB43">
            <v>0</v>
          </cell>
          <cell r="AD43">
            <v>0</v>
          </cell>
          <cell r="AE43" t="str">
            <v>ya</v>
          </cell>
          <cell r="AF43">
            <v>210000</v>
          </cell>
          <cell r="AH43" t="str">
            <v xml:space="preserve">Angkutan Umum </v>
          </cell>
          <cell r="AI43" t="str">
            <v>STIE Widya Persada, Jakarta</v>
          </cell>
        </row>
        <row r="44">
          <cell r="A44">
            <v>43</v>
          </cell>
          <cell r="B44" t="str">
            <v>Hidayat</v>
          </cell>
          <cell r="C44" t="str">
            <v>198608012015041003</v>
          </cell>
          <cell r="D44" t="str">
            <v>III/a</v>
          </cell>
          <cell r="E44" t="str">
            <v>Penata Muda</v>
          </cell>
          <cell r="F44" t="str">
            <v>Analis Kelembagaan pada Seksi Kelembagaan, dan Kerjasama pada Bidang Kelembagaan, dan Sistem Informasi</v>
          </cell>
          <cell r="G44" t="str">
            <v>Tingkat C</v>
          </cell>
          <cell r="H44" t="str">
            <v>Melakukan Monitoring dan Evaluasi ke STIE Widya Persada</v>
          </cell>
          <cell r="I44" t="str">
            <v>DKI Jakarta</v>
          </cell>
          <cell r="J44" t="str">
            <v>DKI Jakarta</v>
          </cell>
          <cell r="K44">
            <v>1</v>
          </cell>
          <cell r="L44" t="str">
            <v>13 Maret 2018</v>
          </cell>
          <cell r="M44" t="str">
            <v>13 Maret 2018</v>
          </cell>
          <cell r="N44">
            <v>524114</v>
          </cell>
          <cell r="O44" t="str">
            <v>Belanja Perjalanan Dinas Paket Meeting Dalam Kota</v>
          </cell>
          <cell r="P44" t="str">
            <v>341/L3/TU/KA.11.00/2019</v>
          </cell>
          <cell r="Q44" t="str">
            <v>28 Februari 2018</v>
          </cell>
          <cell r="R44" t="str">
            <v>ya</v>
          </cell>
          <cell r="S44">
            <v>150000</v>
          </cell>
          <cell r="T44">
            <v>3138400</v>
          </cell>
          <cell r="V44">
            <v>0</v>
          </cell>
          <cell r="W44">
            <v>0</v>
          </cell>
          <cell r="X44">
            <v>0</v>
          </cell>
          <cell r="Z44">
            <v>0</v>
          </cell>
          <cell r="AB44">
            <v>0</v>
          </cell>
          <cell r="AD44">
            <v>0</v>
          </cell>
          <cell r="AE44" t="str">
            <v>ya</v>
          </cell>
          <cell r="AF44">
            <v>210000</v>
          </cell>
          <cell r="AH44" t="str">
            <v xml:space="preserve">Angkutan Umum </v>
          </cell>
          <cell r="AI44" t="str">
            <v>STIE Widya Persada, Jakarta</v>
          </cell>
        </row>
        <row r="45">
          <cell r="A45">
            <v>44</v>
          </cell>
          <cell r="B45" t="str">
            <v>Ahmad Mustaadi</v>
          </cell>
          <cell r="C45" t="str">
            <v>196605181989021002</v>
          </cell>
          <cell r="D45" t="str">
            <v>III/b</v>
          </cell>
          <cell r="E45" t="str">
            <v>Penata Muda Tk. I</v>
          </cell>
          <cell r="F45" t="str">
            <v>Bendahara  pada Sub. Bagian Keuangan pada Bagian Umum</v>
          </cell>
          <cell r="G45">
            <v>0</v>
          </cell>
          <cell r="H45" t="str">
            <v>Melakukan Monitoring dan Evaluasi ke STIE Widya Persada</v>
          </cell>
          <cell r="I45" t="str">
            <v>DKI Jakarta</v>
          </cell>
          <cell r="J45" t="str">
            <v>DKI Jakarta</v>
          </cell>
          <cell r="K45">
            <v>1</v>
          </cell>
          <cell r="L45" t="str">
            <v>13 Maret 2018</v>
          </cell>
          <cell r="M45" t="str">
            <v>13 Maret 2018</v>
          </cell>
          <cell r="N45">
            <v>524114</v>
          </cell>
          <cell r="O45" t="str">
            <v>Belanja Perjalanan Dinas Paket Meeting Dalam Kota</v>
          </cell>
          <cell r="P45" t="str">
            <v>341/L3/TU/KA.11.00/2019</v>
          </cell>
          <cell r="Q45" t="str">
            <v>28 Februari 2018</v>
          </cell>
          <cell r="R45" t="str">
            <v>ya</v>
          </cell>
          <cell r="S45">
            <v>150000</v>
          </cell>
          <cell r="T45">
            <v>3138400</v>
          </cell>
          <cell r="V45">
            <v>0</v>
          </cell>
          <cell r="W45">
            <v>0</v>
          </cell>
          <cell r="X45">
            <v>0</v>
          </cell>
          <cell r="Z45">
            <v>0</v>
          </cell>
          <cell r="AB45">
            <v>0</v>
          </cell>
          <cell r="AD45">
            <v>0</v>
          </cell>
          <cell r="AE45" t="str">
            <v>ya</v>
          </cell>
          <cell r="AF45">
            <v>210000</v>
          </cell>
          <cell r="AH45" t="str">
            <v xml:space="preserve">Angkutan Umum </v>
          </cell>
          <cell r="AI45" t="str">
            <v>STIE Widya Persada, Jakarta</v>
          </cell>
        </row>
        <row r="46">
          <cell r="A46">
            <v>45</v>
          </cell>
          <cell r="B46" t="str">
            <v>Endang Sutisna</v>
          </cell>
          <cell r="C46" t="str">
            <v>197406292005011001</v>
          </cell>
          <cell r="D46" t="str">
            <v>II/d</v>
          </cell>
          <cell r="E46" t="str">
            <v>Pengatur Tk. I</v>
          </cell>
          <cell r="F46" t="str">
            <v>Pengadministrasi Kepegawaian pada Sub. Bagian Kepegawaian pada Bagian Umum</v>
          </cell>
          <cell r="G46" t="str">
            <v>Tingkat C</v>
          </cell>
          <cell r="H46" t="str">
            <v>Melakukan Monitoring dan Evaluasi ke STIE Widya Persada</v>
          </cell>
          <cell r="I46" t="str">
            <v>DKI Jakarta</v>
          </cell>
          <cell r="J46" t="str">
            <v>DKI Jakarta</v>
          </cell>
          <cell r="K46">
            <v>1</v>
          </cell>
          <cell r="L46" t="str">
            <v>13 Maret 2018</v>
          </cell>
          <cell r="M46" t="str">
            <v>13 Maret 2018</v>
          </cell>
          <cell r="N46">
            <v>524114</v>
          </cell>
          <cell r="O46" t="str">
            <v>Belanja Perjalanan Dinas Paket Meeting Dalam Kota</v>
          </cell>
          <cell r="P46" t="str">
            <v>341/L3/TU/KA.11.00/2019</v>
          </cell>
          <cell r="Q46" t="str">
            <v>28 Februari 2018</v>
          </cell>
          <cell r="R46" t="str">
            <v>ya</v>
          </cell>
          <cell r="S46">
            <v>150000</v>
          </cell>
          <cell r="T46">
            <v>3138400</v>
          </cell>
          <cell r="V46">
            <v>0</v>
          </cell>
          <cell r="W46">
            <v>0</v>
          </cell>
          <cell r="X46">
            <v>0</v>
          </cell>
          <cell r="Z46">
            <v>0</v>
          </cell>
          <cell r="AB46">
            <v>0</v>
          </cell>
          <cell r="AD46">
            <v>0</v>
          </cell>
          <cell r="AE46" t="str">
            <v>ya</v>
          </cell>
          <cell r="AF46">
            <v>210000</v>
          </cell>
          <cell r="AH46" t="str">
            <v xml:space="preserve">Angkutan Umum </v>
          </cell>
          <cell r="AI46" t="str">
            <v>STIE Widya Persada, Jakarta</v>
          </cell>
        </row>
        <row r="47">
          <cell r="A47">
            <v>46</v>
          </cell>
          <cell r="B47" t="str">
            <v>Mardhiahturrahmy</v>
          </cell>
          <cell r="C47" t="str">
            <v>196205111986032001</v>
          </cell>
          <cell r="D47" t="str">
            <v>III/b</v>
          </cell>
          <cell r="E47" t="str">
            <v>Penata Muda Tk. I</v>
          </cell>
          <cell r="F47" t="str">
            <v>Pengadministrasi Pendidik Dan Tenaga Kependidikan pada Seksi Ketenagaan pada Bidang Akademik, Kemahasiswaan, dan Ketenagaan</v>
          </cell>
          <cell r="G47" t="str">
            <v>Tingkat C</v>
          </cell>
          <cell r="H47" t="str">
            <v>Melakukan Monitoring dan Evaluasi ke STIE Widya Persada</v>
          </cell>
          <cell r="I47" t="str">
            <v>DKI Jakarta</v>
          </cell>
          <cell r="J47" t="str">
            <v>DKI Jakarta</v>
          </cell>
          <cell r="K47">
            <v>1</v>
          </cell>
          <cell r="L47" t="str">
            <v>13 Maret 2018</v>
          </cell>
          <cell r="M47" t="str">
            <v>13 Maret 2018</v>
          </cell>
          <cell r="N47">
            <v>524114</v>
          </cell>
          <cell r="O47" t="str">
            <v>Belanja Perjalanan Dinas Paket Meeting Dalam Kota</v>
          </cell>
          <cell r="P47" t="str">
            <v>341/L3/TU/KA.11.00/2019</v>
          </cell>
          <cell r="Q47" t="str">
            <v>28 Februari 2018</v>
          </cell>
          <cell r="R47" t="str">
            <v>ya</v>
          </cell>
          <cell r="S47">
            <v>150000</v>
          </cell>
          <cell r="T47">
            <v>3138400</v>
          </cell>
          <cell r="V47">
            <v>0</v>
          </cell>
          <cell r="W47">
            <v>0</v>
          </cell>
          <cell r="X47">
            <v>0</v>
          </cell>
          <cell r="Z47">
            <v>0</v>
          </cell>
          <cell r="AB47">
            <v>0</v>
          </cell>
          <cell r="AD47">
            <v>0</v>
          </cell>
          <cell r="AE47" t="str">
            <v>ya</v>
          </cell>
          <cell r="AF47">
            <v>210000</v>
          </cell>
          <cell r="AH47" t="str">
            <v xml:space="preserve">Angkutan Umum </v>
          </cell>
          <cell r="AI47" t="str">
            <v>STIE Widya Persada, Jakarta</v>
          </cell>
        </row>
        <row r="48">
          <cell r="A48">
            <v>47</v>
          </cell>
          <cell r="B48" t="str">
            <v>Boy Alexandry</v>
          </cell>
          <cell r="C48" t="str">
            <v>196301091994031002</v>
          </cell>
          <cell r="D48" t="str">
            <v>IV/a</v>
          </cell>
          <cell r="E48" t="str">
            <v>Pembina</v>
          </cell>
          <cell r="F48" t="str">
            <v xml:space="preserve">Kepala Sub. Bagian Tata Usaha pada Bagian Umum                                          </v>
          </cell>
          <cell r="G48" t="str">
            <v>Tingkat C</v>
          </cell>
          <cell r="H48" t="str">
            <v>Melakukan Monitoring dan Evaluasi ke Akademi Kesehatan Gigi Ditkesad, Jakarta</v>
          </cell>
          <cell r="I48" t="str">
            <v>DKI Jakarta</v>
          </cell>
          <cell r="J48" t="str">
            <v>DKI Jakarta</v>
          </cell>
          <cell r="K48">
            <v>1</v>
          </cell>
          <cell r="L48" t="str">
            <v>13 Maret 2018</v>
          </cell>
          <cell r="M48" t="str">
            <v>13 Maret 2018</v>
          </cell>
          <cell r="N48">
            <v>524114</v>
          </cell>
          <cell r="O48" t="str">
            <v>Belanja Perjalanan Dinas Paket Meeting Dalam Kota</v>
          </cell>
          <cell r="P48" t="str">
            <v>341/L3/TU/KA.11.00/2019</v>
          </cell>
          <cell r="Q48" t="str">
            <v>28 Februari 2018</v>
          </cell>
          <cell r="R48" t="str">
            <v>ya</v>
          </cell>
          <cell r="S48">
            <v>150000</v>
          </cell>
          <cell r="T48">
            <v>3138400</v>
          </cell>
          <cell r="V48">
            <v>0</v>
          </cell>
          <cell r="W48">
            <v>0</v>
          </cell>
          <cell r="X48">
            <v>0</v>
          </cell>
          <cell r="Z48">
            <v>0</v>
          </cell>
          <cell r="AB48">
            <v>0</v>
          </cell>
          <cell r="AD48">
            <v>0</v>
          </cell>
          <cell r="AE48" t="str">
            <v>ya</v>
          </cell>
          <cell r="AF48">
            <v>210000</v>
          </cell>
          <cell r="AH48" t="str">
            <v xml:space="preserve">Angkutan Umum </v>
          </cell>
          <cell r="AI48" t="str">
            <v>Akademi Kesehatan Gigi Ditkesad Jakarta</v>
          </cell>
        </row>
        <row r="49">
          <cell r="A49">
            <v>48</v>
          </cell>
          <cell r="B49" t="str">
            <v>Prita Ekasari</v>
          </cell>
          <cell r="C49" t="str">
            <v>198410142009122008</v>
          </cell>
          <cell r="D49" t="str">
            <v>Analis Sistem Informasi pada Seksi Sistem Informasi pada Bidang Kelembagaan, dan Sistem Informasi</v>
          </cell>
          <cell r="E49" t="str">
            <v>III/b</v>
          </cell>
          <cell r="F49" t="str">
            <v>599515301407000</v>
          </cell>
          <cell r="G49" t="str">
            <v>Penata Muda Tk. I</v>
          </cell>
          <cell r="H49" t="str">
            <v>Melakukan Monitoring dan Evaluasi ke Akademi Kesehatan Gigi Ditkesad, Jakarta</v>
          </cell>
          <cell r="I49" t="str">
            <v>DKI Jakarta</v>
          </cell>
          <cell r="J49" t="str">
            <v>DKI Jakarta</v>
          </cell>
          <cell r="K49">
            <v>1</v>
          </cell>
          <cell r="L49" t="str">
            <v>13 Maret 2018</v>
          </cell>
          <cell r="M49" t="str">
            <v>13 Maret 2018</v>
          </cell>
          <cell r="N49">
            <v>524114</v>
          </cell>
          <cell r="O49" t="str">
            <v>Belanja Perjalanan Dinas Paket Meeting Dalam Kota</v>
          </cell>
          <cell r="P49" t="str">
            <v>341/L3/TU/KA.11.00/2019</v>
          </cell>
          <cell r="Q49" t="str">
            <v>28 Februari 2018</v>
          </cell>
          <cell r="R49" t="str">
            <v>ya</v>
          </cell>
          <cell r="S49">
            <v>150000</v>
          </cell>
          <cell r="T49">
            <v>3138400</v>
          </cell>
          <cell r="V49">
            <v>0</v>
          </cell>
          <cell r="W49">
            <v>0</v>
          </cell>
          <cell r="X49">
            <v>0</v>
          </cell>
          <cell r="Z49">
            <v>0</v>
          </cell>
          <cell r="AB49">
            <v>0</v>
          </cell>
          <cell r="AD49">
            <v>0</v>
          </cell>
          <cell r="AE49" t="str">
            <v>ya</v>
          </cell>
          <cell r="AF49">
            <v>210000</v>
          </cell>
          <cell r="AH49" t="str">
            <v xml:space="preserve">Angkutan Umum </v>
          </cell>
          <cell r="AI49" t="str">
            <v>Akademi Kesehatan Gigi Ditkesad Jakarta</v>
          </cell>
        </row>
        <row r="50">
          <cell r="A50">
            <v>49</v>
          </cell>
          <cell r="B50" t="str">
            <v>Agus Muhammad Ali</v>
          </cell>
          <cell r="C50" t="str">
            <v>197610072008121001</v>
          </cell>
          <cell r="D50" t="str">
            <v xml:space="preserve">Analis Kebijakan Barang Milik Negara pada  Sub. Bagian Tata Usaha pada Bagian Umum                               </v>
          </cell>
          <cell r="E50" t="str">
            <v>III/c</v>
          </cell>
          <cell r="F50" t="str">
            <v>253128854416000</v>
          </cell>
          <cell r="G50" t="str">
            <v>Penata</v>
          </cell>
          <cell r="H50" t="str">
            <v>Melakukan Monitoring dan Evaluasi ke Akademi Kesehatan Gigi Ditkesad, Jakarta</v>
          </cell>
          <cell r="I50" t="str">
            <v>DKI Jakarta</v>
          </cell>
          <cell r="J50" t="str">
            <v>DKI Jakarta</v>
          </cell>
          <cell r="K50">
            <v>1</v>
          </cell>
          <cell r="L50" t="str">
            <v>13 Maret 2018</v>
          </cell>
          <cell r="M50" t="str">
            <v>13 Maret 2018</v>
          </cell>
          <cell r="N50">
            <v>524114</v>
          </cell>
          <cell r="O50" t="str">
            <v>Belanja Perjalanan Dinas Paket Meeting Dalam Kota</v>
          </cell>
          <cell r="P50" t="str">
            <v>341/L3/TU/KA.11.00/2019</v>
          </cell>
          <cell r="Q50" t="str">
            <v>28 Februari 2018</v>
          </cell>
          <cell r="R50" t="str">
            <v>ya</v>
          </cell>
          <cell r="S50">
            <v>150000</v>
          </cell>
          <cell r="T50">
            <v>3138400</v>
          </cell>
          <cell r="V50">
            <v>0</v>
          </cell>
          <cell r="W50">
            <v>0</v>
          </cell>
          <cell r="X50">
            <v>0</v>
          </cell>
          <cell r="Z50">
            <v>0</v>
          </cell>
          <cell r="AB50">
            <v>0</v>
          </cell>
          <cell r="AD50">
            <v>0</v>
          </cell>
          <cell r="AE50" t="str">
            <v>ya</v>
          </cell>
          <cell r="AF50">
            <v>210000</v>
          </cell>
          <cell r="AH50" t="str">
            <v xml:space="preserve">Angkutan Umum </v>
          </cell>
          <cell r="AI50" t="str">
            <v>Akademi Kesehatan Gigi Ditkesad Jakarta</v>
          </cell>
        </row>
        <row r="51">
          <cell r="A51">
            <v>50</v>
          </cell>
          <cell r="B51" t="str">
            <v>Mudlikah</v>
          </cell>
          <cell r="C51" t="str">
            <v>196303111987032001</v>
          </cell>
          <cell r="D51" t="str">
            <v xml:space="preserve">Pengadministrasi Persuratan pada Sub. Bagian Tata Usaha pada Bagian Umum        </v>
          </cell>
          <cell r="E51" t="str">
            <v>III/d</v>
          </cell>
          <cell r="F51" t="str">
            <v>688766492017000</v>
          </cell>
          <cell r="G51" t="str">
            <v>Penata Tk. I</v>
          </cell>
          <cell r="H51" t="str">
            <v>Melakukan Monitoring dan Evaluasi ke Akademi Kesehatan Gigi Ditkesad, Jakarta</v>
          </cell>
          <cell r="I51" t="str">
            <v>DKI Jakarta</v>
          </cell>
          <cell r="J51" t="str">
            <v>DKI Jakarta</v>
          </cell>
          <cell r="K51">
            <v>1</v>
          </cell>
          <cell r="L51" t="str">
            <v>13 Maret 2018</v>
          </cell>
          <cell r="M51" t="str">
            <v>13 Maret 2018</v>
          </cell>
          <cell r="N51">
            <v>524114</v>
          </cell>
          <cell r="O51" t="str">
            <v>Belanja Perjalanan Dinas Paket Meeting Dalam Kota</v>
          </cell>
          <cell r="P51" t="str">
            <v>341/L3/TU/KA.11.00/2019</v>
          </cell>
          <cell r="Q51" t="str">
            <v>28 Februari 2018</v>
          </cell>
          <cell r="R51" t="str">
            <v>ya</v>
          </cell>
          <cell r="S51">
            <v>150000</v>
          </cell>
          <cell r="T51">
            <v>3138400</v>
          </cell>
          <cell r="V51">
            <v>0</v>
          </cell>
          <cell r="W51">
            <v>0</v>
          </cell>
          <cell r="X51">
            <v>0</v>
          </cell>
          <cell r="Z51">
            <v>0</v>
          </cell>
          <cell r="AB51">
            <v>0</v>
          </cell>
          <cell r="AD51">
            <v>0</v>
          </cell>
          <cell r="AE51" t="str">
            <v>ya</v>
          </cell>
          <cell r="AF51">
            <v>210000</v>
          </cell>
          <cell r="AH51" t="str">
            <v xml:space="preserve">Angkutan Umum </v>
          </cell>
          <cell r="AI51" t="str">
            <v>Akademi Kesehatan Gigi Ditkesad Jakarta</v>
          </cell>
        </row>
        <row r="52">
          <cell r="A52">
            <v>51</v>
          </cell>
          <cell r="B52" t="str">
            <v>Noviyanto</v>
          </cell>
          <cell r="C52" t="str">
            <v>198111262008121001</v>
          </cell>
          <cell r="D52" t="str">
            <v>Analis Sistem Informasi pada Seksi Sistem Informasi pada Bidang Kelembagaan, dan Sistem Informasi</v>
          </cell>
          <cell r="E52" t="str">
            <v>III/c</v>
          </cell>
          <cell r="F52" t="str">
            <v>253270904432000</v>
          </cell>
          <cell r="G52" t="str">
            <v>Penata</v>
          </cell>
          <cell r="H52" t="str">
            <v>Melakukan Monitoring dan Evaluasi ke Institute Sains dan Teknologi Al Kamal - Jakarta</v>
          </cell>
          <cell r="I52" t="str">
            <v>DKI Jakarta</v>
          </cell>
          <cell r="J52" t="str">
            <v>DKI Jakarta</v>
          </cell>
          <cell r="K52">
            <v>1</v>
          </cell>
          <cell r="L52" t="str">
            <v>14 Maret 2018</v>
          </cell>
          <cell r="M52" t="str">
            <v>14 Maret 2018</v>
          </cell>
          <cell r="N52">
            <v>524114</v>
          </cell>
          <cell r="O52" t="str">
            <v>Belanja Perjalanan Dinas Paket Meeting Dalam Kota</v>
          </cell>
          <cell r="P52" t="str">
            <v>341/L3/TU/KA.11.00/2019</v>
          </cell>
          <cell r="Q52" t="str">
            <v>28 Februari 2018</v>
          </cell>
          <cell r="R52" t="str">
            <v>ya</v>
          </cell>
          <cell r="S52">
            <v>150000</v>
          </cell>
          <cell r="T52">
            <v>3138400</v>
          </cell>
          <cell r="V52">
            <v>0</v>
          </cell>
          <cell r="W52">
            <v>0</v>
          </cell>
          <cell r="X52">
            <v>0</v>
          </cell>
          <cell r="Z52">
            <v>0</v>
          </cell>
          <cell r="AB52">
            <v>0</v>
          </cell>
          <cell r="AD52">
            <v>0</v>
          </cell>
          <cell r="AE52" t="str">
            <v>ya</v>
          </cell>
          <cell r="AF52">
            <v>210000</v>
          </cell>
          <cell r="AH52" t="str">
            <v xml:space="preserve">Angkutan Umum </v>
          </cell>
          <cell r="AI52" t="str">
            <v>Institute sains dan Teknologi Al Kamal, Jakarta</v>
          </cell>
        </row>
        <row r="53">
          <cell r="A53">
            <v>52</v>
          </cell>
          <cell r="B53" t="str">
            <v>Agung Permana N</v>
          </cell>
          <cell r="C53" t="str">
            <v>198308022015041001</v>
          </cell>
          <cell r="D53" t="str">
            <v>Pengelola Kepegawaian pada Sub. Bagian Kepegawaian pada Bagian Umum</v>
          </cell>
          <cell r="E53" t="str">
            <v>II/c</v>
          </cell>
          <cell r="F53" t="str">
            <v>722549797429000</v>
          </cell>
          <cell r="G53" t="str">
            <v>Pengatur</v>
          </cell>
          <cell r="H53" t="str">
            <v>Melakukan Monitoring dan Evaluasi ke Institute Sains dan Teknologi Al Kamal - Jakarta</v>
          </cell>
          <cell r="I53" t="str">
            <v>DKI Jakarta</v>
          </cell>
          <cell r="J53" t="str">
            <v>DKI Jakarta</v>
          </cell>
          <cell r="K53">
            <v>1</v>
          </cell>
          <cell r="L53" t="str">
            <v>14 Maret 2018</v>
          </cell>
          <cell r="M53" t="str">
            <v>14 Maret 2018</v>
          </cell>
          <cell r="N53">
            <v>524114</v>
          </cell>
          <cell r="O53" t="str">
            <v>Belanja Perjalanan Dinas Paket Meeting Dalam Kota</v>
          </cell>
          <cell r="P53" t="str">
            <v>341/L3/TU/KA.11.00/2019</v>
          </cell>
          <cell r="Q53" t="str">
            <v>28 Februari 2018</v>
          </cell>
          <cell r="R53" t="str">
            <v>ya</v>
          </cell>
          <cell r="S53">
            <v>150000</v>
          </cell>
          <cell r="T53">
            <v>3138400</v>
          </cell>
          <cell r="V53">
            <v>0</v>
          </cell>
          <cell r="W53">
            <v>0</v>
          </cell>
          <cell r="X53">
            <v>0</v>
          </cell>
          <cell r="Z53">
            <v>0</v>
          </cell>
          <cell r="AB53">
            <v>0</v>
          </cell>
          <cell r="AD53">
            <v>0</v>
          </cell>
          <cell r="AE53" t="str">
            <v>ya</v>
          </cell>
          <cell r="AF53">
            <v>210000</v>
          </cell>
          <cell r="AH53" t="str">
            <v xml:space="preserve">Angkutan Umum </v>
          </cell>
          <cell r="AI53" t="str">
            <v>Institute sains dan Teknologi Al Kamal, Jakarta</v>
          </cell>
        </row>
        <row r="54">
          <cell r="A54">
            <v>53</v>
          </cell>
          <cell r="B54" t="str">
            <v>Raafita Agustiana</v>
          </cell>
          <cell r="C54" t="str">
            <v>198508282010122004</v>
          </cell>
          <cell r="D54" t="str">
            <v>Analis Pelaksanaan Akademik Dan Kemahasiswaan pada Seksi Akademik, dan Kemahasiswaan pada Bidang Akademik, Kemahasiswaan, dan Ketenagaan</v>
          </cell>
          <cell r="E54" t="str">
            <v>III/b</v>
          </cell>
          <cell r="F54" t="str">
            <v>255713943615000</v>
          </cell>
          <cell r="G54" t="str">
            <v>Penata Muda Tk. I</v>
          </cell>
          <cell r="H54" t="str">
            <v>Melakukan Monitoring dan Evaluasi ke Institute Sains dan Teknologi Al Kamal - Jakarta</v>
          </cell>
          <cell r="I54" t="str">
            <v>DKI Jakarta</v>
          </cell>
          <cell r="J54" t="str">
            <v>DKI Jakarta</v>
          </cell>
          <cell r="K54">
            <v>1</v>
          </cell>
          <cell r="L54" t="str">
            <v>14 Maret 2018</v>
          </cell>
          <cell r="M54" t="str">
            <v>14 Maret 2018</v>
          </cell>
          <cell r="N54">
            <v>524114</v>
          </cell>
          <cell r="O54" t="str">
            <v>Belanja Perjalanan Dinas Paket Meeting Dalam Kota</v>
          </cell>
          <cell r="P54" t="str">
            <v>341/L3/TU/KA.11.00/2019</v>
          </cell>
          <cell r="Q54" t="str">
            <v>28 Februari 2018</v>
          </cell>
          <cell r="R54" t="str">
            <v>ya</v>
          </cell>
          <cell r="S54">
            <v>150000</v>
          </cell>
          <cell r="T54">
            <v>3138400</v>
          </cell>
          <cell r="V54">
            <v>0</v>
          </cell>
          <cell r="W54">
            <v>0</v>
          </cell>
          <cell r="X54">
            <v>0</v>
          </cell>
          <cell r="Z54">
            <v>0</v>
          </cell>
          <cell r="AB54">
            <v>0</v>
          </cell>
          <cell r="AD54">
            <v>0</v>
          </cell>
          <cell r="AE54" t="str">
            <v>ya</v>
          </cell>
          <cell r="AF54">
            <v>210000</v>
          </cell>
          <cell r="AH54" t="str">
            <v xml:space="preserve">Angkutan Umum </v>
          </cell>
          <cell r="AI54" t="str">
            <v>Institute sains dan Teknologi Al Kamal, Jakarta</v>
          </cell>
        </row>
        <row r="55">
          <cell r="A55">
            <v>54</v>
          </cell>
          <cell r="B55" t="str">
            <v>Santosa</v>
          </cell>
          <cell r="C55" t="str">
            <v>196203301987031002</v>
          </cell>
          <cell r="D55" t="str">
            <v>Pengadministrasi Umum pada Seksi Sistem Informasi pada Bidang Kelembagaan, dan Sistem Informasi</v>
          </cell>
          <cell r="E55" t="str">
            <v>II/c</v>
          </cell>
          <cell r="F55" t="str">
            <v>688766310403000</v>
          </cell>
          <cell r="G55" t="str">
            <v>Pengatur</v>
          </cell>
          <cell r="H55" t="str">
            <v>Melakukan Monitoring dan Evaluasi ke Institute Sains dan Teknologi Al Kamal - Jakarta</v>
          </cell>
          <cell r="I55" t="str">
            <v>DKI Jakarta</v>
          </cell>
          <cell r="J55" t="str">
            <v>DKI Jakarta</v>
          </cell>
          <cell r="K55">
            <v>1</v>
          </cell>
          <cell r="L55" t="str">
            <v>14 Maret 2018</v>
          </cell>
          <cell r="M55" t="str">
            <v>14 Maret 2018</v>
          </cell>
          <cell r="N55">
            <v>524114</v>
          </cell>
          <cell r="O55" t="str">
            <v>Belanja Perjalanan Dinas Paket Meeting Dalam Kota</v>
          </cell>
          <cell r="P55" t="str">
            <v>341/L3/TU/KA.11.00/2019</v>
          </cell>
          <cell r="Q55" t="str">
            <v>28 Februari 2018</v>
          </cell>
          <cell r="R55" t="str">
            <v>ya</v>
          </cell>
          <cell r="S55">
            <v>150000</v>
          </cell>
          <cell r="T55">
            <v>3138400</v>
          </cell>
          <cell r="V55">
            <v>0</v>
          </cell>
          <cell r="W55">
            <v>0</v>
          </cell>
          <cell r="X55">
            <v>0</v>
          </cell>
          <cell r="Z55">
            <v>0</v>
          </cell>
          <cell r="AB55">
            <v>0</v>
          </cell>
          <cell r="AD55">
            <v>0</v>
          </cell>
          <cell r="AE55" t="str">
            <v>ya</v>
          </cell>
          <cell r="AF55">
            <v>210000</v>
          </cell>
          <cell r="AH55" t="str">
            <v xml:space="preserve">Angkutan Umum </v>
          </cell>
          <cell r="AI55" t="str">
            <v>Institute sains dan Teknologi Al Kamal, Jakarta</v>
          </cell>
        </row>
        <row r="56">
          <cell r="A56">
            <v>55</v>
          </cell>
          <cell r="B56" t="str">
            <v>Tri Munanto</v>
          </cell>
          <cell r="C56" t="str">
            <v>198601212010121003</v>
          </cell>
          <cell r="D56" t="str">
            <v>Analis Kelembagaan pada Seksi Kelembagaan, dan Kerjasama pada Bidang Kelembagaan, dan Sistem Informasi</v>
          </cell>
          <cell r="E56" t="str">
            <v>III/b</v>
          </cell>
          <cell r="F56" t="str">
            <v>248877086013000</v>
          </cell>
          <cell r="G56" t="str">
            <v>Penata Muda Tk. I</v>
          </cell>
          <cell r="H56" t="str">
            <v>Melakukan Monitoring dan Evaluasi ke STIMIK Widuri</v>
          </cell>
          <cell r="I56" t="str">
            <v>DKI Jakarta</v>
          </cell>
          <cell r="J56" t="str">
            <v>DKI Jakarta</v>
          </cell>
          <cell r="K56">
            <v>1</v>
          </cell>
          <cell r="L56" t="str">
            <v>14 Maret 2018</v>
          </cell>
          <cell r="M56" t="str">
            <v>14 Maret 2018</v>
          </cell>
          <cell r="N56">
            <v>524114</v>
          </cell>
          <cell r="O56" t="str">
            <v>Belanja Perjalanan Dinas Paket Meeting Dalam Kota</v>
          </cell>
          <cell r="P56" t="str">
            <v>341/L3/TU/KA.11.00/2019</v>
          </cell>
          <cell r="Q56" t="str">
            <v>28 Februari 2018</v>
          </cell>
          <cell r="R56" t="str">
            <v>ya</v>
          </cell>
          <cell r="S56">
            <v>150000</v>
          </cell>
          <cell r="T56">
            <v>3138400</v>
          </cell>
          <cell r="V56">
            <v>0</v>
          </cell>
          <cell r="W56">
            <v>0</v>
          </cell>
          <cell r="X56">
            <v>0</v>
          </cell>
          <cell r="Z56">
            <v>0</v>
          </cell>
          <cell r="AB56">
            <v>0</v>
          </cell>
          <cell r="AD56">
            <v>0</v>
          </cell>
          <cell r="AE56" t="str">
            <v>ya</v>
          </cell>
          <cell r="AF56">
            <v>210000</v>
          </cell>
          <cell r="AH56" t="str">
            <v xml:space="preserve">Angkutan Umum </v>
          </cell>
          <cell r="AI56" t="str">
            <v>STMIK Widuri, Jakarta</v>
          </cell>
        </row>
        <row r="57">
          <cell r="A57">
            <v>56</v>
          </cell>
          <cell r="B57" t="str">
            <v>Adhy Purnama</v>
          </cell>
          <cell r="C57" t="str">
            <v>198104182010121002</v>
          </cell>
          <cell r="D57" t="str">
            <v>Pengadministrasi Akademik pada Seksi Akademik, dan Kemahasiswaan pada Bidang Akademik, Kemahasiswaan, dan Ketenagaan</v>
          </cell>
          <cell r="E57" t="str">
            <v>III/b</v>
          </cell>
          <cell r="F57" t="str">
            <v>594386401426000</v>
          </cell>
          <cell r="G57" t="str">
            <v>Penata Muda Tk. I</v>
          </cell>
          <cell r="H57" t="str">
            <v>Melakukan Monitoring dan Evaluasi ke STIMIK Widuri</v>
          </cell>
          <cell r="I57" t="str">
            <v>DKI Jakarta</v>
          </cell>
          <cell r="J57" t="str">
            <v>DKI Jakarta</v>
          </cell>
          <cell r="K57">
            <v>1</v>
          </cell>
          <cell r="L57" t="str">
            <v>14 Maret 2018</v>
          </cell>
          <cell r="M57" t="str">
            <v>14 Maret 2018</v>
          </cell>
          <cell r="N57">
            <v>524114</v>
          </cell>
          <cell r="O57" t="str">
            <v>Belanja Perjalanan Dinas Paket Meeting Dalam Kota</v>
          </cell>
          <cell r="P57" t="str">
            <v>341/L3/TU/KA.11.00/2019</v>
          </cell>
          <cell r="Q57" t="str">
            <v>28 Februari 2018</v>
          </cell>
          <cell r="R57" t="str">
            <v>ya</v>
          </cell>
          <cell r="S57">
            <v>150000</v>
          </cell>
          <cell r="T57">
            <v>3138400</v>
          </cell>
          <cell r="V57">
            <v>0</v>
          </cell>
          <cell r="W57">
            <v>0</v>
          </cell>
          <cell r="X57">
            <v>0</v>
          </cell>
          <cell r="Z57">
            <v>0</v>
          </cell>
          <cell r="AB57">
            <v>0</v>
          </cell>
          <cell r="AD57">
            <v>0</v>
          </cell>
          <cell r="AE57" t="str">
            <v>ya</v>
          </cell>
          <cell r="AF57">
            <v>210000</v>
          </cell>
          <cell r="AH57" t="str">
            <v xml:space="preserve">Angkutan Umum </v>
          </cell>
          <cell r="AI57" t="str">
            <v>STMIK Widuri, Jakarta</v>
          </cell>
        </row>
        <row r="58">
          <cell r="A58">
            <v>57</v>
          </cell>
          <cell r="B58" t="str">
            <v>Sujono</v>
          </cell>
          <cell r="C58" t="str">
            <v>196312131987031003</v>
          </cell>
          <cell r="D58" t="str">
            <v xml:space="preserve">Pengadministrasi Persuratan pada Sub. Bagian Tata Usaha pada Bagian Umum  </v>
          </cell>
          <cell r="E58" t="str">
            <v>III/b</v>
          </cell>
          <cell r="F58" t="str">
            <v>688766245412000</v>
          </cell>
          <cell r="G58" t="str">
            <v>Penata Muda Tk. I</v>
          </cell>
          <cell r="H58" t="str">
            <v>Melakukan Monitoring dan Evaluasi ke STIMIK Widuri</v>
          </cell>
          <cell r="I58" t="str">
            <v>DKI Jakarta</v>
          </cell>
          <cell r="J58" t="str">
            <v>DKI Jakarta</v>
          </cell>
          <cell r="K58">
            <v>1</v>
          </cell>
          <cell r="L58" t="str">
            <v>14 Maret 2018</v>
          </cell>
          <cell r="M58" t="str">
            <v>14 Maret 2018</v>
          </cell>
          <cell r="N58">
            <v>524114</v>
          </cell>
          <cell r="O58" t="str">
            <v>Belanja Perjalanan Dinas Paket Meeting Dalam Kota</v>
          </cell>
          <cell r="P58" t="str">
            <v>341/L3/TU/KA.11.00/2019</v>
          </cell>
          <cell r="Q58" t="str">
            <v>28 Februari 2018</v>
          </cell>
          <cell r="R58" t="str">
            <v>ya</v>
          </cell>
          <cell r="S58">
            <v>150000</v>
          </cell>
          <cell r="T58">
            <v>3138400</v>
          </cell>
          <cell r="V58">
            <v>0</v>
          </cell>
          <cell r="W58">
            <v>0</v>
          </cell>
          <cell r="X58">
            <v>0</v>
          </cell>
          <cell r="Z58">
            <v>0</v>
          </cell>
          <cell r="AB58">
            <v>0</v>
          </cell>
          <cell r="AD58">
            <v>0</v>
          </cell>
          <cell r="AE58" t="str">
            <v>ya</v>
          </cell>
          <cell r="AF58">
            <v>210000</v>
          </cell>
          <cell r="AH58" t="str">
            <v xml:space="preserve">Angkutan Umum </v>
          </cell>
          <cell r="AI58" t="str">
            <v>STMIK Widuri, Jakarta</v>
          </cell>
        </row>
        <row r="59">
          <cell r="A59">
            <v>58</v>
          </cell>
          <cell r="B59" t="str">
            <v>Prayitno</v>
          </cell>
          <cell r="C59" t="str">
            <v>-</v>
          </cell>
          <cell r="D59" t="str">
            <v>PPNPN</v>
          </cell>
          <cell r="E59" t="str">
            <v>-</v>
          </cell>
          <cell r="F59" t="str">
            <v>695075515061000</v>
          </cell>
          <cell r="G59" t="str">
            <v>-</v>
          </cell>
          <cell r="H59" t="str">
            <v>Melakukan Monitoring dan Evaluasi ke STIMIK Widuri</v>
          </cell>
          <cell r="I59" t="str">
            <v>DKI Jakarta</v>
          </cell>
          <cell r="J59" t="str">
            <v>DKI Jakarta</v>
          </cell>
          <cell r="K59">
            <v>1</v>
          </cell>
          <cell r="L59" t="str">
            <v>14 Maret 2018</v>
          </cell>
          <cell r="M59" t="str">
            <v>14 Maret 2018</v>
          </cell>
          <cell r="N59">
            <v>524114</v>
          </cell>
          <cell r="O59" t="str">
            <v>Belanja Perjalanan Dinas Paket Meeting Dalam Kota</v>
          </cell>
          <cell r="P59" t="str">
            <v>341/L3/TU/KA.11.00/2019</v>
          </cell>
          <cell r="Q59" t="str">
            <v>28 Februari 2018</v>
          </cell>
          <cell r="R59" t="str">
            <v>ya</v>
          </cell>
          <cell r="S59">
            <v>150000</v>
          </cell>
          <cell r="T59">
            <v>3138400</v>
          </cell>
          <cell r="V59">
            <v>0</v>
          </cell>
          <cell r="W59">
            <v>0</v>
          </cell>
          <cell r="X59">
            <v>0</v>
          </cell>
          <cell r="Z59">
            <v>0</v>
          </cell>
          <cell r="AB59">
            <v>0</v>
          </cell>
          <cell r="AD59">
            <v>0</v>
          </cell>
          <cell r="AE59" t="str">
            <v>ya</v>
          </cell>
          <cell r="AF59">
            <v>210000</v>
          </cell>
          <cell r="AH59" t="str">
            <v xml:space="preserve">Angkutan Umum </v>
          </cell>
          <cell r="AI59" t="str">
            <v>STMIK Widuri, Jakarta</v>
          </cell>
        </row>
        <row r="60">
          <cell r="A60">
            <v>59</v>
          </cell>
          <cell r="B60" t="str">
            <v>Azwar</v>
          </cell>
          <cell r="C60" t="str">
            <v>196204091988031002</v>
          </cell>
          <cell r="D60" t="str">
            <v xml:space="preserve">Pengadministrasi Persuratan pada Sub. Bagian Tata Usaha pada Bagian Umum  </v>
          </cell>
          <cell r="E60" t="str">
            <v>III/b</v>
          </cell>
          <cell r="F60" t="str">
            <v>688766237002000</v>
          </cell>
          <cell r="G60" t="str">
            <v>Penata Muda Tk. I</v>
          </cell>
          <cell r="H60" t="str">
            <v>Melakukan Monitoring dan Evaluasi ke STIMIK Widuri</v>
          </cell>
          <cell r="I60" t="str">
            <v>DKI Jakarta</v>
          </cell>
          <cell r="J60" t="str">
            <v>DKI Jakarta</v>
          </cell>
          <cell r="K60">
            <v>1</v>
          </cell>
          <cell r="L60" t="str">
            <v>14 Maret 2018</v>
          </cell>
          <cell r="M60" t="str">
            <v>14 Maret 2018</v>
          </cell>
          <cell r="N60">
            <v>524114</v>
          </cell>
          <cell r="O60" t="str">
            <v>Belanja Perjalanan Dinas Paket Meeting Dalam Kota</v>
          </cell>
          <cell r="P60" t="str">
            <v>341/L3/TU/KA.11.00/2019</v>
          </cell>
          <cell r="Q60" t="str">
            <v>28 Februari 2018</v>
          </cell>
          <cell r="R60" t="str">
            <v>ya</v>
          </cell>
          <cell r="S60">
            <v>150000</v>
          </cell>
          <cell r="T60">
            <v>3138400</v>
          </cell>
          <cell r="V60">
            <v>0</v>
          </cell>
          <cell r="W60">
            <v>0</v>
          </cell>
          <cell r="X60">
            <v>0</v>
          </cell>
          <cell r="Z60">
            <v>0</v>
          </cell>
          <cell r="AB60">
            <v>0</v>
          </cell>
          <cell r="AD60">
            <v>0</v>
          </cell>
          <cell r="AE60" t="str">
            <v>ya</v>
          </cell>
          <cell r="AF60">
            <v>210000</v>
          </cell>
          <cell r="AH60" t="str">
            <v xml:space="preserve">Angkutan Umum </v>
          </cell>
          <cell r="AI60" t="str">
            <v>STMIK Widuri, Jakarta</v>
          </cell>
        </row>
        <row r="61">
          <cell r="A61">
            <v>60</v>
          </cell>
          <cell r="B61" t="str">
            <v>Sudadi</v>
          </cell>
          <cell r="C61" t="str">
            <v>196103081983031003</v>
          </cell>
          <cell r="D61" t="str">
            <v>Kepala Seksi Ketenagaan pada Bidang Akademik, Kemahasiswaan, dan Ketenagaan</v>
          </cell>
          <cell r="E61" t="str">
            <v>IV/a</v>
          </cell>
          <cell r="F61" t="str">
            <v>688754282432000</v>
          </cell>
          <cell r="G61" t="str">
            <v>Pembina</v>
          </cell>
          <cell r="H61" t="str">
            <v>Melakukan Monitoring dan Evaluasi ke Sekolah Tinggi Ilmu Kesehatan Istara Nusantara, Jakarta</v>
          </cell>
          <cell r="I61" t="str">
            <v>DKI Jakarta</v>
          </cell>
          <cell r="J61" t="str">
            <v>DKI Jakarta</v>
          </cell>
          <cell r="K61">
            <v>1</v>
          </cell>
          <cell r="L61" t="str">
            <v>15 Maret 2019</v>
          </cell>
          <cell r="M61" t="str">
            <v>15 Maret 2019</v>
          </cell>
          <cell r="N61">
            <v>524114</v>
          </cell>
          <cell r="O61" t="str">
            <v>Belanja Perjalanan Dinas Paket Meeting Dalam Kota</v>
          </cell>
          <cell r="P61" t="str">
            <v>431/L3/TU/KA.11.00/2019</v>
          </cell>
          <cell r="Q61" t="str">
            <v>14 Maret 2019</v>
          </cell>
          <cell r="R61" t="str">
            <v>ya</v>
          </cell>
          <cell r="S61">
            <v>150000</v>
          </cell>
          <cell r="T61">
            <v>3138400</v>
          </cell>
          <cell r="V61">
            <v>0</v>
          </cell>
          <cell r="W61">
            <v>0</v>
          </cell>
          <cell r="X61">
            <v>0</v>
          </cell>
          <cell r="Z61">
            <v>0</v>
          </cell>
          <cell r="AB61">
            <v>0</v>
          </cell>
          <cell r="AD61">
            <v>0</v>
          </cell>
          <cell r="AE61" t="str">
            <v>ya</v>
          </cell>
          <cell r="AF61">
            <v>210000</v>
          </cell>
          <cell r="AH61" t="str">
            <v xml:space="preserve">Angkutan Umum </v>
          </cell>
          <cell r="AI61" t="str">
            <v>STIKES Istara Nusantara, Jakarta</v>
          </cell>
        </row>
        <row r="62">
          <cell r="A62">
            <v>61</v>
          </cell>
          <cell r="B62" t="str">
            <v>Prita Ekasari</v>
          </cell>
          <cell r="C62" t="str">
            <v>198410142009122008</v>
          </cell>
          <cell r="D62" t="str">
            <v>Analis Sistem Informasi pada Seksi Sistem Informasi pada Bidang Kelembagaan, dan Sistem Informasi</v>
          </cell>
          <cell r="E62" t="str">
            <v>III/b</v>
          </cell>
          <cell r="F62" t="str">
            <v>599515301407000</v>
          </cell>
          <cell r="G62" t="str">
            <v>Penata Muda Tk. I</v>
          </cell>
          <cell r="H62" t="str">
            <v>Melakukan Monitoring dan Evaluasi ke Sekolah Tinggi Ilmu Kesehatan Istara Nusantara, Jakarta</v>
          </cell>
          <cell r="I62" t="str">
            <v>DKI Jakarta</v>
          </cell>
          <cell r="J62" t="str">
            <v>DKI Jakarta</v>
          </cell>
          <cell r="K62">
            <v>1</v>
          </cell>
          <cell r="L62" t="str">
            <v>15 Maret 2019</v>
          </cell>
          <cell r="M62" t="str">
            <v>15 Maret 2019</v>
          </cell>
          <cell r="N62">
            <v>524114</v>
          </cell>
          <cell r="O62" t="str">
            <v>Belanja Perjalanan Dinas Paket Meeting Dalam Kota</v>
          </cell>
          <cell r="P62" t="str">
            <v>431/L3/TU/KA.11.00/2019</v>
          </cell>
          <cell r="Q62" t="str">
            <v>14 Maret 2019</v>
          </cell>
          <cell r="R62" t="str">
            <v>ya</v>
          </cell>
          <cell r="S62">
            <v>150000</v>
          </cell>
          <cell r="T62">
            <v>3138400</v>
          </cell>
          <cell r="V62">
            <v>0</v>
          </cell>
          <cell r="W62">
            <v>0</v>
          </cell>
          <cell r="X62">
            <v>0</v>
          </cell>
          <cell r="Z62">
            <v>0</v>
          </cell>
          <cell r="AB62">
            <v>0</v>
          </cell>
          <cell r="AD62">
            <v>0</v>
          </cell>
          <cell r="AE62" t="str">
            <v>ya</v>
          </cell>
          <cell r="AF62">
            <v>210000</v>
          </cell>
          <cell r="AH62" t="str">
            <v xml:space="preserve">Angkutan Umum </v>
          </cell>
          <cell r="AI62" t="str">
            <v>STIKES Istara Nusantara, Jakarta</v>
          </cell>
        </row>
        <row r="63">
          <cell r="A63">
            <v>62</v>
          </cell>
          <cell r="B63" t="str">
            <v>Mudlikah</v>
          </cell>
          <cell r="C63" t="str">
            <v>196303111987032001</v>
          </cell>
          <cell r="D63" t="str">
            <v xml:space="preserve">Pengadministrasi Persuratan pada Sub. Bagian Tata Usaha pada Bagian Umum        </v>
          </cell>
          <cell r="E63" t="str">
            <v>III/d</v>
          </cell>
          <cell r="F63" t="str">
            <v>688766492017000</v>
          </cell>
          <cell r="G63" t="str">
            <v>Penata Tk. I</v>
          </cell>
          <cell r="H63" t="str">
            <v>Melakukan Monitoring dan Evaluasi ke Sekolah Tinggi Ilmu Kesehatan Istara Nusantara, Jakarta</v>
          </cell>
          <cell r="I63" t="str">
            <v>DKI Jakarta</v>
          </cell>
          <cell r="J63" t="str">
            <v>DKI Jakarta</v>
          </cell>
          <cell r="K63">
            <v>1</v>
          </cell>
          <cell r="L63" t="str">
            <v>15 Maret 2019</v>
          </cell>
          <cell r="M63" t="str">
            <v>15 Maret 2019</v>
          </cell>
          <cell r="N63">
            <v>524114</v>
          </cell>
          <cell r="O63" t="str">
            <v>Belanja Perjalanan Dinas Paket Meeting Dalam Kota</v>
          </cell>
          <cell r="P63" t="str">
            <v>431/L3/TU/KA.11.00/2019</v>
          </cell>
          <cell r="Q63" t="str">
            <v>14 Maret 2019</v>
          </cell>
          <cell r="R63" t="str">
            <v>ya</v>
          </cell>
          <cell r="S63">
            <v>150000</v>
          </cell>
          <cell r="T63">
            <v>3138400</v>
          </cell>
          <cell r="V63">
            <v>0</v>
          </cell>
          <cell r="W63">
            <v>0</v>
          </cell>
          <cell r="X63">
            <v>0</v>
          </cell>
          <cell r="Z63">
            <v>0</v>
          </cell>
          <cell r="AB63">
            <v>0</v>
          </cell>
          <cell r="AD63">
            <v>0</v>
          </cell>
          <cell r="AE63" t="str">
            <v>ya</v>
          </cell>
          <cell r="AF63">
            <v>210000</v>
          </cell>
          <cell r="AH63" t="str">
            <v xml:space="preserve">Angkutan Umum </v>
          </cell>
          <cell r="AI63" t="str">
            <v>STIKES Istara Nusantara, Jakarta</v>
          </cell>
        </row>
        <row r="64">
          <cell r="A64">
            <v>63</v>
          </cell>
          <cell r="B64" t="str">
            <v>Boy Alexandry</v>
          </cell>
          <cell r="C64" t="str">
            <v>196301091994031002</v>
          </cell>
          <cell r="D64" t="str">
            <v xml:space="preserve">Kepala Sub. Bagian Tata Usaha pada Bagian Umum                                          </v>
          </cell>
          <cell r="E64" t="str">
            <v>IV/a</v>
          </cell>
          <cell r="F64" t="str">
            <v>688766658017000</v>
          </cell>
          <cell r="G64" t="str">
            <v>Pembina</v>
          </cell>
          <cell r="H64" t="str">
            <v>Melakukan Monitoring dan Evaluasi ke STIE Unisadhuguna, Jakarta</v>
          </cell>
          <cell r="I64" t="str">
            <v>DKI Jakarta</v>
          </cell>
          <cell r="J64" t="str">
            <v>DKI Jakarta</v>
          </cell>
          <cell r="K64">
            <v>1</v>
          </cell>
          <cell r="L64" t="str">
            <v>15 Maret 2019</v>
          </cell>
          <cell r="M64" t="str">
            <v>15 Maret 2019</v>
          </cell>
          <cell r="N64">
            <v>524114</v>
          </cell>
          <cell r="O64" t="str">
            <v>Belanja Perjalanan Dinas Paket Meeting Dalam Kota</v>
          </cell>
          <cell r="P64" t="str">
            <v>431/L3/TU/KA.11.00/2019</v>
          </cell>
          <cell r="Q64" t="str">
            <v>14 Maret 2019</v>
          </cell>
          <cell r="R64" t="str">
            <v>ya</v>
          </cell>
          <cell r="S64">
            <v>150000</v>
          </cell>
          <cell r="T64">
            <v>3138400</v>
          </cell>
          <cell r="V64">
            <v>0</v>
          </cell>
          <cell r="W64">
            <v>0</v>
          </cell>
          <cell r="X64">
            <v>0</v>
          </cell>
          <cell r="Z64">
            <v>0</v>
          </cell>
          <cell r="AB64">
            <v>0</v>
          </cell>
          <cell r="AD64">
            <v>0</v>
          </cell>
          <cell r="AE64" t="str">
            <v>ya</v>
          </cell>
          <cell r="AF64">
            <v>210000</v>
          </cell>
          <cell r="AH64" t="str">
            <v xml:space="preserve">Angkutan Umum </v>
          </cell>
          <cell r="AI64" t="str">
            <v>STIE Unisadhuguna, Jakarta</v>
          </cell>
        </row>
        <row r="65">
          <cell r="A65">
            <v>64</v>
          </cell>
          <cell r="B65" t="str">
            <v>Titah Widihastuti</v>
          </cell>
          <cell r="C65" t="str">
            <v>198312302010122003</v>
          </cell>
          <cell r="D65" t="str">
            <v>Analis Sistem Informasi pada Seksi Sistem Informasi pada Bidang Kelembagaan, dan Sistem Informasi</v>
          </cell>
          <cell r="E65" t="str">
            <v>III/b</v>
          </cell>
          <cell r="F65" t="str">
            <v>678780578009000</v>
          </cell>
          <cell r="G65" t="str">
            <v>Penata Muda Tk. I</v>
          </cell>
          <cell r="H65" t="str">
            <v>Melakukan Monitoring dan Evaluasi ke STIE Unisadhuguna, Jakarta</v>
          </cell>
          <cell r="I65" t="str">
            <v>DKI Jakarta</v>
          </cell>
          <cell r="J65" t="str">
            <v>DKI Jakarta</v>
          </cell>
          <cell r="K65">
            <v>1</v>
          </cell>
          <cell r="L65" t="str">
            <v>15 Maret 2019</v>
          </cell>
          <cell r="M65" t="str">
            <v>15 Maret 2019</v>
          </cell>
          <cell r="N65">
            <v>524114</v>
          </cell>
          <cell r="O65" t="str">
            <v>Belanja Perjalanan Dinas Paket Meeting Dalam Kota</v>
          </cell>
          <cell r="P65" t="str">
            <v>431/L3/TU/KA.11.00/2019</v>
          </cell>
          <cell r="Q65" t="str">
            <v>14 Maret 2019</v>
          </cell>
          <cell r="R65" t="str">
            <v>ya</v>
          </cell>
          <cell r="S65">
            <v>150000</v>
          </cell>
          <cell r="T65">
            <v>3138400</v>
          </cell>
          <cell r="V65">
            <v>0</v>
          </cell>
          <cell r="W65">
            <v>0</v>
          </cell>
          <cell r="X65">
            <v>0</v>
          </cell>
          <cell r="Z65">
            <v>0</v>
          </cell>
          <cell r="AB65">
            <v>0</v>
          </cell>
          <cell r="AD65">
            <v>0</v>
          </cell>
          <cell r="AE65" t="str">
            <v>ya</v>
          </cell>
          <cell r="AF65">
            <v>210000</v>
          </cell>
          <cell r="AH65" t="str">
            <v xml:space="preserve">Angkutan Umum </v>
          </cell>
          <cell r="AI65" t="str">
            <v>STIE Unisadhuguna, Jakarta</v>
          </cell>
        </row>
        <row r="66">
          <cell r="A66">
            <v>65</v>
          </cell>
          <cell r="B66" t="str">
            <v>Ning Dwi Hastuti</v>
          </cell>
          <cell r="C66" t="str">
            <v>196408091988032001</v>
          </cell>
          <cell r="D66" t="str">
            <v>Pengelola Informasi Akademik pada Seksi Akademik, dan Kemahasiswaan pada Bidang Akademik, Kemahasiswaan, dan Ketenagaan</v>
          </cell>
          <cell r="E66" t="str">
            <v>III/d</v>
          </cell>
          <cell r="F66" t="str">
            <v>245328000412001</v>
          </cell>
          <cell r="G66" t="str">
            <v>Penata Tk. I</v>
          </cell>
          <cell r="H66" t="str">
            <v>Melakukan Monitoring dan Evaluasi ke STIE Unisadhuguna, Jakarta</v>
          </cell>
          <cell r="I66" t="str">
            <v>DKI Jakarta</v>
          </cell>
          <cell r="J66" t="str">
            <v>DKI Jakarta</v>
          </cell>
          <cell r="K66">
            <v>1</v>
          </cell>
          <cell r="L66" t="str">
            <v>15 Maret 2019</v>
          </cell>
          <cell r="M66" t="str">
            <v>15 Maret 2019</v>
          </cell>
          <cell r="N66">
            <v>524114</v>
          </cell>
          <cell r="O66" t="str">
            <v>Belanja Perjalanan Dinas Paket Meeting Dalam Kota</v>
          </cell>
          <cell r="P66" t="str">
            <v>431/L3/TU/KA.11.00/2019</v>
          </cell>
          <cell r="Q66" t="str">
            <v>14 Maret 2019</v>
          </cell>
          <cell r="R66" t="str">
            <v>ya</v>
          </cell>
          <cell r="S66">
            <v>150000</v>
          </cell>
          <cell r="T66">
            <v>3138400</v>
          </cell>
          <cell r="V66">
            <v>0</v>
          </cell>
          <cell r="W66">
            <v>0</v>
          </cell>
          <cell r="X66">
            <v>0</v>
          </cell>
          <cell r="Z66">
            <v>0</v>
          </cell>
          <cell r="AB66">
            <v>0</v>
          </cell>
          <cell r="AD66">
            <v>0</v>
          </cell>
          <cell r="AE66" t="str">
            <v>ya</v>
          </cell>
          <cell r="AF66">
            <v>210000</v>
          </cell>
          <cell r="AH66" t="str">
            <v xml:space="preserve">Angkutan Umum </v>
          </cell>
          <cell r="AI66" t="str">
            <v>STIE Unisadhuguna, Jakarta</v>
          </cell>
        </row>
        <row r="67">
          <cell r="A67">
            <v>66</v>
          </cell>
          <cell r="B67" t="str">
            <v>Suratmi</v>
          </cell>
          <cell r="C67" t="str">
            <v>196809101986112001</v>
          </cell>
          <cell r="D67" t="str">
            <v>Pengadministrasi Pendidik Dan Tenaga Kependidikan pada Seksi Ketenagaan pada Bidang Akademik, Kemahasiswaan, dan Ketenagaan</v>
          </cell>
          <cell r="E67" t="str">
            <v>III/b</v>
          </cell>
          <cell r="F67" t="str">
            <v>688718410412000</v>
          </cell>
          <cell r="G67" t="str">
            <v>Penata Muda Tk. I</v>
          </cell>
          <cell r="H67" t="str">
            <v>Melakukan Monitoring dan Evaluasi ke STIE Unisadhuguna, Jakarta</v>
          </cell>
          <cell r="I67" t="str">
            <v>DKI Jakarta</v>
          </cell>
          <cell r="J67" t="str">
            <v>DKI Jakarta</v>
          </cell>
          <cell r="K67">
            <v>1</v>
          </cell>
          <cell r="L67" t="str">
            <v>15 Maret 2019</v>
          </cell>
          <cell r="M67" t="str">
            <v>15 Maret 2019</v>
          </cell>
          <cell r="N67">
            <v>524114</v>
          </cell>
          <cell r="O67" t="str">
            <v>Belanja Perjalanan Dinas Paket Meeting Dalam Kota</v>
          </cell>
          <cell r="P67" t="str">
            <v>431/L3/TU/KA.11.00/2019</v>
          </cell>
          <cell r="Q67" t="str">
            <v>14 Maret 2019</v>
          </cell>
          <cell r="R67" t="str">
            <v>ya</v>
          </cell>
          <cell r="S67">
            <v>150000</v>
          </cell>
          <cell r="T67">
            <v>3138400</v>
          </cell>
          <cell r="V67">
            <v>0</v>
          </cell>
          <cell r="W67">
            <v>0</v>
          </cell>
          <cell r="X67">
            <v>0</v>
          </cell>
          <cell r="Z67">
            <v>0</v>
          </cell>
          <cell r="AB67">
            <v>0</v>
          </cell>
          <cell r="AD67">
            <v>0</v>
          </cell>
          <cell r="AE67" t="str">
            <v>ya</v>
          </cell>
          <cell r="AF67">
            <v>210000</v>
          </cell>
          <cell r="AH67" t="str">
            <v xml:space="preserve">Angkutan Umum </v>
          </cell>
          <cell r="AI67" t="str">
            <v>STIE Unisadhuguna, Jakarta</v>
          </cell>
        </row>
        <row r="68">
          <cell r="A68">
            <v>67</v>
          </cell>
          <cell r="B68" t="str">
            <v>Imam yuwono</v>
          </cell>
          <cell r="C68" t="str">
            <v>196204011985031006</v>
          </cell>
          <cell r="D68" t="str">
            <v>Kepala Seksi Akademik, dan Kemahasiswaan pada Bidang Akademik, Kemahasiswaan, dan Ketenagaan</v>
          </cell>
          <cell r="E68" t="str">
            <v>IV/a</v>
          </cell>
          <cell r="F68" t="str">
            <v>683172936412000</v>
          </cell>
          <cell r="G68" t="str">
            <v>Pembina</v>
          </cell>
          <cell r="H68" t="str">
            <v>Melakukan Monitoring dan Evaluasi ke Universitas Paramadina, Jakarta</v>
          </cell>
          <cell r="I68" t="str">
            <v>DKI Jakarta</v>
          </cell>
          <cell r="J68" t="str">
            <v>DKI Jakarta</v>
          </cell>
          <cell r="K68">
            <v>1</v>
          </cell>
          <cell r="L68" t="str">
            <v>18 Maret 2019</v>
          </cell>
          <cell r="M68" t="str">
            <v>18 Maret 2019</v>
          </cell>
          <cell r="N68">
            <v>524114</v>
          </cell>
          <cell r="O68" t="str">
            <v>Belanja Perjalanan Dinas Paket Meeting Dalam Kota</v>
          </cell>
          <cell r="P68" t="str">
            <v>431/L3/TU/KA.11.00/2019</v>
          </cell>
          <cell r="Q68" t="str">
            <v>14 Maret 2019</v>
          </cell>
          <cell r="R68" t="str">
            <v>ya</v>
          </cell>
          <cell r="S68">
            <v>150000</v>
          </cell>
          <cell r="T68">
            <v>3138400</v>
          </cell>
          <cell r="V68">
            <v>0</v>
          </cell>
          <cell r="W68">
            <v>0</v>
          </cell>
          <cell r="X68">
            <v>0</v>
          </cell>
          <cell r="Z68">
            <v>0</v>
          </cell>
          <cell r="AB68">
            <v>0</v>
          </cell>
          <cell r="AD68">
            <v>0</v>
          </cell>
          <cell r="AE68" t="str">
            <v>ya</v>
          </cell>
          <cell r="AF68">
            <v>210000</v>
          </cell>
          <cell r="AH68" t="str">
            <v xml:space="preserve">Angkutan Umum </v>
          </cell>
          <cell r="AI68" t="str">
            <v>Universitas Paramadina, Jakarta</v>
          </cell>
        </row>
        <row r="69">
          <cell r="A69">
            <v>68</v>
          </cell>
          <cell r="B69" t="str">
            <v>Mulhadi HM</v>
          </cell>
          <cell r="C69" t="str">
            <v>199204072015041001</v>
          </cell>
          <cell r="D69" t="str">
            <v>Analis Kelembagaan pada Seksi Kelembagaan, dan Kerjasama pada Bidang Kelembagaan, dan Sistem Informasi</v>
          </cell>
          <cell r="E69" t="str">
            <v>III/a</v>
          </cell>
          <cell r="F69" t="str">
            <v>737792366005000</v>
          </cell>
          <cell r="G69" t="str">
            <v>Penata Muda</v>
          </cell>
          <cell r="H69" t="str">
            <v>Melakukan Monitoring dan Evaluasi ke Universitas Paramadina, Jakarta</v>
          </cell>
          <cell r="I69" t="str">
            <v>DKI Jakarta</v>
          </cell>
          <cell r="J69" t="str">
            <v>DKI Jakarta</v>
          </cell>
          <cell r="K69">
            <v>1</v>
          </cell>
          <cell r="L69" t="str">
            <v>18 Maret 2019</v>
          </cell>
          <cell r="M69" t="str">
            <v>18 Maret 2019</v>
          </cell>
          <cell r="N69">
            <v>524114</v>
          </cell>
          <cell r="O69" t="str">
            <v>Belanja Perjalanan Dinas Paket Meeting Dalam Kota</v>
          </cell>
          <cell r="P69" t="str">
            <v>431/L3/TU/KA.11.00/2019</v>
          </cell>
          <cell r="Q69" t="str">
            <v>14 Maret 2019</v>
          </cell>
          <cell r="R69" t="str">
            <v>ya</v>
          </cell>
          <cell r="S69">
            <v>150000</v>
          </cell>
          <cell r="T69">
            <v>3138400</v>
          </cell>
          <cell r="V69">
            <v>0</v>
          </cell>
          <cell r="W69">
            <v>0</v>
          </cell>
          <cell r="X69">
            <v>0</v>
          </cell>
          <cell r="Z69">
            <v>0</v>
          </cell>
          <cell r="AB69">
            <v>0</v>
          </cell>
          <cell r="AD69">
            <v>0</v>
          </cell>
          <cell r="AE69" t="str">
            <v>ya</v>
          </cell>
          <cell r="AF69">
            <v>210000</v>
          </cell>
          <cell r="AH69" t="str">
            <v xml:space="preserve">Angkutan Umum </v>
          </cell>
          <cell r="AI69" t="str">
            <v>Universitas Paramadina, Jakarta</v>
          </cell>
        </row>
        <row r="70">
          <cell r="A70">
            <v>69</v>
          </cell>
          <cell r="B70" t="str">
            <v>Asri Fika Agusti</v>
          </cell>
          <cell r="C70" t="str">
            <v>198708192009122006</v>
          </cell>
          <cell r="D70" t="str">
            <v>Pengelola Keuangan pada Sub. Bagian Keuangan pada Bagian Umum</v>
          </cell>
          <cell r="E70" t="str">
            <v>III/c</v>
          </cell>
          <cell r="F70" t="str">
            <v>348432499201000</v>
          </cell>
          <cell r="G70" t="str">
            <v>Penata</v>
          </cell>
          <cell r="H70" t="str">
            <v>Melakukan Monitoring dan Evaluasi ke Universitas Paramadina, Jakarta</v>
          </cell>
          <cell r="I70" t="str">
            <v>DKI Jakarta</v>
          </cell>
          <cell r="J70" t="str">
            <v>DKI Jakarta</v>
          </cell>
          <cell r="K70">
            <v>1</v>
          </cell>
          <cell r="L70" t="str">
            <v>18 Maret 2019</v>
          </cell>
          <cell r="M70" t="str">
            <v>18 Maret 2019</v>
          </cell>
          <cell r="N70">
            <v>524114</v>
          </cell>
          <cell r="O70" t="str">
            <v>Belanja Perjalanan Dinas Paket Meeting Dalam Kota</v>
          </cell>
          <cell r="P70" t="str">
            <v>431/L3/TU/KA.11.00/2019</v>
          </cell>
          <cell r="Q70" t="str">
            <v>14 Maret 2019</v>
          </cell>
          <cell r="R70" t="str">
            <v>ya</v>
          </cell>
          <cell r="S70">
            <v>150000</v>
          </cell>
          <cell r="T70">
            <v>3138400</v>
          </cell>
          <cell r="V70">
            <v>0</v>
          </cell>
          <cell r="W70">
            <v>0</v>
          </cell>
          <cell r="X70">
            <v>0</v>
          </cell>
          <cell r="Z70">
            <v>0</v>
          </cell>
          <cell r="AB70">
            <v>0</v>
          </cell>
          <cell r="AD70">
            <v>0</v>
          </cell>
          <cell r="AE70" t="str">
            <v>ya</v>
          </cell>
          <cell r="AF70">
            <v>210000</v>
          </cell>
          <cell r="AH70" t="str">
            <v xml:space="preserve">Angkutan Umum </v>
          </cell>
          <cell r="AI70" t="str">
            <v>Universitas Paramadina, Jakarta</v>
          </cell>
        </row>
        <row r="71">
          <cell r="A71">
            <v>70</v>
          </cell>
          <cell r="B71" t="str">
            <v>Suparman</v>
          </cell>
          <cell r="C71" t="str">
            <v>196705191987031006</v>
          </cell>
          <cell r="D71" t="str">
            <v>Pengadministrasi Kepegawaian pada Sub. Bagian Kepegawaian pada Bagian Umum</v>
          </cell>
          <cell r="E71" t="str">
            <v>III/b</v>
          </cell>
          <cell r="F71" t="str">
            <v>755960788004000</v>
          </cell>
          <cell r="G71" t="str">
            <v>Penata Muda Tk. I</v>
          </cell>
          <cell r="H71" t="str">
            <v>Melakukan Monitoring dan Evaluasi ke Universitas Paramadina, Jakarta</v>
          </cell>
          <cell r="I71" t="str">
            <v>DKI Jakarta</v>
          </cell>
          <cell r="J71" t="str">
            <v>DKI Jakarta</v>
          </cell>
          <cell r="K71">
            <v>1</v>
          </cell>
          <cell r="L71" t="str">
            <v>18 Maret 2019</v>
          </cell>
          <cell r="M71" t="str">
            <v>18 Maret 2019</v>
          </cell>
          <cell r="N71">
            <v>524114</v>
          </cell>
          <cell r="O71" t="str">
            <v>Belanja Perjalanan Dinas Paket Meeting Dalam Kota</v>
          </cell>
          <cell r="P71" t="str">
            <v>431/L3/TU/KA.11.00/2019</v>
          </cell>
          <cell r="Q71" t="str">
            <v>14 Maret 2019</v>
          </cell>
          <cell r="R71" t="str">
            <v>ya</v>
          </cell>
          <cell r="S71">
            <v>150000</v>
          </cell>
          <cell r="T71">
            <v>3138400</v>
          </cell>
          <cell r="V71">
            <v>0</v>
          </cell>
          <cell r="W71">
            <v>0</v>
          </cell>
          <cell r="X71">
            <v>0</v>
          </cell>
          <cell r="Z71">
            <v>0</v>
          </cell>
          <cell r="AB71">
            <v>0</v>
          </cell>
          <cell r="AD71">
            <v>0</v>
          </cell>
          <cell r="AE71" t="str">
            <v>ya</v>
          </cell>
          <cell r="AF71">
            <v>210000</v>
          </cell>
          <cell r="AH71" t="str">
            <v xml:space="preserve">Angkutan Umum </v>
          </cell>
          <cell r="AI71" t="str">
            <v>Universitas Paramadina, Jakarta</v>
          </cell>
        </row>
        <row r="72">
          <cell r="A72">
            <v>71</v>
          </cell>
          <cell r="B72" t="str">
            <v>Sugiarto</v>
          </cell>
          <cell r="C72" t="str">
            <v>196303021985101001</v>
          </cell>
          <cell r="D72" t="str">
            <v>Pengelola Informasi Kerjasama pada Seksi Kelembagaan, dan Kerjasama pada Bidang Kelembagaan, dan Sistem Informasi</v>
          </cell>
          <cell r="E72" t="str">
            <v>III/b</v>
          </cell>
          <cell r="F72" t="str">
            <v>688766377024000</v>
          </cell>
          <cell r="G72" t="str">
            <v>Penata Muda Tk. I</v>
          </cell>
          <cell r="H72" t="str">
            <v>Melakukan Monitoring dan Evaluasi ke Akademi Kebidanan Sismadi, Jakarta</v>
          </cell>
          <cell r="I72" t="str">
            <v>DKI Jakarta</v>
          </cell>
          <cell r="J72" t="str">
            <v>DKI Jakarta</v>
          </cell>
          <cell r="K72">
            <v>1</v>
          </cell>
          <cell r="L72" t="str">
            <v>19 Maret 2019</v>
          </cell>
          <cell r="M72" t="str">
            <v>19 Maret 2019</v>
          </cell>
          <cell r="N72">
            <v>524114</v>
          </cell>
          <cell r="O72" t="str">
            <v>Belanja Perjalanan Dinas Paket Meeting Dalam Kota</v>
          </cell>
          <cell r="P72" t="str">
            <v>431/L3/TU/KA.11.00/2019</v>
          </cell>
          <cell r="Q72" t="str">
            <v>14 Maret 2019</v>
          </cell>
          <cell r="R72" t="str">
            <v>ya</v>
          </cell>
          <cell r="S72">
            <v>150000</v>
          </cell>
          <cell r="T72">
            <v>3138400</v>
          </cell>
          <cell r="V72">
            <v>0</v>
          </cell>
          <cell r="W72">
            <v>0</v>
          </cell>
          <cell r="X72">
            <v>0</v>
          </cell>
          <cell r="Z72">
            <v>0</v>
          </cell>
          <cell r="AB72">
            <v>0</v>
          </cell>
          <cell r="AD72">
            <v>0</v>
          </cell>
          <cell r="AE72" t="str">
            <v>ya</v>
          </cell>
          <cell r="AF72">
            <v>210000</v>
          </cell>
          <cell r="AH72" t="str">
            <v xml:space="preserve">Angkutan Umum </v>
          </cell>
          <cell r="AI72" t="str">
            <v>Akademi Kebidanan Sismadi, Jakarta</v>
          </cell>
        </row>
        <row r="73">
          <cell r="A73">
            <v>72</v>
          </cell>
          <cell r="B73" t="str">
            <v>Mulhadi HM</v>
          </cell>
          <cell r="C73" t="str">
            <v>199204072015041001</v>
          </cell>
          <cell r="D73" t="str">
            <v>Analis Kelembagaan pada Seksi Kelembagaan, dan Kerjasama pada Bidang Kelembagaan, dan Sistem Informasi</v>
          </cell>
          <cell r="E73" t="str">
            <v>III/a</v>
          </cell>
          <cell r="F73" t="str">
            <v>737792366005000</v>
          </cell>
          <cell r="G73" t="str">
            <v>Penata Muda</v>
          </cell>
          <cell r="H73" t="str">
            <v>Melakukan Monitoring dan Evaluasi ke Akademi Kebidanan Sismadi, Jakarta</v>
          </cell>
          <cell r="I73" t="str">
            <v>DKI Jakarta</v>
          </cell>
          <cell r="J73" t="str">
            <v>DKI Jakarta</v>
          </cell>
          <cell r="K73">
            <v>1</v>
          </cell>
          <cell r="L73" t="str">
            <v>19 Maret 2019</v>
          </cell>
          <cell r="M73" t="str">
            <v>19 Maret 2019</v>
          </cell>
          <cell r="N73">
            <v>524114</v>
          </cell>
          <cell r="O73" t="str">
            <v>Belanja Perjalanan Dinas Paket Meeting Dalam Kota</v>
          </cell>
          <cell r="P73" t="str">
            <v>431/L3/TU/KA.11.00/2019</v>
          </cell>
          <cell r="Q73" t="str">
            <v>14 Maret 2019</v>
          </cell>
          <cell r="R73" t="str">
            <v>ya</v>
          </cell>
          <cell r="S73">
            <v>150000</v>
          </cell>
          <cell r="T73">
            <v>3138400</v>
          </cell>
          <cell r="V73">
            <v>0</v>
          </cell>
          <cell r="W73">
            <v>0</v>
          </cell>
          <cell r="X73">
            <v>0</v>
          </cell>
          <cell r="Z73">
            <v>0</v>
          </cell>
          <cell r="AB73">
            <v>0</v>
          </cell>
          <cell r="AD73">
            <v>0</v>
          </cell>
          <cell r="AE73" t="str">
            <v>ya</v>
          </cell>
          <cell r="AF73">
            <v>210000</v>
          </cell>
          <cell r="AH73" t="str">
            <v xml:space="preserve">Angkutan Umum </v>
          </cell>
          <cell r="AI73" t="str">
            <v>Akademi Kebidanan Sismadi, Jakarta</v>
          </cell>
        </row>
        <row r="74">
          <cell r="A74">
            <v>73</v>
          </cell>
          <cell r="B74" t="str">
            <v>Asri Fika Agusti</v>
          </cell>
          <cell r="C74" t="str">
            <v>198708192009122006</v>
          </cell>
          <cell r="D74" t="str">
            <v>Pengelola Keuangan pada Sub. Bagian Keuangan pada Bagian Umum</v>
          </cell>
          <cell r="E74" t="str">
            <v>III/c</v>
          </cell>
          <cell r="F74" t="str">
            <v>348432499201000</v>
          </cell>
          <cell r="G74" t="str">
            <v>Penata</v>
          </cell>
          <cell r="H74" t="str">
            <v>Melakukan Monitoring dan Evaluasi ke Akademi Kebidanan Sismadi, Jakarta</v>
          </cell>
          <cell r="I74" t="str">
            <v>DKI Jakarta</v>
          </cell>
          <cell r="J74" t="str">
            <v>DKI Jakarta</v>
          </cell>
          <cell r="K74">
            <v>1</v>
          </cell>
          <cell r="L74" t="str">
            <v>19 Maret 2019</v>
          </cell>
          <cell r="M74" t="str">
            <v>19 Maret 2019</v>
          </cell>
          <cell r="N74">
            <v>524114</v>
          </cell>
          <cell r="O74" t="str">
            <v>Belanja Perjalanan Dinas Paket Meeting Dalam Kota</v>
          </cell>
          <cell r="P74" t="str">
            <v>431/L3/TU/KA.11.00/2019</v>
          </cell>
          <cell r="Q74" t="str">
            <v>14 Maret 2019</v>
          </cell>
          <cell r="R74" t="str">
            <v>ya</v>
          </cell>
          <cell r="S74">
            <v>150000</v>
          </cell>
          <cell r="T74">
            <v>3138400</v>
          </cell>
          <cell r="V74">
            <v>0</v>
          </cell>
          <cell r="W74">
            <v>0</v>
          </cell>
          <cell r="X74">
            <v>0</v>
          </cell>
          <cell r="Z74">
            <v>0</v>
          </cell>
          <cell r="AB74">
            <v>0</v>
          </cell>
          <cell r="AD74">
            <v>0</v>
          </cell>
          <cell r="AE74" t="str">
            <v>ya</v>
          </cell>
          <cell r="AF74">
            <v>210000</v>
          </cell>
          <cell r="AH74" t="str">
            <v xml:space="preserve">Angkutan Umum </v>
          </cell>
          <cell r="AI74" t="str">
            <v>Akademi Kebidanan Sismadi, Jakarta</v>
          </cell>
        </row>
        <row r="75">
          <cell r="A75">
            <v>74</v>
          </cell>
          <cell r="B75" t="str">
            <v>Suparman</v>
          </cell>
          <cell r="C75" t="str">
            <v>196705191987031006</v>
          </cell>
          <cell r="D75" t="str">
            <v>Pengadministrasi Kepegawaian pada Sub. Bagian Kepegawaian pada Bagian Umum</v>
          </cell>
          <cell r="E75" t="str">
            <v>III/b</v>
          </cell>
          <cell r="F75" t="str">
            <v>755960788004000</v>
          </cell>
          <cell r="G75" t="str">
            <v>Penata Muda Tk. I</v>
          </cell>
          <cell r="H75" t="str">
            <v>Melakukan Monitoring dan Evaluasi ke Akademi Kebidanan Sismadi, Jakarta</v>
          </cell>
          <cell r="I75" t="str">
            <v>DKI Jakarta</v>
          </cell>
          <cell r="J75" t="str">
            <v>DKI Jakarta</v>
          </cell>
          <cell r="K75">
            <v>1</v>
          </cell>
          <cell r="L75" t="str">
            <v>19 Maret 2019</v>
          </cell>
          <cell r="M75" t="str">
            <v>19 Maret 2019</v>
          </cell>
          <cell r="N75">
            <v>524114</v>
          </cell>
          <cell r="O75" t="str">
            <v>Belanja Perjalanan Dinas Paket Meeting Dalam Kota</v>
          </cell>
          <cell r="P75" t="str">
            <v>431/L3/TU/KA.11.00/2019</v>
          </cell>
          <cell r="Q75" t="str">
            <v>14 Maret 2019</v>
          </cell>
          <cell r="R75" t="str">
            <v>ya</v>
          </cell>
          <cell r="S75">
            <v>150000</v>
          </cell>
          <cell r="T75">
            <v>3138400</v>
          </cell>
          <cell r="V75">
            <v>0</v>
          </cell>
          <cell r="W75">
            <v>0</v>
          </cell>
          <cell r="X75">
            <v>0</v>
          </cell>
          <cell r="Z75">
            <v>0</v>
          </cell>
          <cell r="AB75">
            <v>0</v>
          </cell>
          <cell r="AD75">
            <v>0</v>
          </cell>
          <cell r="AE75" t="str">
            <v>ya</v>
          </cell>
          <cell r="AF75">
            <v>210000</v>
          </cell>
          <cell r="AH75" t="str">
            <v xml:space="preserve">Angkutan Umum </v>
          </cell>
          <cell r="AI75" t="str">
            <v>Akademi Kebidanan Sismadi, Jakarta</v>
          </cell>
        </row>
        <row r="76">
          <cell r="A76">
            <v>75</v>
          </cell>
          <cell r="B76" t="str">
            <v>Boy Alexandry</v>
          </cell>
          <cell r="C76" t="str">
            <v>196301091994031002</v>
          </cell>
          <cell r="D76" t="str">
            <v xml:space="preserve">Kepala Sub. Bagian Tata Usaha pada Bagian Umum                                          </v>
          </cell>
          <cell r="E76" t="str">
            <v>IV/a</v>
          </cell>
          <cell r="F76" t="str">
            <v>688766658017000</v>
          </cell>
          <cell r="G76" t="str">
            <v>Pembina</v>
          </cell>
          <cell r="H76" t="str">
            <v>Melakukan Monitoring dan Evaluasi ke Akademi Kesehatan Yayasan RS Jakarta, Jakarta</v>
          </cell>
          <cell r="I76" t="str">
            <v>DKI Jakarta</v>
          </cell>
          <cell r="J76" t="str">
            <v>DKI Jakarta</v>
          </cell>
          <cell r="K76">
            <v>1</v>
          </cell>
          <cell r="L76" t="str">
            <v>19 Maret 2019</v>
          </cell>
          <cell r="M76" t="str">
            <v>19 Maret 2019</v>
          </cell>
          <cell r="N76">
            <v>524114</v>
          </cell>
          <cell r="O76" t="str">
            <v>Belanja Perjalanan Dinas Paket Meeting Dalam Kota</v>
          </cell>
          <cell r="P76" t="str">
            <v>431/L3/TU/KA.11.00/2019</v>
          </cell>
          <cell r="Q76" t="str">
            <v>14 Maret 2019</v>
          </cell>
          <cell r="R76" t="str">
            <v>ya</v>
          </cell>
          <cell r="S76">
            <v>150000</v>
          </cell>
          <cell r="T76">
            <v>3138400</v>
          </cell>
          <cell r="V76">
            <v>0</v>
          </cell>
          <cell r="W76">
            <v>0</v>
          </cell>
          <cell r="X76">
            <v>0</v>
          </cell>
          <cell r="Z76">
            <v>0</v>
          </cell>
          <cell r="AB76">
            <v>0</v>
          </cell>
          <cell r="AD76">
            <v>0</v>
          </cell>
          <cell r="AE76" t="str">
            <v>ya</v>
          </cell>
          <cell r="AF76">
            <v>210000</v>
          </cell>
          <cell r="AH76" t="str">
            <v xml:space="preserve">Angkutan Umum </v>
          </cell>
          <cell r="AI76" t="str">
            <v>Akademi Kesehatan Yayasan RS Jakarta, Jakarta</v>
          </cell>
        </row>
        <row r="77">
          <cell r="A77">
            <v>76</v>
          </cell>
          <cell r="B77" t="str">
            <v>Tri Munanto</v>
          </cell>
          <cell r="C77" t="str">
            <v>198601212010121003</v>
          </cell>
          <cell r="D77" t="str">
            <v>Analis Kelembagaan pada Seksi Kelembagaan, dan Kerjasama pada Bidang Kelembagaan, dan Sistem Informasi</v>
          </cell>
          <cell r="E77" t="str">
            <v>III/b</v>
          </cell>
          <cell r="F77" t="str">
            <v>248877086013000</v>
          </cell>
          <cell r="G77" t="str">
            <v>Penata Muda Tk. I</v>
          </cell>
          <cell r="H77" t="str">
            <v>Melakukan Monitoring dan Evaluasi ke Akademi Kesehatan Yayasan RS Jakarta, Jakarta</v>
          </cell>
          <cell r="I77" t="str">
            <v>DKI Jakarta</v>
          </cell>
          <cell r="J77" t="str">
            <v>DKI Jakarta</v>
          </cell>
          <cell r="K77">
            <v>1</v>
          </cell>
          <cell r="L77" t="str">
            <v>19 Maret 2019</v>
          </cell>
          <cell r="M77" t="str">
            <v>19 Maret 2019</v>
          </cell>
          <cell r="N77">
            <v>524114</v>
          </cell>
          <cell r="O77" t="str">
            <v>Belanja Perjalanan Dinas Paket Meeting Dalam Kota</v>
          </cell>
          <cell r="P77" t="str">
            <v>431/L3/TU/KA.11.00/2019</v>
          </cell>
          <cell r="Q77" t="str">
            <v>14 Maret 2019</v>
          </cell>
          <cell r="R77" t="str">
            <v>ya</v>
          </cell>
          <cell r="S77">
            <v>150000</v>
          </cell>
          <cell r="T77">
            <v>3138400</v>
          </cell>
          <cell r="V77">
            <v>0</v>
          </cell>
          <cell r="W77">
            <v>0</v>
          </cell>
          <cell r="X77">
            <v>0</v>
          </cell>
          <cell r="Z77">
            <v>0</v>
          </cell>
          <cell r="AB77">
            <v>0</v>
          </cell>
          <cell r="AD77">
            <v>0</v>
          </cell>
          <cell r="AE77" t="str">
            <v>ya</v>
          </cell>
          <cell r="AF77">
            <v>210000</v>
          </cell>
          <cell r="AH77" t="str">
            <v xml:space="preserve">Angkutan Umum </v>
          </cell>
          <cell r="AI77" t="str">
            <v>Akademi Kesehatan Yayasan RS Jakarta, Jakarta</v>
          </cell>
        </row>
        <row r="78">
          <cell r="A78">
            <v>77</v>
          </cell>
          <cell r="B78" t="str">
            <v>Sri Weningsih</v>
          </cell>
          <cell r="C78" t="str">
            <v>196104251989022001</v>
          </cell>
          <cell r="D78" t="str">
            <v>Penyusun Bahan Publikasi pada Seksi Sistem Informasi pada Bidang Kelembagaan, dan Sistem Informasi</v>
          </cell>
          <cell r="E78" t="str">
            <v>III/d</v>
          </cell>
          <cell r="F78" t="str">
            <v>688766351024000</v>
          </cell>
          <cell r="G78" t="str">
            <v>Penata Tk. I</v>
          </cell>
          <cell r="H78" t="str">
            <v>Melakukan Monitoring dan Evaluasi ke Akademi Kesehatan Yayasan RS Jakarta, Jakarta</v>
          </cell>
          <cell r="I78" t="str">
            <v>DKI Jakarta</v>
          </cell>
          <cell r="J78" t="str">
            <v>DKI Jakarta</v>
          </cell>
          <cell r="K78">
            <v>1</v>
          </cell>
          <cell r="L78" t="str">
            <v>19 Maret 2019</v>
          </cell>
          <cell r="M78" t="str">
            <v>19 Maret 2019</v>
          </cell>
          <cell r="N78">
            <v>524114</v>
          </cell>
          <cell r="O78" t="str">
            <v>Belanja Perjalanan Dinas Paket Meeting Dalam Kota</v>
          </cell>
          <cell r="P78" t="str">
            <v>431/L3/TU/KA.11.00/2019</v>
          </cell>
          <cell r="Q78" t="str">
            <v>14 Maret 2019</v>
          </cell>
          <cell r="R78" t="str">
            <v>ya</v>
          </cell>
          <cell r="S78">
            <v>150000</v>
          </cell>
          <cell r="T78">
            <v>3138400</v>
          </cell>
          <cell r="V78">
            <v>0</v>
          </cell>
          <cell r="W78">
            <v>0</v>
          </cell>
          <cell r="X78">
            <v>0</v>
          </cell>
          <cell r="Z78">
            <v>0</v>
          </cell>
          <cell r="AB78">
            <v>0</v>
          </cell>
          <cell r="AD78">
            <v>0</v>
          </cell>
          <cell r="AE78" t="str">
            <v>ya</v>
          </cell>
          <cell r="AF78">
            <v>210000</v>
          </cell>
          <cell r="AH78" t="str">
            <v xml:space="preserve">Angkutan Umum </v>
          </cell>
          <cell r="AI78" t="str">
            <v>Akademi Kesehatan Yayasan RS Jakarta, Jakarta</v>
          </cell>
        </row>
        <row r="79">
          <cell r="A79">
            <v>78</v>
          </cell>
          <cell r="B79" t="str">
            <v>Sujono</v>
          </cell>
          <cell r="C79" t="str">
            <v>196312131987031003</v>
          </cell>
          <cell r="D79" t="str">
            <v xml:space="preserve">Pengadministrasi Persuratan pada Sub. Bagian Tata Usaha pada Bagian Umum  </v>
          </cell>
          <cell r="E79" t="str">
            <v>III/b</v>
          </cell>
          <cell r="F79" t="str">
            <v>688766245412000</v>
          </cell>
          <cell r="G79" t="str">
            <v>Penata Muda Tk. I</v>
          </cell>
          <cell r="H79" t="str">
            <v>Melakukan Monitoring dan Evaluasi ke Akademi Kesehatan Yayasan RS Jakarta, Jakarta</v>
          </cell>
          <cell r="I79" t="str">
            <v>DKI Jakarta</v>
          </cell>
          <cell r="J79" t="str">
            <v>DKI Jakarta</v>
          </cell>
          <cell r="K79">
            <v>1</v>
          </cell>
          <cell r="L79" t="str">
            <v>19 Maret 2019</v>
          </cell>
          <cell r="M79" t="str">
            <v>19 Maret 2019</v>
          </cell>
          <cell r="N79">
            <v>524114</v>
          </cell>
          <cell r="O79" t="str">
            <v>Belanja Perjalanan Dinas Paket Meeting Dalam Kota</v>
          </cell>
          <cell r="P79" t="str">
            <v>431/L3/TU/KA.11.00/2019</v>
          </cell>
          <cell r="Q79" t="str">
            <v>14 Maret 2019</v>
          </cell>
          <cell r="R79" t="str">
            <v>ya</v>
          </cell>
          <cell r="S79">
            <v>150000</v>
          </cell>
          <cell r="T79">
            <v>3138400</v>
          </cell>
          <cell r="V79">
            <v>0</v>
          </cell>
          <cell r="W79">
            <v>0</v>
          </cell>
          <cell r="X79">
            <v>0</v>
          </cell>
          <cell r="Z79">
            <v>0</v>
          </cell>
          <cell r="AB79">
            <v>0</v>
          </cell>
          <cell r="AD79">
            <v>0</v>
          </cell>
          <cell r="AE79" t="str">
            <v>ya</v>
          </cell>
          <cell r="AF79">
            <v>210000</v>
          </cell>
          <cell r="AH79" t="str">
            <v xml:space="preserve">Angkutan Umum </v>
          </cell>
          <cell r="AI79" t="str">
            <v>Akademi Kesehatan Yayasan RS Jakarta, Jakarta</v>
          </cell>
        </row>
        <row r="80">
          <cell r="A80">
            <v>79</v>
          </cell>
          <cell r="B80" t="str">
            <v>Prayitno</v>
          </cell>
          <cell r="C80" t="str">
            <v>-</v>
          </cell>
          <cell r="D80" t="str">
            <v>PPNPN</v>
          </cell>
          <cell r="E80" t="str">
            <v>-</v>
          </cell>
          <cell r="F80" t="str">
            <v>695075515061000</v>
          </cell>
          <cell r="G80" t="str">
            <v>-</v>
          </cell>
          <cell r="H80" t="str">
            <v>Melakukan Monitoring dan Evaluasi ke Akademi Kesehatan Yayasan RS Jakarta, Jakarta</v>
          </cell>
          <cell r="I80" t="str">
            <v>DKI Jakarta</v>
          </cell>
          <cell r="J80" t="str">
            <v>DKI Jakarta</v>
          </cell>
          <cell r="K80">
            <v>1</v>
          </cell>
          <cell r="L80" t="str">
            <v>19 Maret 2019</v>
          </cell>
          <cell r="M80" t="str">
            <v>19 Maret 2019</v>
          </cell>
          <cell r="N80">
            <v>524114</v>
          </cell>
          <cell r="O80" t="str">
            <v>Belanja Perjalanan Dinas Paket Meeting Dalam Kota</v>
          </cell>
          <cell r="P80" t="str">
            <v>431/L3/TU/KA.11.00/2019</v>
          </cell>
          <cell r="Q80" t="str">
            <v>14 Maret 2019</v>
          </cell>
          <cell r="R80" t="str">
            <v>ya</v>
          </cell>
          <cell r="S80">
            <v>150000</v>
          </cell>
          <cell r="T80">
            <v>3138400</v>
          </cell>
          <cell r="V80">
            <v>0</v>
          </cell>
          <cell r="W80">
            <v>0</v>
          </cell>
          <cell r="X80">
            <v>0</v>
          </cell>
          <cell r="Z80">
            <v>0</v>
          </cell>
          <cell r="AB80">
            <v>0</v>
          </cell>
          <cell r="AD80">
            <v>0</v>
          </cell>
          <cell r="AE80" t="str">
            <v>ya</v>
          </cell>
          <cell r="AF80">
            <v>210000</v>
          </cell>
          <cell r="AH80" t="str">
            <v xml:space="preserve">Angkutan Umum </v>
          </cell>
          <cell r="AI80" t="str">
            <v>Akademi Kesehatan Yayasan RS Jakarta, Jakarta</v>
          </cell>
        </row>
        <row r="81">
          <cell r="A81">
            <v>80</v>
          </cell>
          <cell r="B81" t="str">
            <v>Taufan Setyo Pranggono</v>
          </cell>
          <cell r="C81" t="str">
            <v>198303162010121006</v>
          </cell>
          <cell r="D81" t="str">
            <v>Analis Organisasi dan Tata Laksana pada Sub. Bagian Kepegawaian pada Bagian Umum</v>
          </cell>
          <cell r="E81" t="str">
            <v>III/b</v>
          </cell>
          <cell r="F81" t="str">
            <v>367289113432000</v>
          </cell>
          <cell r="G81" t="str">
            <v>Penata Muda Tk. I</v>
          </cell>
          <cell r="H81" t="str">
            <v>Melakukan Monitoring dan Evaluasi ke STIKes Sismadi, Jakarta</v>
          </cell>
          <cell r="I81" t="str">
            <v>DKI Jakarta</v>
          </cell>
          <cell r="J81" t="str">
            <v>DKI Jakarta</v>
          </cell>
          <cell r="K81">
            <v>1</v>
          </cell>
          <cell r="L81" t="str">
            <v>19 Maret 2019</v>
          </cell>
          <cell r="M81" t="str">
            <v>19 Maret 2019</v>
          </cell>
          <cell r="N81">
            <v>524114</v>
          </cell>
          <cell r="O81" t="str">
            <v>Belanja Perjalanan Dinas Paket Meeting Dalam Kota</v>
          </cell>
          <cell r="P81" t="str">
            <v>431/L3/TU/KA.11.00/2019</v>
          </cell>
          <cell r="Q81" t="str">
            <v>14 Maret 2019</v>
          </cell>
          <cell r="R81" t="str">
            <v>ya</v>
          </cell>
          <cell r="S81">
            <v>150000</v>
          </cell>
          <cell r="T81">
            <v>3138400</v>
          </cell>
          <cell r="V81">
            <v>0</v>
          </cell>
          <cell r="W81">
            <v>0</v>
          </cell>
          <cell r="X81">
            <v>0</v>
          </cell>
          <cell r="Z81">
            <v>0</v>
          </cell>
          <cell r="AB81">
            <v>0</v>
          </cell>
          <cell r="AD81">
            <v>0</v>
          </cell>
          <cell r="AE81" t="str">
            <v>ya</v>
          </cell>
          <cell r="AF81">
            <v>210000</v>
          </cell>
          <cell r="AH81" t="str">
            <v xml:space="preserve">Angkutan Umum </v>
          </cell>
          <cell r="AI81" t="str">
            <v>STIKes Sismadi, Jakarta</v>
          </cell>
        </row>
        <row r="82">
          <cell r="A82">
            <v>81</v>
          </cell>
          <cell r="B82" t="str">
            <v>Suherman</v>
          </cell>
          <cell r="C82" t="str">
            <v>196403131987031002</v>
          </cell>
          <cell r="D82" t="str">
            <v>Pengelola Keuangan pada Sub. Bagian Keuangan pada Bagian Umum</v>
          </cell>
          <cell r="E82" t="str">
            <v>III/c</v>
          </cell>
          <cell r="F82" t="str">
            <v>688766732451000</v>
          </cell>
          <cell r="G82" t="str">
            <v>Penata</v>
          </cell>
          <cell r="H82" t="str">
            <v>Melakukan Monitoring dan Evaluasi ke STIKes Sismadi, Jakarta</v>
          </cell>
          <cell r="I82" t="str">
            <v>DKI Jakarta</v>
          </cell>
          <cell r="J82" t="str">
            <v>DKI Jakarta</v>
          </cell>
          <cell r="K82">
            <v>1</v>
          </cell>
          <cell r="L82" t="str">
            <v>19 Maret 2019</v>
          </cell>
          <cell r="M82" t="str">
            <v>19 Maret 2019</v>
          </cell>
          <cell r="N82">
            <v>524114</v>
          </cell>
          <cell r="O82" t="str">
            <v>Belanja Perjalanan Dinas Paket Meeting Dalam Kota</v>
          </cell>
          <cell r="P82" t="str">
            <v>431/L3/TU/KA.11.00/2019</v>
          </cell>
          <cell r="Q82" t="str">
            <v>14 Maret 2019</v>
          </cell>
          <cell r="R82" t="str">
            <v>ya</v>
          </cell>
          <cell r="S82">
            <v>150000</v>
          </cell>
          <cell r="T82">
            <v>3138400</v>
          </cell>
          <cell r="V82">
            <v>0</v>
          </cell>
          <cell r="W82">
            <v>0</v>
          </cell>
          <cell r="X82">
            <v>0</v>
          </cell>
          <cell r="Z82">
            <v>0</v>
          </cell>
          <cell r="AB82">
            <v>0</v>
          </cell>
          <cell r="AD82">
            <v>0</v>
          </cell>
          <cell r="AE82" t="str">
            <v>ya</v>
          </cell>
          <cell r="AF82">
            <v>210000</v>
          </cell>
          <cell r="AH82" t="str">
            <v xml:space="preserve">Angkutan Umum </v>
          </cell>
          <cell r="AI82" t="str">
            <v>STIKes Sismadi, Jakarta</v>
          </cell>
        </row>
        <row r="83">
          <cell r="A83">
            <v>82</v>
          </cell>
          <cell r="B83" t="str">
            <v>Siti Sulastri</v>
          </cell>
          <cell r="C83" t="str">
            <v>196407041988032001</v>
          </cell>
          <cell r="D83" t="str">
            <v>Penyusun Bahan Publikasi pada Seksi Sistem Informasi pada Bidang Kelembagaan, dan Sistem Informasi</v>
          </cell>
          <cell r="E83" t="str">
            <v>III/d</v>
          </cell>
          <cell r="F83" t="str">
            <v>688766476432000</v>
          </cell>
          <cell r="G83" t="str">
            <v>Penata Tk. I</v>
          </cell>
          <cell r="H83" t="str">
            <v>Melakukan Monitoring dan Evaluasi ke STIKes Sismadi, Jakarta</v>
          </cell>
          <cell r="I83" t="str">
            <v>DKI Jakarta</v>
          </cell>
          <cell r="J83" t="str">
            <v>DKI Jakarta</v>
          </cell>
          <cell r="K83">
            <v>1</v>
          </cell>
          <cell r="L83" t="str">
            <v>19 Maret 2019</v>
          </cell>
          <cell r="M83" t="str">
            <v>19 Maret 2019</v>
          </cell>
          <cell r="N83">
            <v>524114</v>
          </cell>
          <cell r="O83" t="str">
            <v>Belanja Perjalanan Dinas Paket Meeting Dalam Kota</v>
          </cell>
          <cell r="P83" t="str">
            <v>431/L3/TU/KA.11.00/2019</v>
          </cell>
          <cell r="Q83" t="str">
            <v>14 Maret 2019</v>
          </cell>
          <cell r="R83" t="str">
            <v>ya</v>
          </cell>
          <cell r="S83">
            <v>150000</v>
          </cell>
          <cell r="T83">
            <v>3138400</v>
          </cell>
          <cell r="V83">
            <v>0</v>
          </cell>
          <cell r="W83">
            <v>0</v>
          </cell>
          <cell r="X83">
            <v>0</v>
          </cell>
          <cell r="Z83">
            <v>0</v>
          </cell>
          <cell r="AB83">
            <v>0</v>
          </cell>
          <cell r="AD83">
            <v>0</v>
          </cell>
          <cell r="AE83" t="str">
            <v>ya</v>
          </cell>
          <cell r="AF83">
            <v>210000</v>
          </cell>
          <cell r="AH83" t="str">
            <v xml:space="preserve">Angkutan Umum </v>
          </cell>
          <cell r="AI83" t="str">
            <v>STIKes Sismadi, Jakarta</v>
          </cell>
        </row>
        <row r="84">
          <cell r="A84">
            <v>83</v>
          </cell>
          <cell r="B84" t="str">
            <v>Syarifudin</v>
          </cell>
          <cell r="C84" t="str">
            <v>196706061988031004</v>
          </cell>
          <cell r="D84" t="str">
            <v xml:space="preserve">Pengadministrasi Persuratan pada Sub. Bagian Tata Usaha pada Bagian Umum        </v>
          </cell>
          <cell r="E84" t="str">
            <v>III/c</v>
          </cell>
          <cell r="F84" t="str">
            <v>688766534034000</v>
          </cell>
          <cell r="G84" t="str">
            <v>Penata</v>
          </cell>
          <cell r="H84" t="str">
            <v>Melakukan Monitoring dan Evaluasi ke STIKes Sismadi, Jakarta</v>
          </cell>
          <cell r="I84" t="str">
            <v>DKI Jakarta</v>
          </cell>
          <cell r="J84" t="str">
            <v>DKI Jakarta</v>
          </cell>
          <cell r="K84">
            <v>1</v>
          </cell>
          <cell r="L84" t="str">
            <v>19 Maret 2019</v>
          </cell>
          <cell r="M84" t="str">
            <v>19 Maret 2019</v>
          </cell>
          <cell r="N84">
            <v>524114</v>
          </cell>
          <cell r="O84" t="str">
            <v>Belanja Perjalanan Dinas Paket Meeting Dalam Kota</v>
          </cell>
          <cell r="P84" t="str">
            <v>431/L3/TU/KA.11.00/2019</v>
          </cell>
          <cell r="Q84" t="str">
            <v>14 Maret 2019</v>
          </cell>
          <cell r="R84" t="str">
            <v>ya</v>
          </cell>
          <cell r="S84">
            <v>150000</v>
          </cell>
          <cell r="T84">
            <v>3138400</v>
          </cell>
          <cell r="V84">
            <v>0</v>
          </cell>
          <cell r="W84">
            <v>0</v>
          </cell>
          <cell r="X84">
            <v>0</v>
          </cell>
          <cell r="Z84">
            <v>0</v>
          </cell>
          <cell r="AB84">
            <v>0</v>
          </cell>
          <cell r="AD84">
            <v>0</v>
          </cell>
          <cell r="AE84" t="str">
            <v>ya</v>
          </cell>
          <cell r="AF84">
            <v>210000</v>
          </cell>
          <cell r="AH84" t="str">
            <v xml:space="preserve">Angkutan Umum </v>
          </cell>
          <cell r="AI84" t="str">
            <v>STIKes Sismadi, Jakarta</v>
          </cell>
        </row>
        <row r="85">
          <cell r="A85">
            <v>84</v>
          </cell>
          <cell r="B85" t="str">
            <v>Siswanto</v>
          </cell>
          <cell r="C85" t="str">
            <v>196701181992031003</v>
          </cell>
          <cell r="D85" t="str">
            <v>Penyusun Laporan Keuangan  pada Sub. Bagian Keuangan pada Bagian Umum</v>
          </cell>
          <cell r="E85" t="str">
            <v>III/d</v>
          </cell>
          <cell r="F85" t="str">
            <v>092521178407000</v>
          </cell>
          <cell r="G85" t="str">
            <v>Penata Tk. I</v>
          </cell>
          <cell r="H85" t="str">
            <v>Melakukan Monitoring dan Evaluasi ke Sekolah Tinggi Teknologi Informasi NIIT, Jakarta</v>
          </cell>
          <cell r="I85" t="str">
            <v>DKI Jakarta</v>
          </cell>
          <cell r="J85" t="str">
            <v>DKI Jakarta</v>
          </cell>
          <cell r="K85">
            <v>1</v>
          </cell>
          <cell r="L85" t="str">
            <v>19 Maret 2019</v>
          </cell>
          <cell r="M85" t="str">
            <v>19 Maret 2019</v>
          </cell>
          <cell r="N85">
            <v>524114</v>
          </cell>
          <cell r="O85" t="str">
            <v>Belanja Perjalanan Dinas Paket Meeting Dalam Kota</v>
          </cell>
          <cell r="P85" t="str">
            <v>431/L3/TU/KA.11.00/2019</v>
          </cell>
          <cell r="Q85" t="str">
            <v>14 Maret 2019</v>
          </cell>
          <cell r="R85" t="str">
            <v>ya</v>
          </cell>
          <cell r="S85">
            <v>150000</v>
          </cell>
          <cell r="T85">
            <v>3138400</v>
          </cell>
          <cell r="V85">
            <v>0</v>
          </cell>
          <cell r="W85">
            <v>0</v>
          </cell>
          <cell r="X85">
            <v>0</v>
          </cell>
          <cell r="Z85">
            <v>0</v>
          </cell>
          <cell r="AB85">
            <v>0</v>
          </cell>
          <cell r="AD85">
            <v>0</v>
          </cell>
          <cell r="AE85" t="str">
            <v>ya</v>
          </cell>
          <cell r="AF85">
            <v>210000</v>
          </cell>
          <cell r="AH85" t="str">
            <v xml:space="preserve">Angkutan Umum </v>
          </cell>
          <cell r="AI85" t="str">
            <v>Sekolah Tinggi Penerbangan Aviasi, Jakarta</v>
          </cell>
        </row>
        <row r="86">
          <cell r="A86">
            <v>85</v>
          </cell>
          <cell r="B86" t="str">
            <v>Hidayat</v>
          </cell>
          <cell r="C86" t="str">
            <v>198608012015041003</v>
          </cell>
          <cell r="D86" t="str">
            <v>Analis Kelembagaan pada Seksi Kelembagaan, dan Kerjasama pada Bidang Kelembagaan, dan Sistem Informasi</v>
          </cell>
          <cell r="E86" t="str">
            <v>III/a</v>
          </cell>
          <cell r="F86" t="str">
            <v>678348889009000</v>
          </cell>
          <cell r="G86" t="str">
            <v>Penata Muda</v>
          </cell>
          <cell r="H86" t="str">
            <v>Melakukan Monitoring dan Evaluasi ke Sekolah Tinggi Teknologi Informasi NIIT, Jakarta</v>
          </cell>
          <cell r="I86" t="str">
            <v>DKI Jakarta</v>
          </cell>
          <cell r="J86" t="str">
            <v>DKI Jakarta</v>
          </cell>
          <cell r="K86">
            <v>1</v>
          </cell>
          <cell r="L86" t="str">
            <v>19 Maret 2019</v>
          </cell>
          <cell r="M86" t="str">
            <v>19 Maret 2019</v>
          </cell>
          <cell r="N86">
            <v>524114</v>
          </cell>
          <cell r="O86" t="str">
            <v>Belanja Perjalanan Dinas Paket Meeting Dalam Kota</v>
          </cell>
          <cell r="P86" t="str">
            <v>431/L3/TU/KA.11.00/2019</v>
          </cell>
          <cell r="Q86" t="str">
            <v>14 Maret 2019</v>
          </cell>
          <cell r="R86" t="str">
            <v>ya</v>
          </cell>
          <cell r="S86">
            <v>150000</v>
          </cell>
          <cell r="T86">
            <v>3138400</v>
          </cell>
          <cell r="V86">
            <v>0</v>
          </cell>
          <cell r="W86">
            <v>0</v>
          </cell>
          <cell r="X86">
            <v>0</v>
          </cell>
          <cell r="Z86">
            <v>0</v>
          </cell>
          <cell r="AB86">
            <v>0</v>
          </cell>
          <cell r="AD86">
            <v>0</v>
          </cell>
          <cell r="AE86" t="str">
            <v>ya</v>
          </cell>
          <cell r="AF86">
            <v>210000</v>
          </cell>
          <cell r="AH86" t="str">
            <v xml:space="preserve">Angkutan Umum </v>
          </cell>
          <cell r="AI86" t="str">
            <v>Sekolah Tinggi Penerbangan Aviasi, Jakarta</v>
          </cell>
        </row>
        <row r="87">
          <cell r="A87">
            <v>86</v>
          </cell>
          <cell r="B87" t="str">
            <v>Juhdi</v>
          </cell>
          <cell r="C87" t="str">
            <v>196208111986031002</v>
          </cell>
          <cell r="D87" t="str">
            <v>Pengelola Informasi Akademik pada Seksi Akademik, dan Kemahasiswaan pada Bidang Akademik, Kemahasiswaan, dan Ketenagaan</v>
          </cell>
          <cell r="E87" t="str">
            <v>III/b</v>
          </cell>
          <cell r="F87" t="str">
            <v>688766518005000</v>
          </cell>
          <cell r="G87" t="str">
            <v>Penata Muda Tk. I</v>
          </cell>
          <cell r="H87" t="str">
            <v>Melakukan Monitoring dan Evaluasi ke Sekolah Tinggi Teknologi Informasi NIIT, Jakarta</v>
          </cell>
          <cell r="I87" t="str">
            <v>DKI Jakarta</v>
          </cell>
          <cell r="J87" t="str">
            <v>DKI Jakarta</v>
          </cell>
          <cell r="K87">
            <v>1</v>
          </cell>
          <cell r="L87" t="str">
            <v>19 Maret 2019</v>
          </cell>
          <cell r="M87" t="str">
            <v>19 Maret 2019</v>
          </cell>
          <cell r="N87">
            <v>524114</v>
          </cell>
          <cell r="O87" t="str">
            <v>Belanja Perjalanan Dinas Paket Meeting Dalam Kota</v>
          </cell>
          <cell r="P87" t="str">
            <v>431/L3/TU/KA.11.00/2019</v>
          </cell>
          <cell r="Q87" t="str">
            <v>14 Maret 2019</v>
          </cell>
          <cell r="R87" t="str">
            <v>ya</v>
          </cell>
          <cell r="S87">
            <v>150000</v>
          </cell>
          <cell r="T87">
            <v>3138400</v>
          </cell>
          <cell r="V87">
            <v>0</v>
          </cell>
          <cell r="W87">
            <v>0</v>
          </cell>
          <cell r="X87">
            <v>0</v>
          </cell>
          <cell r="Z87">
            <v>0</v>
          </cell>
          <cell r="AB87">
            <v>0</v>
          </cell>
          <cell r="AD87">
            <v>0</v>
          </cell>
          <cell r="AE87" t="str">
            <v>ya</v>
          </cell>
          <cell r="AF87">
            <v>210000</v>
          </cell>
          <cell r="AH87" t="str">
            <v xml:space="preserve">Angkutan Umum </v>
          </cell>
          <cell r="AI87" t="str">
            <v>Sekolah Tinggi Penerbangan Aviasi, Jakarta</v>
          </cell>
        </row>
        <row r="88">
          <cell r="A88">
            <v>87</v>
          </cell>
          <cell r="B88" t="str">
            <v>Siswadi</v>
          </cell>
          <cell r="C88" t="str">
            <v>196409151994121001</v>
          </cell>
          <cell r="D88" t="str">
            <v>Pengemudi pada Sub. Bagian Tata Usaha pada Bagian Umum</v>
          </cell>
          <cell r="E88" t="str">
            <v>III/a</v>
          </cell>
          <cell r="F88" t="str">
            <v>688766252008000</v>
          </cell>
          <cell r="G88" t="str">
            <v>Penata Muda</v>
          </cell>
          <cell r="H88" t="str">
            <v>Melakukan Monitoring dan Evaluasi ke Sekolah Tinggi Teknologi Informasi NIIT, Jakarta</v>
          </cell>
          <cell r="I88" t="str">
            <v>DKI Jakarta</v>
          </cell>
          <cell r="J88" t="str">
            <v>DKI Jakarta</v>
          </cell>
          <cell r="K88">
            <v>1</v>
          </cell>
          <cell r="L88" t="str">
            <v>19 Maret 2019</v>
          </cell>
          <cell r="M88" t="str">
            <v>19 Maret 2019</v>
          </cell>
          <cell r="N88">
            <v>524114</v>
          </cell>
          <cell r="O88" t="str">
            <v>Belanja Perjalanan Dinas Paket Meeting Dalam Kota</v>
          </cell>
          <cell r="P88" t="str">
            <v>431/L3/TU/KA.11.00/2019</v>
          </cell>
          <cell r="Q88" t="str">
            <v>14 Maret 2019</v>
          </cell>
          <cell r="R88" t="str">
            <v>ya</v>
          </cell>
          <cell r="S88">
            <v>150000</v>
          </cell>
          <cell r="T88">
            <v>3138400</v>
          </cell>
          <cell r="V88">
            <v>0</v>
          </cell>
          <cell r="W88">
            <v>0</v>
          </cell>
          <cell r="X88">
            <v>0</v>
          </cell>
          <cell r="Z88">
            <v>0</v>
          </cell>
          <cell r="AB88">
            <v>0</v>
          </cell>
          <cell r="AD88">
            <v>0</v>
          </cell>
          <cell r="AE88" t="str">
            <v>ya</v>
          </cell>
          <cell r="AF88">
            <v>210000</v>
          </cell>
          <cell r="AH88" t="str">
            <v xml:space="preserve">Angkutan Umum </v>
          </cell>
          <cell r="AI88" t="str">
            <v>Sekolah Tinggi Penerbangan Aviasi, Jakarta</v>
          </cell>
        </row>
        <row r="89">
          <cell r="A89">
            <v>88</v>
          </cell>
          <cell r="B89" t="str">
            <v>Yeni Handayani</v>
          </cell>
          <cell r="C89" t="str">
            <v>198404022015042002</v>
          </cell>
          <cell r="D89" t="str">
            <v>Pengelola Pendidikan Dan Tenaga Kependidikan pada Seksi Ketenagaan pada Bidang Akademik, Kemahasiswaan, dan Ketenagaan</v>
          </cell>
          <cell r="E89" t="str">
            <v>II/c</v>
          </cell>
          <cell r="F89" t="str">
            <v>472793371001000</v>
          </cell>
          <cell r="G89" t="str">
            <v>Pengatur</v>
          </cell>
          <cell r="H89" t="str">
            <v>Melakukan Monitoring dan Evaluasi ke Sekolah Tinggi Teknologi Informasi NIIT, Jakarta</v>
          </cell>
          <cell r="I89" t="str">
            <v>DKI Jakarta</v>
          </cell>
          <cell r="J89" t="str">
            <v>DKI Jakarta</v>
          </cell>
          <cell r="K89">
            <v>1</v>
          </cell>
          <cell r="L89" t="str">
            <v>19 Maret 2019</v>
          </cell>
          <cell r="M89" t="str">
            <v>19 Maret 2019</v>
          </cell>
          <cell r="N89">
            <v>524114</v>
          </cell>
          <cell r="O89" t="str">
            <v>Belanja Perjalanan Dinas Paket Meeting Dalam Kota</v>
          </cell>
          <cell r="P89" t="str">
            <v>431/L3/TU/KA.11.00/2019</v>
          </cell>
          <cell r="Q89" t="str">
            <v>14 Maret 2019</v>
          </cell>
          <cell r="R89" t="str">
            <v>ya</v>
          </cell>
          <cell r="S89">
            <v>150000</v>
          </cell>
          <cell r="T89">
            <v>3138400</v>
          </cell>
          <cell r="V89">
            <v>0</v>
          </cell>
          <cell r="W89">
            <v>0</v>
          </cell>
          <cell r="X89">
            <v>0</v>
          </cell>
          <cell r="Z89">
            <v>0</v>
          </cell>
          <cell r="AB89">
            <v>0</v>
          </cell>
          <cell r="AD89">
            <v>0</v>
          </cell>
          <cell r="AE89" t="str">
            <v>ya</v>
          </cell>
          <cell r="AF89">
            <v>210000</v>
          </cell>
          <cell r="AH89" t="str">
            <v xml:space="preserve">Angkutan Umum </v>
          </cell>
          <cell r="AI89" t="str">
            <v>Sekolah Tinggi Penerbangan Aviasi, Jakarta</v>
          </cell>
        </row>
        <row r="90">
          <cell r="A90">
            <v>89</v>
          </cell>
          <cell r="B90" t="str">
            <v>Siswanto</v>
          </cell>
          <cell r="C90" t="str">
            <v>196701181992031003</v>
          </cell>
          <cell r="D90" t="str">
            <v>Penyusun Laporan Keuangan  pada Sub. Bagian Keuangan pada Bagian Umum</v>
          </cell>
          <cell r="E90" t="str">
            <v>III/d</v>
          </cell>
          <cell r="F90" t="str">
            <v>092521178407000</v>
          </cell>
          <cell r="G90" t="str">
            <v>Penata Tk. I</v>
          </cell>
          <cell r="H90" t="str">
            <v>Melakukan Monitoring dan Evaluasi ke Sekolah Tinggi Teknologi Informasi NIIT, Jakarta</v>
          </cell>
          <cell r="I90" t="str">
            <v>DKI Jakarta</v>
          </cell>
          <cell r="J90" t="str">
            <v>DKI Jakarta</v>
          </cell>
          <cell r="K90">
            <v>1</v>
          </cell>
          <cell r="L90" t="str">
            <v>21 Maret 2019</v>
          </cell>
          <cell r="M90" t="str">
            <v>21 Maret 2019</v>
          </cell>
          <cell r="N90">
            <v>524114</v>
          </cell>
          <cell r="O90" t="str">
            <v>Belanja Perjalanan Dinas Paket Meeting Dalam Kota</v>
          </cell>
          <cell r="P90" t="str">
            <v>431/L3/TU/KA.11.00/2019</v>
          </cell>
          <cell r="Q90" t="str">
            <v>14 Maret 2019</v>
          </cell>
          <cell r="R90" t="str">
            <v>ya</v>
          </cell>
          <cell r="S90">
            <v>150000</v>
          </cell>
          <cell r="T90">
            <v>3138400</v>
          </cell>
          <cell r="V90">
            <v>0</v>
          </cell>
          <cell r="W90">
            <v>0</v>
          </cell>
          <cell r="X90">
            <v>0</v>
          </cell>
          <cell r="Z90">
            <v>0</v>
          </cell>
          <cell r="AB90">
            <v>0</v>
          </cell>
          <cell r="AD90">
            <v>0</v>
          </cell>
          <cell r="AE90" t="str">
            <v>ya</v>
          </cell>
          <cell r="AF90">
            <v>210000</v>
          </cell>
          <cell r="AH90" t="str">
            <v xml:space="preserve">Angkutan Umum </v>
          </cell>
          <cell r="AI90" t="str">
            <v>Sekolah Tinggi Teknologi Informasi NIIT, Jakarta</v>
          </cell>
        </row>
        <row r="91">
          <cell r="A91">
            <v>90</v>
          </cell>
          <cell r="B91" t="str">
            <v>Hidayat</v>
          </cell>
          <cell r="C91" t="str">
            <v>198608012015041003</v>
          </cell>
          <cell r="D91" t="str">
            <v>Analis Kelembagaan pada Seksi Kelembagaan, dan Kerjasama pada Bidang Kelembagaan, dan Sistem Informasi</v>
          </cell>
          <cell r="E91" t="str">
            <v>III/a</v>
          </cell>
          <cell r="F91" t="str">
            <v>678348889009000</v>
          </cell>
          <cell r="G91" t="str">
            <v>Penata Muda</v>
          </cell>
          <cell r="H91" t="str">
            <v>Melakukan Monitoring dan Evaluasi ke Sekolah Tinggi Teknologi Informasi NIIT, Jakarta</v>
          </cell>
          <cell r="I91" t="str">
            <v>DKI Jakarta</v>
          </cell>
          <cell r="J91" t="str">
            <v>DKI Jakarta</v>
          </cell>
          <cell r="K91">
            <v>1</v>
          </cell>
          <cell r="L91" t="str">
            <v>21 Maret 2019</v>
          </cell>
          <cell r="M91" t="str">
            <v>21 Maret 2019</v>
          </cell>
          <cell r="N91">
            <v>524114</v>
          </cell>
          <cell r="O91" t="str">
            <v>Belanja Perjalanan Dinas Paket Meeting Dalam Kota</v>
          </cell>
          <cell r="P91" t="str">
            <v>431/L3/TU/KA.11.00/2019</v>
          </cell>
          <cell r="Q91" t="str">
            <v>14 Maret 2019</v>
          </cell>
          <cell r="R91" t="str">
            <v>ya</v>
          </cell>
          <cell r="S91">
            <v>150000</v>
          </cell>
          <cell r="T91">
            <v>3138400</v>
          </cell>
          <cell r="V91">
            <v>0</v>
          </cell>
          <cell r="W91">
            <v>0</v>
          </cell>
          <cell r="X91">
            <v>0</v>
          </cell>
          <cell r="Z91">
            <v>0</v>
          </cell>
          <cell r="AB91">
            <v>0</v>
          </cell>
          <cell r="AD91">
            <v>0</v>
          </cell>
          <cell r="AE91" t="str">
            <v>ya</v>
          </cell>
          <cell r="AF91">
            <v>210000</v>
          </cell>
          <cell r="AH91" t="str">
            <v xml:space="preserve">Angkutan Umum </v>
          </cell>
          <cell r="AI91" t="str">
            <v>Sekolah Tinggi Teknologi Informasi NIIT, Jakarta</v>
          </cell>
        </row>
        <row r="92">
          <cell r="A92">
            <v>91</v>
          </cell>
          <cell r="B92" t="str">
            <v>Juhdi</v>
          </cell>
          <cell r="C92" t="str">
            <v>196208111986031002</v>
          </cell>
          <cell r="D92" t="str">
            <v>Pengelola Informasi Akademik pada Seksi Akademik, dan Kemahasiswaan pada Bidang Akademik, Kemahasiswaan, dan Ketenagaan</v>
          </cell>
          <cell r="E92" t="str">
            <v>III/b</v>
          </cell>
          <cell r="F92" t="str">
            <v>688766518005000</v>
          </cell>
          <cell r="G92" t="str">
            <v>Penata Muda Tk. I</v>
          </cell>
          <cell r="H92" t="str">
            <v>Melakukan Monitoring dan Evaluasi ke Sekolah Tinggi Teknologi Informasi NIIT, Jakarta</v>
          </cell>
          <cell r="I92" t="str">
            <v>DKI Jakarta</v>
          </cell>
          <cell r="J92" t="str">
            <v>DKI Jakarta</v>
          </cell>
          <cell r="K92">
            <v>1</v>
          </cell>
          <cell r="L92" t="str">
            <v>21 Maret 2019</v>
          </cell>
          <cell r="M92" t="str">
            <v>21 Maret 2019</v>
          </cell>
          <cell r="N92">
            <v>524114</v>
          </cell>
          <cell r="O92" t="str">
            <v>Belanja Perjalanan Dinas Paket Meeting Dalam Kota</v>
          </cell>
          <cell r="P92" t="str">
            <v>431/L3/TU/KA.11.00/2019</v>
          </cell>
          <cell r="Q92" t="str">
            <v>14 Maret 2019</v>
          </cell>
          <cell r="R92" t="str">
            <v>ya</v>
          </cell>
          <cell r="S92">
            <v>150000</v>
          </cell>
          <cell r="T92">
            <v>3138400</v>
          </cell>
          <cell r="V92">
            <v>0</v>
          </cell>
          <cell r="W92">
            <v>0</v>
          </cell>
          <cell r="X92">
            <v>0</v>
          </cell>
          <cell r="Z92">
            <v>0</v>
          </cell>
          <cell r="AB92">
            <v>0</v>
          </cell>
          <cell r="AD92">
            <v>0</v>
          </cell>
          <cell r="AE92" t="str">
            <v>ya</v>
          </cell>
          <cell r="AF92">
            <v>210000</v>
          </cell>
          <cell r="AH92" t="str">
            <v xml:space="preserve">Angkutan Umum </v>
          </cell>
          <cell r="AI92" t="str">
            <v>Sekolah Tinggi Teknologi Informasi NIIT, Jakarta</v>
          </cell>
        </row>
        <row r="93">
          <cell r="A93">
            <v>92</v>
          </cell>
          <cell r="B93" t="str">
            <v>Siswadi</v>
          </cell>
          <cell r="C93" t="str">
            <v>196409151994121001</v>
          </cell>
          <cell r="D93" t="str">
            <v>Pengemudi pada Sub. Bagian Tata Usaha pada Bagian Umum</v>
          </cell>
          <cell r="E93" t="str">
            <v>III/a</v>
          </cell>
          <cell r="F93" t="str">
            <v>688766252008000</v>
          </cell>
          <cell r="G93" t="str">
            <v>Penata Muda</v>
          </cell>
          <cell r="H93" t="str">
            <v>Melakukan Monitoring dan Evaluasi ke Sekolah Tinggi Teknologi Informasi NIIT, Jakarta</v>
          </cell>
          <cell r="I93" t="str">
            <v>DKI Jakarta</v>
          </cell>
          <cell r="J93" t="str">
            <v>DKI Jakarta</v>
          </cell>
          <cell r="K93">
            <v>1</v>
          </cell>
          <cell r="L93" t="str">
            <v>21 Maret 2019</v>
          </cell>
          <cell r="M93" t="str">
            <v>21 Maret 2019</v>
          </cell>
          <cell r="N93">
            <v>524114</v>
          </cell>
          <cell r="O93" t="str">
            <v>Belanja Perjalanan Dinas Paket Meeting Dalam Kota</v>
          </cell>
          <cell r="P93" t="str">
            <v>431/L3/TU/KA.11.00/2019</v>
          </cell>
          <cell r="Q93" t="str">
            <v>14 Maret 2019</v>
          </cell>
          <cell r="R93" t="str">
            <v>ya</v>
          </cell>
          <cell r="S93">
            <v>150000</v>
          </cell>
          <cell r="T93">
            <v>3138400</v>
          </cell>
          <cell r="V93">
            <v>0</v>
          </cell>
          <cell r="W93">
            <v>0</v>
          </cell>
          <cell r="X93">
            <v>0</v>
          </cell>
          <cell r="Z93">
            <v>0</v>
          </cell>
          <cell r="AB93">
            <v>0</v>
          </cell>
          <cell r="AD93">
            <v>0</v>
          </cell>
          <cell r="AE93" t="str">
            <v>ya</v>
          </cell>
          <cell r="AF93">
            <v>210000</v>
          </cell>
          <cell r="AH93" t="str">
            <v xml:space="preserve">Angkutan Umum </v>
          </cell>
          <cell r="AI93" t="str">
            <v>Sekolah Tinggi Teknologi Informasi NIIT, Jakarta</v>
          </cell>
        </row>
        <row r="94">
          <cell r="A94">
            <v>93</v>
          </cell>
          <cell r="B94" t="str">
            <v>Yeni Handayani</v>
          </cell>
          <cell r="C94" t="str">
            <v>198404022015042002</v>
          </cell>
          <cell r="D94" t="str">
            <v>Pengelola Pendidikan Dan Tenaga Kependidikan pada Seksi Ketenagaan pada Bidang Akademik, Kemahasiswaan, dan Ketenagaan</v>
          </cell>
          <cell r="E94" t="str">
            <v>II/c</v>
          </cell>
          <cell r="F94" t="str">
            <v>472793371001000</v>
          </cell>
          <cell r="G94" t="str">
            <v>Pengatur</v>
          </cell>
          <cell r="H94" t="str">
            <v>Melakukan Monitoring dan Evaluasi ke Sekolah Tinggi Teknologi Informasi NIIT, Jakarta</v>
          </cell>
          <cell r="I94" t="str">
            <v>DKI Jakarta</v>
          </cell>
          <cell r="J94" t="str">
            <v>DKI Jakarta</v>
          </cell>
          <cell r="K94">
            <v>1</v>
          </cell>
          <cell r="L94" t="str">
            <v>21 Maret 2019</v>
          </cell>
          <cell r="M94" t="str">
            <v>21 Maret 2019</v>
          </cell>
          <cell r="N94">
            <v>524114</v>
          </cell>
          <cell r="O94" t="str">
            <v>Belanja Perjalanan Dinas Paket Meeting Dalam Kota</v>
          </cell>
          <cell r="P94" t="str">
            <v>431/L3/TU/KA.11.00/2019</v>
          </cell>
          <cell r="Q94" t="str">
            <v>14 Maret 2019</v>
          </cell>
          <cell r="R94" t="str">
            <v>ya</v>
          </cell>
          <cell r="S94">
            <v>150000</v>
          </cell>
          <cell r="T94">
            <v>3138400</v>
          </cell>
          <cell r="V94">
            <v>0</v>
          </cell>
          <cell r="W94">
            <v>0</v>
          </cell>
          <cell r="X94">
            <v>0</v>
          </cell>
          <cell r="Z94">
            <v>0</v>
          </cell>
          <cell r="AB94">
            <v>0</v>
          </cell>
          <cell r="AD94">
            <v>0</v>
          </cell>
          <cell r="AE94" t="str">
            <v>ya</v>
          </cell>
          <cell r="AF94">
            <v>210000</v>
          </cell>
          <cell r="AH94" t="str">
            <v xml:space="preserve">Angkutan Umum </v>
          </cell>
          <cell r="AI94" t="str">
            <v>Sekolah Tinggi Teknologi Informasi NIIT, Jakarta</v>
          </cell>
        </row>
        <row r="95">
          <cell r="A95">
            <v>94</v>
          </cell>
          <cell r="B95" t="str">
            <v>Noviyanto</v>
          </cell>
          <cell r="C95" t="str">
            <v>198111262008121001</v>
          </cell>
          <cell r="D95" t="str">
            <v>Analis Sistem Informasi pada Seksi Sistem Informasi pada Bidang Kelembagaan, dan Sistem Informasi</v>
          </cell>
          <cell r="E95" t="str">
            <v>III/c</v>
          </cell>
          <cell r="F95" t="str">
            <v>253270904432000</v>
          </cell>
          <cell r="G95" t="str">
            <v>Penata</v>
          </cell>
          <cell r="H95" t="str">
            <v>Melakukan Monitoring dan Evaluasi ke Akademi Keperawatan RS DGI Cikini</v>
          </cell>
          <cell r="I95" t="str">
            <v>DKI Jakarta</v>
          </cell>
          <cell r="J95" t="str">
            <v>DKI Jakarta</v>
          </cell>
          <cell r="K95">
            <v>1</v>
          </cell>
          <cell r="L95" t="str">
            <v>21 Maret 2019</v>
          </cell>
          <cell r="M95" t="str">
            <v>21 Maret 2019</v>
          </cell>
          <cell r="N95">
            <v>524114</v>
          </cell>
          <cell r="O95" t="str">
            <v>Belanja Perjalanan Dinas Paket Meeting Dalam Kota</v>
          </cell>
          <cell r="P95" t="str">
            <v>431/L3/TU/KA.11.00/2019</v>
          </cell>
          <cell r="Q95" t="str">
            <v>14 Maret 2019</v>
          </cell>
          <cell r="R95" t="str">
            <v>ya</v>
          </cell>
          <cell r="S95">
            <v>150000</v>
          </cell>
          <cell r="T95">
            <v>3138400</v>
          </cell>
          <cell r="V95">
            <v>0</v>
          </cell>
          <cell r="W95">
            <v>0</v>
          </cell>
          <cell r="X95">
            <v>0</v>
          </cell>
          <cell r="Z95">
            <v>0</v>
          </cell>
          <cell r="AB95">
            <v>0</v>
          </cell>
          <cell r="AD95">
            <v>0</v>
          </cell>
          <cell r="AE95" t="str">
            <v>ya</v>
          </cell>
          <cell r="AF95">
            <v>210000</v>
          </cell>
          <cell r="AH95" t="str">
            <v xml:space="preserve">Angkutan Umum </v>
          </cell>
          <cell r="AI95" t="str">
            <v>Akademi Keperawatan RS DGI Cikini, Jakarta</v>
          </cell>
        </row>
        <row r="96">
          <cell r="A96">
            <v>95</v>
          </cell>
          <cell r="B96" t="str">
            <v>Prita Ekasari</v>
          </cell>
          <cell r="C96" t="str">
            <v>198410142009122008</v>
          </cell>
          <cell r="D96" t="str">
            <v>Analis Sistem Informasi pada Seksi Sistem Informasi pada Bidang Kelembagaan, dan Sistem Informasi</v>
          </cell>
          <cell r="E96" t="str">
            <v>III/b</v>
          </cell>
          <cell r="F96" t="str">
            <v>599515301407000</v>
          </cell>
          <cell r="G96" t="str">
            <v>Penata Muda Tk. I</v>
          </cell>
          <cell r="H96" t="str">
            <v>Melakukan Monitoring dan Evaluasi ke Akademi Keperawatan RS DGI Cikini</v>
          </cell>
          <cell r="I96" t="str">
            <v>DKI Jakarta</v>
          </cell>
          <cell r="J96" t="str">
            <v>DKI Jakarta</v>
          </cell>
          <cell r="K96">
            <v>1</v>
          </cell>
          <cell r="L96" t="str">
            <v>21 Maret 2019</v>
          </cell>
          <cell r="M96" t="str">
            <v>21 Maret 2019</v>
          </cell>
          <cell r="N96">
            <v>524114</v>
          </cell>
          <cell r="O96" t="str">
            <v>Belanja Perjalanan Dinas Paket Meeting Dalam Kota</v>
          </cell>
          <cell r="P96" t="str">
            <v>431/L3/TU/KA.11.00/2019</v>
          </cell>
          <cell r="Q96" t="str">
            <v>14 Maret 2019</v>
          </cell>
          <cell r="R96" t="str">
            <v>ya</v>
          </cell>
          <cell r="S96">
            <v>150000</v>
          </cell>
          <cell r="T96">
            <v>3138400</v>
          </cell>
          <cell r="V96">
            <v>0</v>
          </cell>
          <cell r="W96">
            <v>0</v>
          </cell>
          <cell r="X96">
            <v>0</v>
          </cell>
          <cell r="Z96">
            <v>0</v>
          </cell>
          <cell r="AB96">
            <v>0</v>
          </cell>
          <cell r="AD96">
            <v>0</v>
          </cell>
          <cell r="AE96" t="str">
            <v>ya</v>
          </cell>
          <cell r="AF96">
            <v>210000</v>
          </cell>
          <cell r="AH96" t="str">
            <v xml:space="preserve">Angkutan Umum </v>
          </cell>
          <cell r="AI96" t="str">
            <v>Akademi Keperawatan RS DGI Cikini, Jakarta</v>
          </cell>
        </row>
        <row r="97">
          <cell r="A97">
            <v>96</v>
          </cell>
          <cell r="B97" t="str">
            <v>Mudlikah</v>
          </cell>
          <cell r="C97" t="str">
            <v>196303111987032001</v>
          </cell>
          <cell r="D97" t="str">
            <v xml:space="preserve">Pengadministrasi Persuratan pada Sub. Bagian Tata Usaha pada Bagian Umum        </v>
          </cell>
          <cell r="E97" t="str">
            <v>III/d</v>
          </cell>
          <cell r="F97" t="str">
            <v>688766492017000</v>
          </cell>
          <cell r="G97" t="str">
            <v>Penata Tk. I</v>
          </cell>
          <cell r="H97" t="str">
            <v>Melakukan Monitoring dan Evaluasi ke Akademi Keperawatan RS DGI Cikini</v>
          </cell>
          <cell r="I97" t="str">
            <v>DKI Jakarta</v>
          </cell>
          <cell r="J97" t="str">
            <v>DKI Jakarta</v>
          </cell>
          <cell r="K97">
            <v>1</v>
          </cell>
          <cell r="L97" t="str">
            <v>21 Maret 2019</v>
          </cell>
          <cell r="M97" t="str">
            <v>21 Maret 2019</v>
          </cell>
          <cell r="N97">
            <v>524114</v>
          </cell>
          <cell r="O97" t="str">
            <v>Belanja Perjalanan Dinas Paket Meeting Dalam Kota</v>
          </cell>
          <cell r="P97" t="str">
            <v>431/L3/TU/KA.11.00/2019</v>
          </cell>
          <cell r="Q97" t="str">
            <v>14 Maret 2019</v>
          </cell>
          <cell r="R97" t="str">
            <v>ya</v>
          </cell>
          <cell r="S97">
            <v>150000</v>
          </cell>
          <cell r="T97">
            <v>3138400</v>
          </cell>
          <cell r="V97">
            <v>0</v>
          </cell>
          <cell r="W97">
            <v>0</v>
          </cell>
          <cell r="X97">
            <v>0</v>
          </cell>
          <cell r="Z97">
            <v>0</v>
          </cell>
          <cell r="AB97">
            <v>0</v>
          </cell>
          <cell r="AD97">
            <v>0</v>
          </cell>
          <cell r="AE97" t="str">
            <v>ya</v>
          </cell>
          <cell r="AF97">
            <v>210000</v>
          </cell>
          <cell r="AH97" t="str">
            <v xml:space="preserve">Angkutan Umum </v>
          </cell>
          <cell r="AI97" t="str">
            <v>Akademi Keperawatan RS DGI Cikini, Jakarta</v>
          </cell>
        </row>
        <row r="98">
          <cell r="A98">
            <v>97</v>
          </cell>
          <cell r="B98" t="str">
            <v>Afrida Anis</v>
          </cell>
          <cell r="C98" t="str">
            <v>197002051994032002</v>
          </cell>
          <cell r="D98" t="str">
            <v>Pengelola Pendidikan Dan Tenaga Kependidikan pada Seksi Ketenagaan pada Bidang Akademik, Kemahasiswaan, dan Ketenagaan</v>
          </cell>
          <cell r="E98" t="str">
            <v>III/d</v>
          </cell>
          <cell r="F98" t="str">
            <v>699452207412000</v>
          </cell>
          <cell r="G98" t="str">
            <v>Penata Tk. I</v>
          </cell>
          <cell r="H98" t="str">
            <v>Melakukan Monitoring dan Evaluasi ke Akademi Keperawatan RS DGI Cikini</v>
          </cell>
          <cell r="I98" t="str">
            <v>DKI Jakarta</v>
          </cell>
          <cell r="J98" t="str">
            <v>DKI Jakarta</v>
          </cell>
          <cell r="K98">
            <v>1</v>
          </cell>
          <cell r="L98" t="str">
            <v>21 Maret 2019</v>
          </cell>
          <cell r="M98" t="str">
            <v>21 Maret 2019</v>
          </cell>
          <cell r="N98">
            <v>524114</v>
          </cell>
          <cell r="O98" t="str">
            <v>Belanja Perjalanan Dinas Paket Meeting Dalam Kota</v>
          </cell>
          <cell r="P98" t="str">
            <v>431/L3/TU/KA.11.00/2019</v>
          </cell>
          <cell r="Q98" t="str">
            <v>14 Maret 2019</v>
          </cell>
          <cell r="R98" t="str">
            <v>ya</v>
          </cell>
          <cell r="S98">
            <v>150000</v>
          </cell>
          <cell r="T98">
            <v>3138400</v>
          </cell>
          <cell r="V98">
            <v>0</v>
          </cell>
          <cell r="W98">
            <v>0</v>
          </cell>
          <cell r="X98">
            <v>0</v>
          </cell>
          <cell r="Z98">
            <v>0</v>
          </cell>
          <cell r="AB98">
            <v>0</v>
          </cell>
          <cell r="AD98">
            <v>0</v>
          </cell>
          <cell r="AE98" t="str">
            <v>ya</v>
          </cell>
          <cell r="AF98">
            <v>210000</v>
          </cell>
          <cell r="AH98" t="str">
            <v xml:space="preserve">Angkutan Umum </v>
          </cell>
          <cell r="AI98" t="str">
            <v>Akademi Keperawatan RS DGI Cikini, Jakarta</v>
          </cell>
        </row>
        <row r="99">
          <cell r="A99">
            <v>98</v>
          </cell>
          <cell r="B99" t="str">
            <v>Santosa</v>
          </cell>
          <cell r="C99" t="str">
            <v>196203301987031002</v>
          </cell>
          <cell r="D99" t="str">
            <v>Pengadministrasi Umum pada Seksi Sistem Informasi pada Bidang Kelembagaan, dan Sistem Informasi</v>
          </cell>
          <cell r="E99" t="str">
            <v>II/c</v>
          </cell>
          <cell r="F99" t="str">
            <v>688766310403000</v>
          </cell>
          <cell r="G99" t="str">
            <v>Pengatur</v>
          </cell>
          <cell r="H99" t="str">
            <v>Melakukan Monitoring dan Evaluasi ke Akademi Keperawatan RS DGI Cikini</v>
          </cell>
          <cell r="I99" t="str">
            <v>DKI Jakarta</v>
          </cell>
          <cell r="J99" t="str">
            <v>DKI Jakarta</v>
          </cell>
          <cell r="K99">
            <v>1</v>
          </cell>
          <cell r="L99" t="str">
            <v>21 Maret 2019</v>
          </cell>
          <cell r="M99" t="str">
            <v>21 Maret 2019</v>
          </cell>
          <cell r="N99">
            <v>524114</v>
          </cell>
          <cell r="O99" t="str">
            <v>Belanja Perjalanan Dinas Paket Meeting Dalam Kota</v>
          </cell>
          <cell r="P99" t="str">
            <v>431/L3/TU/KA.11.00/2019</v>
          </cell>
          <cell r="Q99" t="str">
            <v>14 Maret 2019</v>
          </cell>
          <cell r="R99" t="str">
            <v>ya</v>
          </cell>
          <cell r="S99">
            <v>150000</v>
          </cell>
          <cell r="T99">
            <v>3138400</v>
          </cell>
          <cell r="V99">
            <v>0</v>
          </cell>
          <cell r="W99">
            <v>0</v>
          </cell>
          <cell r="X99">
            <v>0</v>
          </cell>
          <cell r="Z99">
            <v>0</v>
          </cell>
          <cell r="AB99">
            <v>0</v>
          </cell>
          <cell r="AD99">
            <v>0</v>
          </cell>
          <cell r="AE99" t="str">
            <v>ya</v>
          </cell>
          <cell r="AF99">
            <v>210000</v>
          </cell>
          <cell r="AH99" t="str">
            <v xml:space="preserve">Angkutan Umum </v>
          </cell>
          <cell r="AI99" t="str">
            <v>Akademi Keperawatan RS DGI Cikini, Jakarta</v>
          </cell>
        </row>
        <row r="100">
          <cell r="A100">
            <v>99</v>
          </cell>
          <cell r="B100" t="str">
            <v>Noviyanto</v>
          </cell>
          <cell r="C100" t="str">
            <v>198111262008121001</v>
          </cell>
          <cell r="D100" t="str">
            <v>Analis Sistem Informasi pada Seksi Sistem Informasi pada Bidang Kelembagaan, dan Sistem Informasi</v>
          </cell>
          <cell r="E100" t="str">
            <v>III/c</v>
          </cell>
          <cell r="F100" t="str">
            <v>253270904432000</v>
          </cell>
          <cell r="G100" t="str">
            <v>Penata</v>
          </cell>
          <cell r="H100" t="str">
            <v>Melakukan Monitoring dan Evaluasi ke Akademi Farmasi IKIFA, Jakarta</v>
          </cell>
          <cell r="I100" t="str">
            <v>DKI Jakarta</v>
          </cell>
          <cell r="J100" t="str">
            <v>DKI Jakarta</v>
          </cell>
          <cell r="K100">
            <v>1</v>
          </cell>
          <cell r="L100" t="str">
            <v>22 Maret 2019</v>
          </cell>
          <cell r="M100" t="str">
            <v>22 Maret 2019</v>
          </cell>
          <cell r="N100">
            <v>524114</v>
          </cell>
          <cell r="O100" t="str">
            <v>Belanja Perjalanan Dinas Paket Meeting Dalam Kota</v>
          </cell>
          <cell r="P100" t="str">
            <v>431/L3/TU/KA.11.00/2019</v>
          </cell>
          <cell r="Q100" t="str">
            <v>14 Maret 2019</v>
          </cell>
          <cell r="R100" t="str">
            <v>ya</v>
          </cell>
          <cell r="S100">
            <v>150000</v>
          </cell>
          <cell r="T100">
            <v>3138400</v>
          </cell>
          <cell r="V100">
            <v>0</v>
          </cell>
          <cell r="W100">
            <v>0</v>
          </cell>
          <cell r="X100">
            <v>0</v>
          </cell>
          <cell r="Z100">
            <v>0</v>
          </cell>
          <cell r="AB100">
            <v>0</v>
          </cell>
          <cell r="AD100">
            <v>0</v>
          </cell>
          <cell r="AE100" t="str">
            <v>ya</v>
          </cell>
          <cell r="AF100">
            <v>210000</v>
          </cell>
          <cell r="AH100" t="str">
            <v xml:space="preserve">Angkutan Umum </v>
          </cell>
          <cell r="AI100" t="str">
            <v>Akademi Farmasi IKIFA, Jakarta</v>
          </cell>
        </row>
        <row r="101">
          <cell r="A101">
            <v>100</v>
          </cell>
          <cell r="B101" t="str">
            <v>Prita Ekasari</v>
          </cell>
          <cell r="C101" t="str">
            <v>198410142009122008</v>
          </cell>
          <cell r="D101" t="str">
            <v>Analis Sistem Informasi pada Seksi Sistem Informasi pada Bidang Kelembagaan, dan Sistem Informasi</v>
          </cell>
          <cell r="E101" t="str">
            <v>III/b</v>
          </cell>
          <cell r="F101" t="str">
            <v>599515301407000</v>
          </cell>
          <cell r="G101" t="str">
            <v>Penata Muda Tk. I</v>
          </cell>
          <cell r="H101" t="str">
            <v>Melakukan Monitoring dan Evaluasi ke Akademi Farmasi IKIFA, Jakarta</v>
          </cell>
          <cell r="I101" t="str">
            <v>DKI Jakarta</v>
          </cell>
          <cell r="J101" t="str">
            <v>DKI Jakarta</v>
          </cell>
          <cell r="K101">
            <v>1</v>
          </cell>
          <cell r="L101" t="str">
            <v>22 Maret 2019</v>
          </cell>
          <cell r="M101" t="str">
            <v>22 Maret 2019</v>
          </cell>
          <cell r="N101">
            <v>524114</v>
          </cell>
          <cell r="O101" t="str">
            <v>Belanja Perjalanan Dinas Paket Meeting Dalam Kota</v>
          </cell>
          <cell r="P101" t="str">
            <v>431/L3/TU/KA.11.00/2019</v>
          </cell>
          <cell r="Q101" t="str">
            <v>14 Maret 2019</v>
          </cell>
          <cell r="R101" t="str">
            <v>ya</v>
          </cell>
          <cell r="S101">
            <v>150000</v>
          </cell>
          <cell r="T101">
            <v>3138400</v>
          </cell>
          <cell r="V101">
            <v>0</v>
          </cell>
          <cell r="W101">
            <v>0</v>
          </cell>
          <cell r="X101">
            <v>0</v>
          </cell>
          <cell r="Z101">
            <v>0</v>
          </cell>
          <cell r="AB101">
            <v>0</v>
          </cell>
          <cell r="AD101">
            <v>0</v>
          </cell>
          <cell r="AE101" t="str">
            <v>ya</v>
          </cell>
          <cell r="AF101">
            <v>210000</v>
          </cell>
          <cell r="AH101" t="str">
            <v xml:space="preserve">Angkutan Umum </v>
          </cell>
          <cell r="AI101" t="str">
            <v>Akademi Farmasi IKIFA, Jakarta</v>
          </cell>
        </row>
        <row r="102">
          <cell r="A102">
            <v>101</v>
          </cell>
          <cell r="B102" t="str">
            <v>Mudlikah</v>
          </cell>
          <cell r="C102" t="str">
            <v>196303111987032001</v>
          </cell>
          <cell r="D102" t="str">
            <v xml:space="preserve">Pengadministrasi Persuratan pada Sub. Bagian Tata Usaha pada Bagian Umum        </v>
          </cell>
          <cell r="E102" t="str">
            <v>III/d</v>
          </cell>
          <cell r="F102" t="str">
            <v>688766492017000</v>
          </cell>
          <cell r="G102" t="str">
            <v>Penata Tk. I</v>
          </cell>
          <cell r="H102" t="str">
            <v>Melakukan Monitoring dan Evaluasi ke Akademi Farmasi IKIFA, Jakarta</v>
          </cell>
          <cell r="I102" t="str">
            <v>DKI Jakarta</v>
          </cell>
          <cell r="J102" t="str">
            <v>DKI Jakarta</v>
          </cell>
          <cell r="K102">
            <v>1</v>
          </cell>
          <cell r="L102" t="str">
            <v>22 Maret 2019</v>
          </cell>
          <cell r="M102" t="str">
            <v>22 Maret 2019</v>
          </cell>
          <cell r="N102">
            <v>524114</v>
          </cell>
          <cell r="O102" t="str">
            <v>Belanja Perjalanan Dinas Paket Meeting Dalam Kota</v>
          </cell>
          <cell r="P102" t="str">
            <v>431/L3/TU/KA.11.00/2019</v>
          </cell>
          <cell r="Q102" t="str">
            <v>14 Maret 2019</v>
          </cell>
          <cell r="R102" t="str">
            <v>ya</v>
          </cell>
          <cell r="S102">
            <v>150000</v>
          </cell>
          <cell r="T102">
            <v>3138400</v>
          </cell>
          <cell r="V102">
            <v>0</v>
          </cell>
          <cell r="W102">
            <v>0</v>
          </cell>
          <cell r="X102">
            <v>0</v>
          </cell>
          <cell r="Z102">
            <v>0</v>
          </cell>
          <cell r="AB102">
            <v>0</v>
          </cell>
          <cell r="AD102">
            <v>0</v>
          </cell>
          <cell r="AE102" t="str">
            <v>ya</v>
          </cell>
          <cell r="AF102">
            <v>210000</v>
          </cell>
          <cell r="AH102" t="str">
            <v xml:space="preserve">Angkutan Umum </v>
          </cell>
          <cell r="AI102" t="str">
            <v>Akademi Farmasi IKIFA, Jakarta</v>
          </cell>
        </row>
        <row r="103">
          <cell r="A103">
            <v>102</v>
          </cell>
          <cell r="B103" t="str">
            <v>Afrida Anis</v>
          </cell>
          <cell r="C103" t="str">
            <v>197002051994032002</v>
          </cell>
          <cell r="D103" t="str">
            <v>Pengelola Pendidikan Dan Tenaga Kependidikan pada Seksi Ketenagaan pada Bidang Akademik, Kemahasiswaan, dan Ketenagaan</v>
          </cell>
          <cell r="E103" t="str">
            <v>III/d</v>
          </cell>
          <cell r="F103" t="str">
            <v>699452207412000</v>
          </cell>
          <cell r="G103" t="str">
            <v>Penata Tk. I</v>
          </cell>
          <cell r="H103" t="str">
            <v>Melakukan Monitoring dan Evaluasi ke Akademi Farmasi IKIFA, Jakarta</v>
          </cell>
          <cell r="I103" t="str">
            <v>DKI Jakarta</v>
          </cell>
          <cell r="J103" t="str">
            <v>DKI Jakarta</v>
          </cell>
          <cell r="K103">
            <v>1</v>
          </cell>
          <cell r="L103" t="str">
            <v>22 Maret 2019</v>
          </cell>
          <cell r="M103" t="str">
            <v>22 Maret 2019</v>
          </cell>
          <cell r="N103">
            <v>524114</v>
          </cell>
          <cell r="O103" t="str">
            <v>Belanja Perjalanan Dinas Paket Meeting Dalam Kota</v>
          </cell>
          <cell r="P103" t="str">
            <v>431/L3/TU/KA.11.00/2019</v>
          </cell>
          <cell r="Q103" t="str">
            <v>14 Maret 2019</v>
          </cell>
          <cell r="R103" t="str">
            <v>ya</v>
          </cell>
          <cell r="S103">
            <v>150000</v>
          </cell>
          <cell r="T103">
            <v>3138400</v>
          </cell>
          <cell r="V103">
            <v>0</v>
          </cell>
          <cell r="W103">
            <v>0</v>
          </cell>
          <cell r="X103">
            <v>0</v>
          </cell>
          <cell r="Z103">
            <v>0</v>
          </cell>
          <cell r="AB103">
            <v>0</v>
          </cell>
          <cell r="AD103">
            <v>0</v>
          </cell>
          <cell r="AE103" t="str">
            <v>ya</v>
          </cell>
          <cell r="AF103">
            <v>210000</v>
          </cell>
          <cell r="AH103" t="str">
            <v xml:space="preserve">Angkutan Umum </v>
          </cell>
          <cell r="AI103" t="str">
            <v>Akademi Farmasi IKIFA, Jakarta</v>
          </cell>
        </row>
        <row r="104">
          <cell r="A104">
            <v>103</v>
          </cell>
          <cell r="B104" t="str">
            <v>Santosa</v>
          </cell>
          <cell r="C104" t="str">
            <v>196203301987031002</v>
          </cell>
          <cell r="D104" t="str">
            <v>Pengadministrasi Umum pada Seksi Sistem Informasi pada Bidang Kelembagaan, dan Sistem Informasi</v>
          </cell>
          <cell r="E104" t="str">
            <v>II/c</v>
          </cell>
          <cell r="F104" t="str">
            <v>688766310403000</v>
          </cell>
          <cell r="G104" t="str">
            <v>Pengatur</v>
          </cell>
          <cell r="H104" t="str">
            <v>Melakukan Monitoring dan Evaluasi ke Akademi Farmasi IKIFA, Jakarta</v>
          </cell>
          <cell r="I104" t="str">
            <v>DKI Jakarta</v>
          </cell>
          <cell r="J104" t="str">
            <v>DKI Jakarta</v>
          </cell>
          <cell r="K104">
            <v>1</v>
          </cell>
          <cell r="L104" t="str">
            <v>22 Maret 2019</v>
          </cell>
          <cell r="M104" t="str">
            <v>22 Maret 2019</v>
          </cell>
          <cell r="N104">
            <v>524114</v>
          </cell>
          <cell r="O104" t="str">
            <v>Belanja Perjalanan Dinas Paket Meeting Dalam Kota</v>
          </cell>
          <cell r="P104" t="str">
            <v>431/L3/TU/KA.11.00/2019</v>
          </cell>
          <cell r="Q104" t="str">
            <v>14 Maret 2019</v>
          </cell>
          <cell r="R104" t="str">
            <v>ya</v>
          </cell>
          <cell r="S104">
            <v>150000</v>
          </cell>
          <cell r="T104">
            <v>3138400</v>
          </cell>
          <cell r="V104">
            <v>0</v>
          </cell>
          <cell r="W104">
            <v>0</v>
          </cell>
          <cell r="X104">
            <v>0</v>
          </cell>
          <cell r="Z104">
            <v>0</v>
          </cell>
          <cell r="AB104">
            <v>0</v>
          </cell>
          <cell r="AD104">
            <v>0</v>
          </cell>
          <cell r="AE104" t="str">
            <v>ya</v>
          </cell>
          <cell r="AF104">
            <v>210000</v>
          </cell>
          <cell r="AH104" t="str">
            <v xml:space="preserve">Angkutan Umum </v>
          </cell>
          <cell r="AI104" t="str">
            <v>Akademi Farmasi IKIFA, Jakarta</v>
          </cell>
        </row>
        <row r="105">
          <cell r="A105">
            <v>104</v>
          </cell>
          <cell r="B105" t="str">
            <v>Siswanto</v>
          </cell>
          <cell r="C105" t="str">
            <v>196701181992031003</v>
          </cell>
          <cell r="D105" t="str">
            <v>Penyusun Laporan Keuangan  pada Sub. Bagian Keuangan pada Bagian Umum</v>
          </cell>
          <cell r="E105" t="str">
            <v>III/d</v>
          </cell>
          <cell r="F105" t="str">
            <v>092521178407000</v>
          </cell>
          <cell r="G105" t="str">
            <v>Penata Tk. I</v>
          </cell>
          <cell r="H105" t="str">
            <v>Melakukan Monitoring dan Evaluasi ke Politeknik Bisnis dan Pasar Modal, Jakarta</v>
          </cell>
          <cell r="I105" t="str">
            <v>DKI Jakarta</v>
          </cell>
          <cell r="J105" t="str">
            <v>DKI Jakarta</v>
          </cell>
          <cell r="K105">
            <v>1</v>
          </cell>
          <cell r="L105" t="str">
            <v>01 April 2019</v>
          </cell>
          <cell r="M105" t="str">
            <v>01 April 2019</v>
          </cell>
          <cell r="N105">
            <v>524114</v>
          </cell>
          <cell r="O105" t="str">
            <v>Belanja Perjalanan Dinas Paket Meeting Dalam Kota</v>
          </cell>
          <cell r="P105" t="str">
            <v>531/L3/TU/KA.11.00/2019</v>
          </cell>
          <cell r="Q105" t="str">
            <v>29 Maret 2019</v>
          </cell>
          <cell r="R105" t="str">
            <v>ya</v>
          </cell>
          <cell r="S105">
            <v>150000</v>
          </cell>
          <cell r="T105">
            <v>3138400</v>
          </cell>
          <cell r="V105">
            <v>0</v>
          </cell>
          <cell r="W105">
            <v>0</v>
          </cell>
          <cell r="X105">
            <v>0</v>
          </cell>
          <cell r="Z105">
            <v>0</v>
          </cell>
          <cell r="AB105">
            <v>0</v>
          </cell>
          <cell r="AD105">
            <v>0</v>
          </cell>
          <cell r="AE105" t="str">
            <v>ya</v>
          </cell>
          <cell r="AF105">
            <v>210000</v>
          </cell>
          <cell r="AH105" t="str">
            <v xml:space="preserve">Angkutan Umum </v>
          </cell>
          <cell r="AI105" t="str">
            <v>Politeknik Bisnis dan Pasar Modal</v>
          </cell>
        </row>
        <row r="106">
          <cell r="A106">
            <v>105</v>
          </cell>
          <cell r="B106" t="str">
            <v>Hidayat</v>
          </cell>
          <cell r="C106" t="str">
            <v>198608012015041003</v>
          </cell>
          <cell r="D106" t="str">
            <v>Analis Kelembagaan pada Seksi Kelembagaan, dan Kerjasama pada Bidang Kelembagaan, dan Sistem Informasi</v>
          </cell>
          <cell r="E106" t="str">
            <v>III/a</v>
          </cell>
          <cell r="F106" t="str">
            <v>678348889009000</v>
          </cell>
          <cell r="G106" t="str">
            <v>Penata Muda</v>
          </cell>
          <cell r="H106" t="str">
            <v>Melakukan Monitoring dan Evaluasi ke Politeknik Bisnis dan Pasar Modal, Jakarta</v>
          </cell>
          <cell r="I106" t="str">
            <v>DKI Jakarta</v>
          </cell>
          <cell r="J106" t="str">
            <v>DKI Jakarta</v>
          </cell>
          <cell r="K106">
            <v>1</v>
          </cell>
          <cell r="L106" t="str">
            <v>01 April 2019</v>
          </cell>
          <cell r="M106" t="str">
            <v>01 April 2019</v>
          </cell>
          <cell r="N106">
            <v>524114</v>
          </cell>
          <cell r="O106" t="str">
            <v>Belanja Perjalanan Dinas Paket Meeting Dalam Kota</v>
          </cell>
          <cell r="P106" t="str">
            <v>531/L3/TU/KA.11.00/2019</v>
          </cell>
          <cell r="Q106" t="str">
            <v>29 Maret 2019</v>
          </cell>
          <cell r="R106" t="str">
            <v>ya</v>
          </cell>
          <cell r="S106">
            <v>150000</v>
          </cell>
          <cell r="T106">
            <v>3138400</v>
          </cell>
          <cell r="V106">
            <v>0</v>
          </cell>
          <cell r="W106">
            <v>0</v>
          </cell>
          <cell r="X106">
            <v>0</v>
          </cell>
          <cell r="Z106">
            <v>0</v>
          </cell>
          <cell r="AB106">
            <v>0</v>
          </cell>
          <cell r="AD106">
            <v>0</v>
          </cell>
          <cell r="AE106" t="str">
            <v>ya</v>
          </cell>
          <cell r="AF106">
            <v>210000</v>
          </cell>
          <cell r="AH106" t="str">
            <v xml:space="preserve">Angkutan Umum </v>
          </cell>
          <cell r="AI106" t="str">
            <v>Politeknik Bisnis dan Pasar Modal</v>
          </cell>
        </row>
        <row r="107">
          <cell r="A107">
            <v>106</v>
          </cell>
          <cell r="B107" t="str">
            <v>Sri Weningsih</v>
          </cell>
          <cell r="C107" t="str">
            <v>196104251989022001</v>
          </cell>
          <cell r="D107" t="str">
            <v>Penyusun Bahan Publikasi pada Seksi Sistem Informasi pada Bidang Kelembagaan, dan Sistem Informasi</v>
          </cell>
          <cell r="E107" t="str">
            <v>III/d</v>
          </cell>
          <cell r="F107" t="str">
            <v>688766351024000</v>
          </cell>
          <cell r="G107" t="str">
            <v>Penata Tk. I</v>
          </cell>
          <cell r="H107" t="str">
            <v>Melakukan Monitoring dan Evaluasi ke Politeknik Bisnis dan Pasar Modal, Jakarta</v>
          </cell>
          <cell r="I107" t="str">
            <v>DKI Jakarta</v>
          </cell>
          <cell r="J107" t="str">
            <v>DKI Jakarta</v>
          </cell>
          <cell r="K107">
            <v>1</v>
          </cell>
          <cell r="L107" t="str">
            <v>01 April 2019</v>
          </cell>
          <cell r="M107" t="str">
            <v>01 April 2019</v>
          </cell>
          <cell r="N107">
            <v>524114</v>
          </cell>
          <cell r="O107" t="str">
            <v>Belanja Perjalanan Dinas Paket Meeting Dalam Kota</v>
          </cell>
          <cell r="P107" t="str">
            <v>531/L3/TU/KA.11.00/2019</v>
          </cell>
          <cell r="Q107" t="str">
            <v>29 Maret 2019</v>
          </cell>
          <cell r="R107" t="str">
            <v>ya</v>
          </cell>
          <cell r="S107">
            <v>150000</v>
          </cell>
          <cell r="T107">
            <v>3138400</v>
          </cell>
          <cell r="V107">
            <v>0</v>
          </cell>
          <cell r="W107">
            <v>0</v>
          </cell>
          <cell r="X107">
            <v>0</v>
          </cell>
          <cell r="Z107">
            <v>0</v>
          </cell>
          <cell r="AB107">
            <v>0</v>
          </cell>
          <cell r="AD107">
            <v>0</v>
          </cell>
          <cell r="AE107" t="str">
            <v>ya</v>
          </cell>
          <cell r="AF107">
            <v>210000</v>
          </cell>
          <cell r="AH107" t="str">
            <v xml:space="preserve">Angkutan Umum </v>
          </cell>
          <cell r="AI107" t="str">
            <v>Politeknik Bisnis dan Pasar Modal</v>
          </cell>
        </row>
        <row r="108">
          <cell r="A108">
            <v>107</v>
          </cell>
          <cell r="B108" t="str">
            <v>Siswadi</v>
          </cell>
          <cell r="C108" t="str">
            <v>196409151994121001</v>
          </cell>
          <cell r="D108" t="str">
            <v>Pengemudi pada Sub. Bagian Tata Usaha pada Bagian Umum</v>
          </cell>
          <cell r="E108" t="str">
            <v>III/a</v>
          </cell>
          <cell r="F108" t="str">
            <v>688766252008000</v>
          </cell>
          <cell r="G108" t="str">
            <v>Penata Muda</v>
          </cell>
          <cell r="H108" t="str">
            <v>Melakukan Monitoring dan Evaluasi ke Politeknik Bisnis dan Pasar Modal, Jakarta</v>
          </cell>
          <cell r="I108" t="str">
            <v>DKI Jakarta</v>
          </cell>
          <cell r="J108" t="str">
            <v>DKI Jakarta</v>
          </cell>
          <cell r="K108">
            <v>1</v>
          </cell>
          <cell r="L108" t="str">
            <v>01 April 2019</v>
          </cell>
          <cell r="M108" t="str">
            <v>01 April 2019</v>
          </cell>
          <cell r="N108">
            <v>524114</v>
          </cell>
          <cell r="O108" t="str">
            <v>Belanja Perjalanan Dinas Paket Meeting Dalam Kota</v>
          </cell>
          <cell r="P108" t="str">
            <v>531/L3/TU/KA.11.00/2019</v>
          </cell>
          <cell r="Q108" t="str">
            <v>29 Maret 2019</v>
          </cell>
          <cell r="R108" t="str">
            <v>ya</v>
          </cell>
          <cell r="S108">
            <v>150000</v>
          </cell>
          <cell r="T108">
            <v>3138400</v>
          </cell>
          <cell r="V108">
            <v>0</v>
          </cell>
          <cell r="W108">
            <v>0</v>
          </cell>
          <cell r="X108">
            <v>0</v>
          </cell>
          <cell r="Z108">
            <v>0</v>
          </cell>
          <cell r="AB108">
            <v>0</v>
          </cell>
          <cell r="AD108">
            <v>0</v>
          </cell>
          <cell r="AE108" t="str">
            <v>ya</v>
          </cell>
          <cell r="AF108">
            <v>210000</v>
          </cell>
          <cell r="AH108" t="str">
            <v xml:space="preserve">Angkutan Umum </v>
          </cell>
          <cell r="AI108" t="str">
            <v>Politeknik Bisnis dan Pasar Modal</v>
          </cell>
        </row>
        <row r="109">
          <cell r="A109">
            <v>108</v>
          </cell>
          <cell r="B109" t="str">
            <v>M Hasannudin</v>
          </cell>
          <cell r="C109" t="str">
            <v>196307251987101001</v>
          </cell>
          <cell r="D109" t="str">
            <v>Petugas Keamanan pada Sub. Bagian Tata Usaha pada Bagian Umum</v>
          </cell>
          <cell r="E109" t="str">
            <v>III/a</v>
          </cell>
          <cell r="F109" t="str">
            <v>688766336005000</v>
          </cell>
          <cell r="G109" t="str">
            <v>Penata Muda</v>
          </cell>
          <cell r="H109" t="str">
            <v>Melakukan Monitoring dan Evaluasi ke Politeknik Bisnis dan Pasar Modal, Jakarta</v>
          </cell>
          <cell r="I109" t="str">
            <v>DKI Jakarta</v>
          </cell>
          <cell r="J109" t="str">
            <v>DKI Jakarta</v>
          </cell>
          <cell r="K109">
            <v>1</v>
          </cell>
          <cell r="L109" t="str">
            <v>01 April 2019</v>
          </cell>
          <cell r="M109" t="str">
            <v>01 April 2019</v>
          </cell>
          <cell r="N109">
            <v>524114</v>
          </cell>
          <cell r="O109" t="str">
            <v>Belanja Perjalanan Dinas Paket Meeting Dalam Kota</v>
          </cell>
          <cell r="P109" t="str">
            <v>531/L3/TU/KA.11.00/2019</v>
          </cell>
          <cell r="Q109" t="str">
            <v>29 Maret 2019</v>
          </cell>
          <cell r="R109" t="str">
            <v>ya</v>
          </cell>
          <cell r="S109">
            <v>150000</v>
          </cell>
          <cell r="T109">
            <v>3138400</v>
          </cell>
          <cell r="V109">
            <v>0</v>
          </cell>
          <cell r="W109">
            <v>0</v>
          </cell>
          <cell r="X109">
            <v>0</v>
          </cell>
          <cell r="Z109">
            <v>0</v>
          </cell>
          <cell r="AB109">
            <v>0</v>
          </cell>
          <cell r="AD109">
            <v>0</v>
          </cell>
          <cell r="AE109" t="str">
            <v>ya</v>
          </cell>
          <cell r="AF109">
            <v>210000</v>
          </cell>
          <cell r="AH109" t="str">
            <v xml:space="preserve">Angkutan Umum </v>
          </cell>
          <cell r="AI109" t="str">
            <v>Politeknik Bisnis dan Pasar Modal</v>
          </cell>
        </row>
        <row r="110">
          <cell r="A110">
            <v>109</v>
          </cell>
          <cell r="B110" t="str">
            <v xml:space="preserve">Henri Tambunan </v>
          </cell>
          <cell r="C110" t="str">
            <v>-</v>
          </cell>
          <cell r="D110" t="str">
            <v>-</v>
          </cell>
          <cell r="E110" t="str">
            <v>IV/b</v>
          </cell>
          <cell r="F110" t="str">
            <v>-</v>
          </cell>
          <cell r="G110">
            <v>0</v>
          </cell>
          <cell r="H110" t="str">
            <v xml:space="preserve">Melakukan Monitoring dan Evaluasi ke Sekolah Tinggi Ilmu Ekonomi Gotong Royong </v>
          </cell>
          <cell r="I110" t="str">
            <v>DKI Jakarta</v>
          </cell>
          <cell r="J110" t="str">
            <v>DKI Jakarta</v>
          </cell>
          <cell r="K110">
            <v>1</v>
          </cell>
          <cell r="L110" t="str">
            <v>02 April 2019</v>
          </cell>
          <cell r="M110" t="str">
            <v>02 April 2019</v>
          </cell>
          <cell r="N110">
            <v>524114</v>
          </cell>
          <cell r="O110" t="str">
            <v>Belanja Perjalanan Dinas Paket Meeting Dalam Kota</v>
          </cell>
          <cell r="P110" t="str">
            <v>531/L3/TU/KA.11.00/2019</v>
          </cell>
          <cell r="Q110" t="str">
            <v>29 Maret 2019</v>
          </cell>
          <cell r="R110" t="str">
            <v>ya</v>
          </cell>
          <cell r="S110">
            <v>150000</v>
          </cell>
          <cell r="T110">
            <v>3138400</v>
          </cell>
          <cell r="V110">
            <v>0</v>
          </cell>
          <cell r="W110">
            <v>0</v>
          </cell>
          <cell r="X110">
            <v>0</v>
          </cell>
          <cell r="Z110">
            <v>0</v>
          </cell>
          <cell r="AB110">
            <v>0</v>
          </cell>
          <cell r="AD110">
            <v>0</v>
          </cell>
          <cell r="AE110" t="str">
            <v>ya</v>
          </cell>
          <cell r="AF110">
            <v>210000</v>
          </cell>
          <cell r="AH110" t="str">
            <v xml:space="preserve">Angkutan Umum </v>
          </cell>
          <cell r="AI110" t="str">
            <v>Sekolah Tinggi Ilmu Ekonomi Gotong Royong</v>
          </cell>
        </row>
        <row r="111">
          <cell r="A111">
            <v>110</v>
          </cell>
          <cell r="B111" t="str">
            <v>Norsanty</v>
          </cell>
          <cell r="C111" t="str">
            <v>196411031992032001</v>
          </cell>
          <cell r="D111" t="str">
            <v>Kepala Bagian Kelembagaan dan Sistem Informasi</v>
          </cell>
          <cell r="E111" t="str">
            <v>III/d</v>
          </cell>
          <cell r="F111" t="str">
            <v>686766484412000</v>
          </cell>
          <cell r="G111" t="str">
            <v>Penata Tk. I</v>
          </cell>
          <cell r="H111" t="str">
            <v xml:space="preserve">Melakukan Monitoring dan Evaluasi ke Sekolah Tinggi Ilmu Ekonomi Gotong Royong </v>
          </cell>
          <cell r="I111" t="str">
            <v>DKI Jakarta</v>
          </cell>
          <cell r="J111" t="str">
            <v>DKI Jakarta</v>
          </cell>
          <cell r="K111">
            <v>1</v>
          </cell>
          <cell r="L111" t="str">
            <v>02 April 2019</v>
          </cell>
          <cell r="M111" t="str">
            <v>02 April 2019</v>
          </cell>
          <cell r="N111">
            <v>524114</v>
          </cell>
          <cell r="O111" t="str">
            <v>Belanja Perjalanan Dinas Paket Meeting Dalam Kota</v>
          </cell>
          <cell r="P111" t="str">
            <v>531/L3/TU/KA.11.00/2019</v>
          </cell>
          <cell r="Q111" t="str">
            <v>29 Maret 2019</v>
          </cell>
          <cell r="R111" t="str">
            <v>ya</v>
          </cell>
          <cell r="S111">
            <v>150000</v>
          </cell>
          <cell r="T111">
            <v>3138400</v>
          </cell>
          <cell r="V111">
            <v>0</v>
          </cell>
          <cell r="W111">
            <v>0</v>
          </cell>
          <cell r="X111">
            <v>0</v>
          </cell>
          <cell r="Z111">
            <v>0</v>
          </cell>
          <cell r="AB111">
            <v>0</v>
          </cell>
          <cell r="AD111">
            <v>0</v>
          </cell>
          <cell r="AE111" t="str">
            <v>ya</v>
          </cell>
          <cell r="AF111">
            <v>210000</v>
          </cell>
          <cell r="AH111" t="str">
            <v xml:space="preserve">Angkutan Umum </v>
          </cell>
          <cell r="AI111" t="str">
            <v>Sekolah Tinggi Ilmu Ekonomi Gotong Royong</v>
          </cell>
        </row>
        <row r="112">
          <cell r="A112">
            <v>111</v>
          </cell>
          <cell r="B112" t="str">
            <v>Tri Munanto</v>
          </cell>
          <cell r="C112" t="str">
            <v>198601212010121003</v>
          </cell>
          <cell r="D112" t="str">
            <v>Analis Kelembagaan pada Seksi Kelembagaan, dan Kerjasama pada Bidang Kelembagaan, dan Sistem Informasi</v>
          </cell>
          <cell r="E112" t="str">
            <v>III/b</v>
          </cell>
          <cell r="F112" t="str">
            <v>248877086013000</v>
          </cell>
          <cell r="G112" t="str">
            <v>Penata Muda Tk. I</v>
          </cell>
          <cell r="H112" t="str">
            <v xml:space="preserve">Melakukan Monitoring dan Evaluasi ke Sekolah Tinggi Ilmu Ekonomi Gotong Royong </v>
          </cell>
          <cell r="I112" t="str">
            <v>DKI Jakarta</v>
          </cell>
          <cell r="J112" t="str">
            <v>DKI Jakarta</v>
          </cell>
          <cell r="K112">
            <v>1</v>
          </cell>
          <cell r="L112" t="str">
            <v>02 April 2019</v>
          </cell>
          <cell r="M112" t="str">
            <v>02 April 2019</v>
          </cell>
          <cell r="N112">
            <v>524114</v>
          </cell>
          <cell r="O112" t="str">
            <v>Belanja Perjalanan Dinas Paket Meeting Dalam Kota</v>
          </cell>
          <cell r="P112" t="str">
            <v>531/L3/TU/KA.11.00/2019</v>
          </cell>
          <cell r="Q112" t="str">
            <v>29 Maret 2019</v>
          </cell>
          <cell r="R112" t="str">
            <v>ya</v>
          </cell>
          <cell r="S112">
            <v>150000</v>
          </cell>
          <cell r="T112">
            <v>3138400</v>
          </cell>
          <cell r="V112">
            <v>0</v>
          </cell>
          <cell r="W112">
            <v>0</v>
          </cell>
          <cell r="X112">
            <v>0</v>
          </cell>
          <cell r="Z112">
            <v>0</v>
          </cell>
          <cell r="AB112">
            <v>0</v>
          </cell>
          <cell r="AD112">
            <v>0</v>
          </cell>
          <cell r="AE112" t="str">
            <v>ya</v>
          </cell>
          <cell r="AF112">
            <v>210000</v>
          </cell>
          <cell r="AH112" t="str">
            <v xml:space="preserve">Angkutan Umum </v>
          </cell>
          <cell r="AI112" t="str">
            <v>Sekolah Tinggi Ilmu Ekonomi Gotong Royong</v>
          </cell>
        </row>
        <row r="113">
          <cell r="A113">
            <v>112</v>
          </cell>
          <cell r="B113" t="str">
            <v>Prita Ekasari</v>
          </cell>
          <cell r="C113" t="str">
            <v>198410142009122008</v>
          </cell>
          <cell r="D113" t="str">
            <v>Analis Sistem Informasi pada Seksi Sistem Informasi pada Bidang Kelembagaan, dan Sistem Informasi</v>
          </cell>
          <cell r="E113" t="str">
            <v>III/b</v>
          </cell>
          <cell r="F113" t="str">
            <v>599515301407000</v>
          </cell>
          <cell r="G113" t="str">
            <v>Penata Muda Tk. I</v>
          </cell>
          <cell r="H113" t="str">
            <v xml:space="preserve">Melakukan Monitoring dan Evaluasi ke Sekolah Tinggi Ilmu Ekonomi Gotong Royong </v>
          </cell>
          <cell r="I113" t="str">
            <v>DKI Jakarta</v>
          </cell>
          <cell r="J113" t="str">
            <v>DKI Jakarta</v>
          </cell>
          <cell r="K113">
            <v>1</v>
          </cell>
          <cell r="L113" t="str">
            <v>02 April 2019</v>
          </cell>
          <cell r="M113" t="str">
            <v>02 April 2019</v>
          </cell>
          <cell r="N113">
            <v>524114</v>
          </cell>
          <cell r="O113" t="str">
            <v>Belanja Perjalanan Dinas Paket Meeting Dalam Kota</v>
          </cell>
          <cell r="P113" t="str">
            <v>531/L3/TU/KA.11.00/2019</v>
          </cell>
          <cell r="Q113" t="str">
            <v>29 Maret 2019</v>
          </cell>
          <cell r="R113" t="str">
            <v>ya</v>
          </cell>
          <cell r="S113">
            <v>150000</v>
          </cell>
          <cell r="T113">
            <v>3138400</v>
          </cell>
          <cell r="V113">
            <v>0</v>
          </cell>
          <cell r="W113">
            <v>0</v>
          </cell>
          <cell r="X113">
            <v>0</v>
          </cell>
          <cell r="Z113">
            <v>0</v>
          </cell>
          <cell r="AB113">
            <v>0</v>
          </cell>
          <cell r="AD113">
            <v>0</v>
          </cell>
          <cell r="AE113" t="str">
            <v>ya</v>
          </cell>
          <cell r="AF113">
            <v>210000</v>
          </cell>
          <cell r="AH113" t="str">
            <v xml:space="preserve">Angkutan Umum </v>
          </cell>
          <cell r="AI113" t="str">
            <v>Sekolah Tinggi Ilmu Ekonomi Gotong Royong</v>
          </cell>
        </row>
        <row r="114">
          <cell r="A114">
            <v>113</v>
          </cell>
          <cell r="B114" t="str">
            <v>Mulhadi HM</v>
          </cell>
          <cell r="C114" t="str">
            <v>199204072015041001</v>
          </cell>
          <cell r="D114" t="str">
            <v>Analis Kelembagaan pada Seksi Kelembagaan, dan Kerjasama pada Bidang Kelembagaan, dan Sistem Informasi</v>
          </cell>
          <cell r="E114" t="str">
            <v>III/a</v>
          </cell>
          <cell r="F114" t="str">
            <v>737792366005000</v>
          </cell>
          <cell r="G114" t="str">
            <v>Penata Muda</v>
          </cell>
          <cell r="H114" t="str">
            <v xml:space="preserve">Melakukan Monitoring dan Evaluasi ke Sekolah Tinggi Ilmu Ekonomi Gotong Royong </v>
          </cell>
          <cell r="I114" t="str">
            <v>DKI Jakarta</v>
          </cell>
          <cell r="J114" t="str">
            <v>DKI Jakarta</v>
          </cell>
          <cell r="K114">
            <v>1</v>
          </cell>
          <cell r="L114" t="str">
            <v>02 April 2019</v>
          </cell>
          <cell r="M114" t="str">
            <v>02 April 2019</v>
          </cell>
          <cell r="N114">
            <v>524114</v>
          </cell>
          <cell r="O114" t="str">
            <v>Belanja Perjalanan Dinas Paket Meeting Dalam Kota</v>
          </cell>
          <cell r="P114" t="str">
            <v>531/L3/TU/KA.11.00/2019</v>
          </cell>
          <cell r="Q114" t="str">
            <v>29 Maret 2019</v>
          </cell>
          <cell r="R114" t="str">
            <v>ya</v>
          </cell>
          <cell r="S114">
            <v>150000</v>
          </cell>
          <cell r="T114">
            <v>3138400</v>
          </cell>
          <cell r="V114">
            <v>0</v>
          </cell>
          <cell r="W114">
            <v>0</v>
          </cell>
          <cell r="X114">
            <v>0</v>
          </cell>
          <cell r="Z114">
            <v>0</v>
          </cell>
          <cell r="AB114">
            <v>0</v>
          </cell>
          <cell r="AD114">
            <v>0</v>
          </cell>
          <cell r="AE114" t="str">
            <v>ya</v>
          </cell>
          <cell r="AF114">
            <v>210000</v>
          </cell>
          <cell r="AH114" t="str">
            <v xml:space="preserve">Angkutan Umum </v>
          </cell>
          <cell r="AI114" t="str">
            <v>Sekolah Tinggi Ilmu Ekonomi Gotong Royong</v>
          </cell>
        </row>
        <row r="115">
          <cell r="A115">
            <v>114</v>
          </cell>
          <cell r="B115" t="str">
            <v>Boy Alexandry</v>
          </cell>
          <cell r="C115" t="str">
            <v>196301091994031002</v>
          </cell>
          <cell r="D115" t="str">
            <v xml:space="preserve">Kepala Sub. Bagian Tata Usaha pada Bagian Umum                                          </v>
          </cell>
          <cell r="E115" t="str">
            <v>IV/a</v>
          </cell>
          <cell r="F115" t="str">
            <v>688766658017000</v>
          </cell>
          <cell r="G115" t="str">
            <v>Pembina</v>
          </cell>
          <cell r="H115" t="str">
            <v>Melakukan Monitoring dan Evaluasi ke Akademi Refraksi Optisi dan Optometry Gapopin</v>
          </cell>
          <cell r="I115" t="str">
            <v>DKI Jakarta</v>
          </cell>
          <cell r="J115" t="str">
            <v>Tangerang, Banten</v>
          </cell>
          <cell r="K115">
            <v>1</v>
          </cell>
          <cell r="L115" t="str">
            <v>02 April 2019</v>
          </cell>
          <cell r="M115" t="str">
            <v>02 April 2019</v>
          </cell>
          <cell r="N115">
            <v>524114</v>
          </cell>
          <cell r="O115" t="str">
            <v>Belanja Perjalanan Dinas Paket Meeting Dalam Kota</v>
          </cell>
          <cell r="P115" t="str">
            <v>531/L3/TU/KA.11.00/2019</v>
          </cell>
          <cell r="Q115" t="str">
            <v>29 Maret 2019</v>
          </cell>
          <cell r="R115" t="str">
            <v>ya</v>
          </cell>
          <cell r="S115">
            <v>568000</v>
          </cell>
          <cell r="T115">
            <v>3138400</v>
          </cell>
          <cell r="V115">
            <v>0</v>
          </cell>
          <cell r="W115">
            <v>0</v>
          </cell>
          <cell r="X115">
            <v>0</v>
          </cell>
          <cell r="Z115">
            <v>0</v>
          </cell>
          <cell r="AB115">
            <v>0</v>
          </cell>
          <cell r="AD115">
            <v>0</v>
          </cell>
          <cell r="AE115" t="str">
            <v>ya</v>
          </cell>
          <cell r="AF115">
            <v>430000</v>
          </cell>
          <cell r="AH115" t="str">
            <v xml:space="preserve">Angkutan Umum </v>
          </cell>
          <cell r="AI115" t="str">
            <v>Akademi Refraksi Optisi dan Optometry Gapopin</v>
          </cell>
        </row>
        <row r="116">
          <cell r="A116">
            <v>115</v>
          </cell>
          <cell r="B116" t="str">
            <v>Titah Widihastuti</v>
          </cell>
          <cell r="C116" t="str">
            <v>198312302010122003</v>
          </cell>
          <cell r="D116" t="str">
            <v>Analis Sistem Informasi pada Seksi Sistem Informasi pada Bidang Kelembagaan, dan Sistem Informasi</v>
          </cell>
          <cell r="E116" t="str">
            <v>III/b</v>
          </cell>
          <cell r="F116" t="str">
            <v>678780578009000</v>
          </cell>
          <cell r="G116" t="str">
            <v>Penata Muda Tk. I</v>
          </cell>
          <cell r="H116" t="str">
            <v>Melakukan Monitoring dan Evaluasi ke Akademi Refraksi Optisi dan Optometry Gapopin</v>
          </cell>
          <cell r="I116" t="str">
            <v>DKI Jakarta</v>
          </cell>
          <cell r="J116" t="str">
            <v>Tangerang, Banten</v>
          </cell>
          <cell r="K116">
            <v>1</v>
          </cell>
          <cell r="L116" t="str">
            <v>02 April 2019</v>
          </cell>
          <cell r="M116" t="str">
            <v>02 April 2019</v>
          </cell>
          <cell r="N116">
            <v>524114</v>
          </cell>
          <cell r="O116" t="str">
            <v>Belanja Perjalanan Dinas Paket Meeting Dalam Kota</v>
          </cell>
          <cell r="P116" t="str">
            <v>531/L3/TU/KA.11.00/2019</v>
          </cell>
          <cell r="Q116" t="str">
            <v>29 Maret 2019</v>
          </cell>
          <cell r="R116" t="str">
            <v>ya</v>
          </cell>
          <cell r="S116">
            <v>568000</v>
          </cell>
          <cell r="T116">
            <v>3138400</v>
          </cell>
          <cell r="V116">
            <v>0</v>
          </cell>
          <cell r="W116">
            <v>0</v>
          </cell>
          <cell r="X116">
            <v>0</v>
          </cell>
          <cell r="Z116">
            <v>0</v>
          </cell>
          <cell r="AB116">
            <v>0</v>
          </cell>
          <cell r="AD116">
            <v>0</v>
          </cell>
          <cell r="AE116" t="str">
            <v>ya</v>
          </cell>
          <cell r="AF116">
            <v>430000</v>
          </cell>
          <cell r="AH116" t="str">
            <v xml:space="preserve">Angkutan Umum </v>
          </cell>
          <cell r="AI116" t="str">
            <v>Akademi Refraksi Optisi dan Optometry Gapopin</v>
          </cell>
        </row>
        <row r="117">
          <cell r="A117">
            <v>116</v>
          </cell>
          <cell r="B117" t="str">
            <v>Suratmi</v>
          </cell>
          <cell r="C117" t="str">
            <v>196809101986112001</v>
          </cell>
          <cell r="D117" t="str">
            <v>Pengadministrasi Pendidik Dan Tenaga Kependidikan pada Seksi Ketenagaan pada Bidang Akademik, Kemahasiswaan, dan Ketenagaan</v>
          </cell>
          <cell r="E117" t="str">
            <v>III/b</v>
          </cell>
          <cell r="F117" t="str">
            <v>688718410412000</v>
          </cell>
          <cell r="G117" t="str">
            <v>Penata Muda Tk. I</v>
          </cell>
          <cell r="H117" t="str">
            <v>Melakukan Monitoring dan Evaluasi ke Akademi Refraksi Optisi dan Optometry Gapopin</v>
          </cell>
          <cell r="I117" t="str">
            <v>DKI Jakarta</v>
          </cell>
          <cell r="J117" t="str">
            <v>Tangerang, Banten</v>
          </cell>
          <cell r="K117">
            <v>1</v>
          </cell>
          <cell r="L117" t="str">
            <v>02 April 2019</v>
          </cell>
          <cell r="M117" t="str">
            <v>02 April 2019</v>
          </cell>
          <cell r="N117">
            <v>524114</v>
          </cell>
          <cell r="O117" t="str">
            <v>Belanja Perjalanan Dinas Paket Meeting Dalam Kota</v>
          </cell>
          <cell r="P117" t="str">
            <v>531/L3/TU/KA.11.00/2019</v>
          </cell>
          <cell r="Q117" t="str">
            <v>29 Maret 2019</v>
          </cell>
          <cell r="R117" t="str">
            <v>ya</v>
          </cell>
          <cell r="S117">
            <v>568000</v>
          </cell>
          <cell r="T117">
            <v>3138400</v>
          </cell>
          <cell r="V117">
            <v>0</v>
          </cell>
          <cell r="W117">
            <v>0</v>
          </cell>
          <cell r="X117">
            <v>0</v>
          </cell>
          <cell r="Z117">
            <v>0</v>
          </cell>
          <cell r="AB117">
            <v>0</v>
          </cell>
          <cell r="AD117">
            <v>0</v>
          </cell>
          <cell r="AE117" t="str">
            <v>ya</v>
          </cell>
          <cell r="AF117">
            <v>430000</v>
          </cell>
          <cell r="AH117" t="str">
            <v xml:space="preserve">Angkutan Umum </v>
          </cell>
          <cell r="AI117" t="str">
            <v>Akademi Refraksi Optisi dan Optometry Gapopin</v>
          </cell>
        </row>
        <row r="118">
          <cell r="A118">
            <v>117</v>
          </cell>
          <cell r="B118" t="str">
            <v>Lukman Hakim</v>
          </cell>
          <cell r="C118" t="str">
            <v>198009062008121004</v>
          </cell>
          <cell r="D118" t="str">
            <v>Bendahara  pada Sub. Bagian Keuangan pada Bagian Umum</v>
          </cell>
          <cell r="E118" t="str">
            <v>III/c</v>
          </cell>
          <cell r="F118" t="str">
            <v>253119184071000</v>
          </cell>
          <cell r="G118" t="str">
            <v>Penata</v>
          </cell>
          <cell r="H118" t="str">
            <v>Melakukan Monitoring dan Evaluasi ke Akademi Refraksi Optisi dan Optometry Gapopin</v>
          </cell>
          <cell r="I118" t="str">
            <v>DKI Jakarta</v>
          </cell>
          <cell r="J118" t="str">
            <v>Tangerang, Banten</v>
          </cell>
          <cell r="K118">
            <v>1</v>
          </cell>
          <cell r="L118" t="str">
            <v>02 April 2019</v>
          </cell>
          <cell r="M118" t="str">
            <v>02 April 2019</v>
          </cell>
          <cell r="N118">
            <v>524114</v>
          </cell>
          <cell r="O118" t="str">
            <v>Belanja Perjalanan Dinas Paket Meeting Dalam Kota</v>
          </cell>
          <cell r="P118" t="str">
            <v>531/L3/TU/KA.11.00/2019</v>
          </cell>
          <cell r="Q118" t="str">
            <v>29 Maret 2019</v>
          </cell>
          <cell r="R118" t="str">
            <v>ya</v>
          </cell>
          <cell r="S118">
            <v>568000</v>
          </cell>
          <cell r="T118">
            <v>3138400</v>
          </cell>
          <cell r="V118">
            <v>0</v>
          </cell>
          <cell r="W118">
            <v>0</v>
          </cell>
          <cell r="X118">
            <v>0</v>
          </cell>
          <cell r="Z118">
            <v>0</v>
          </cell>
          <cell r="AB118">
            <v>0</v>
          </cell>
          <cell r="AD118">
            <v>0</v>
          </cell>
          <cell r="AE118" t="str">
            <v>ya</v>
          </cell>
          <cell r="AF118">
            <v>430000</v>
          </cell>
          <cell r="AH118" t="str">
            <v xml:space="preserve">Angkutan Umum </v>
          </cell>
          <cell r="AI118" t="str">
            <v>Akademi Refraksi Optisi dan Optometry Gapopin</v>
          </cell>
        </row>
        <row r="119">
          <cell r="A119">
            <v>118</v>
          </cell>
          <cell r="B119" t="str">
            <v>Elih Ermawati</v>
          </cell>
          <cell r="C119" t="str">
            <v>198609152009122006</v>
          </cell>
          <cell r="D119" t="str">
            <v>Pengelola Keuangan pada Sub. Bagian Keuangan pada Bagian Umum</v>
          </cell>
          <cell r="E119" t="str">
            <v>II/d</v>
          </cell>
          <cell r="F119" t="str">
            <v>697161602432000</v>
          </cell>
          <cell r="G119" t="str">
            <v>Pengatur Tk. I</v>
          </cell>
          <cell r="H119" t="str">
            <v>Melakukan Monitoring dan Evaluasi ke Akademi Refraksi Optisi dan Optometry Gapopin</v>
          </cell>
          <cell r="I119" t="str">
            <v>DKI Jakarta</v>
          </cell>
          <cell r="J119" t="str">
            <v>Tangerang, Banten</v>
          </cell>
          <cell r="K119">
            <v>1</v>
          </cell>
          <cell r="L119" t="str">
            <v>02 April 2019</v>
          </cell>
          <cell r="M119" t="str">
            <v>02 April 2019</v>
          </cell>
          <cell r="N119">
            <v>524114</v>
          </cell>
          <cell r="O119" t="str">
            <v>Belanja Perjalanan Dinas Paket Meeting Dalam Kota</v>
          </cell>
          <cell r="P119" t="str">
            <v>531/L3/TU/KA.11.00/2019</v>
          </cell>
          <cell r="Q119" t="str">
            <v>29 Maret 2019</v>
          </cell>
          <cell r="R119" t="str">
            <v>ya</v>
          </cell>
          <cell r="S119">
            <v>568000</v>
          </cell>
          <cell r="T119">
            <v>3138400</v>
          </cell>
          <cell r="V119">
            <v>0</v>
          </cell>
          <cell r="W119">
            <v>0</v>
          </cell>
          <cell r="X119">
            <v>0</v>
          </cell>
          <cell r="Z119">
            <v>0</v>
          </cell>
          <cell r="AB119">
            <v>0</v>
          </cell>
          <cell r="AD119">
            <v>0</v>
          </cell>
          <cell r="AE119" t="str">
            <v>ya</v>
          </cell>
          <cell r="AF119">
            <v>430000</v>
          </cell>
          <cell r="AH119" t="str">
            <v xml:space="preserve">Angkutan Umum </v>
          </cell>
          <cell r="AI119" t="str">
            <v>Akademi Refraksi Optisi dan Optometry Gapopin</v>
          </cell>
        </row>
        <row r="120">
          <cell r="A120">
            <v>119</v>
          </cell>
          <cell r="B120" t="str">
            <v>Siswanto</v>
          </cell>
          <cell r="C120" t="str">
            <v>196701181992031003</v>
          </cell>
          <cell r="D120" t="str">
            <v>Penyusun Laporan Keuangan  pada Sub. Bagian Keuangan pada Bagian Umum</v>
          </cell>
          <cell r="E120" t="str">
            <v>III/d</v>
          </cell>
          <cell r="F120" t="str">
            <v>092521178407000</v>
          </cell>
          <cell r="G120" t="str">
            <v>Penata Tk. I</v>
          </cell>
          <cell r="H120" t="str">
            <v>Melakukan Monitoring dan Evaluasi ke Akademi Keperawatan Manggala Husada</v>
          </cell>
          <cell r="I120" t="str">
            <v>DKI Jakarta</v>
          </cell>
          <cell r="J120" t="str">
            <v>DKI Jakarta</v>
          </cell>
          <cell r="K120">
            <v>1</v>
          </cell>
          <cell r="L120" t="str">
            <v>05 April 2019</v>
          </cell>
          <cell r="M120" t="str">
            <v>05 April 2019</v>
          </cell>
          <cell r="N120">
            <v>524114</v>
          </cell>
          <cell r="O120" t="str">
            <v>Belanja Perjalanan Dinas Paket Meeting Dalam Kota</v>
          </cell>
          <cell r="P120" t="str">
            <v>531/L3/TU/KA.11.00/2019</v>
          </cell>
          <cell r="Q120" t="str">
            <v>29 Maret 2019</v>
          </cell>
          <cell r="R120" t="str">
            <v>ya</v>
          </cell>
          <cell r="S120">
            <v>150000</v>
          </cell>
          <cell r="T120">
            <v>3138400</v>
          </cell>
          <cell r="V120">
            <v>0</v>
          </cell>
          <cell r="W120">
            <v>0</v>
          </cell>
          <cell r="X120">
            <v>0</v>
          </cell>
          <cell r="Z120">
            <v>0</v>
          </cell>
          <cell r="AB120">
            <v>0</v>
          </cell>
          <cell r="AD120">
            <v>0</v>
          </cell>
          <cell r="AE120" t="str">
            <v>ya</v>
          </cell>
          <cell r="AF120">
            <v>210000</v>
          </cell>
          <cell r="AH120" t="str">
            <v xml:space="preserve">Angkutan Umum </v>
          </cell>
          <cell r="AI120" t="str">
            <v>Akademi Keperawatan Manggala Husada</v>
          </cell>
        </row>
        <row r="121">
          <cell r="A121">
            <v>120</v>
          </cell>
          <cell r="B121" t="str">
            <v>Hidayat</v>
          </cell>
          <cell r="C121" t="str">
            <v>198608012015041003</v>
          </cell>
          <cell r="D121" t="str">
            <v>Analis Kelembagaan pada Seksi Kelembagaan, dan Kerjasama pada Bidang Kelembagaan, dan Sistem Informasi</v>
          </cell>
          <cell r="E121" t="str">
            <v>III/a</v>
          </cell>
          <cell r="F121" t="str">
            <v>678348889009000</v>
          </cell>
          <cell r="G121" t="str">
            <v>Penata Muda</v>
          </cell>
          <cell r="H121" t="str">
            <v>Melakukan Monitoring dan Evaluasi ke Akademi Keperawatan Manggala Husada</v>
          </cell>
          <cell r="I121" t="str">
            <v>DKI Jakarta</v>
          </cell>
          <cell r="J121" t="str">
            <v>DKI Jakarta</v>
          </cell>
          <cell r="K121">
            <v>1</v>
          </cell>
          <cell r="L121" t="str">
            <v>05 April 2019</v>
          </cell>
          <cell r="M121" t="str">
            <v>05 April 2019</v>
          </cell>
          <cell r="N121">
            <v>524114</v>
          </cell>
          <cell r="O121" t="str">
            <v>Belanja Perjalanan Dinas Paket Meeting Dalam Kota</v>
          </cell>
          <cell r="P121" t="str">
            <v>531/L3/TU/KA.11.00/2019</v>
          </cell>
          <cell r="Q121" t="str">
            <v>29 Maret 2019</v>
          </cell>
          <cell r="R121" t="str">
            <v>ya</v>
          </cell>
          <cell r="S121">
            <v>150000</v>
          </cell>
          <cell r="T121">
            <v>3138400</v>
          </cell>
          <cell r="V121">
            <v>0</v>
          </cell>
          <cell r="W121">
            <v>0</v>
          </cell>
          <cell r="X121">
            <v>0</v>
          </cell>
          <cell r="Z121">
            <v>0</v>
          </cell>
          <cell r="AB121">
            <v>0</v>
          </cell>
          <cell r="AD121">
            <v>0</v>
          </cell>
          <cell r="AE121" t="str">
            <v>ya</v>
          </cell>
          <cell r="AF121">
            <v>210000</v>
          </cell>
          <cell r="AH121" t="str">
            <v xml:space="preserve">Angkutan Umum </v>
          </cell>
          <cell r="AI121" t="str">
            <v>Akademi Keperawatan Manggala Husada</v>
          </cell>
        </row>
        <row r="122">
          <cell r="A122">
            <v>121</v>
          </cell>
          <cell r="B122" t="str">
            <v>Sri Weningsih</v>
          </cell>
          <cell r="C122" t="str">
            <v>196104251989022001</v>
          </cell>
          <cell r="D122" t="str">
            <v>Penyusun Bahan Publikasi pada Seksi Sistem Informasi pada Bidang Kelembagaan, dan Sistem Informasi</v>
          </cell>
          <cell r="E122" t="str">
            <v>III/d</v>
          </cell>
          <cell r="F122" t="str">
            <v>688766351024000</v>
          </cell>
          <cell r="G122" t="str">
            <v>Penata Tk. I</v>
          </cell>
          <cell r="H122" t="str">
            <v>Melakukan Monitoring dan Evaluasi ke Akademi Keperawatan Manggala Husada</v>
          </cell>
          <cell r="I122" t="str">
            <v>DKI Jakarta</v>
          </cell>
          <cell r="J122" t="str">
            <v>DKI Jakarta</v>
          </cell>
          <cell r="K122">
            <v>1</v>
          </cell>
          <cell r="L122" t="str">
            <v>05 April 2019</v>
          </cell>
          <cell r="M122" t="str">
            <v>05 April 2019</v>
          </cell>
          <cell r="N122">
            <v>524114</v>
          </cell>
          <cell r="O122" t="str">
            <v>Belanja Perjalanan Dinas Paket Meeting Dalam Kota</v>
          </cell>
          <cell r="P122" t="str">
            <v>531/L3/TU/KA.11.00/2019</v>
          </cell>
          <cell r="Q122" t="str">
            <v>29 Maret 2019</v>
          </cell>
          <cell r="R122" t="str">
            <v>ya</v>
          </cell>
          <cell r="S122">
            <v>150000</v>
          </cell>
          <cell r="T122">
            <v>3138400</v>
          </cell>
          <cell r="V122">
            <v>0</v>
          </cell>
          <cell r="W122">
            <v>0</v>
          </cell>
          <cell r="X122">
            <v>0</v>
          </cell>
          <cell r="Z122">
            <v>0</v>
          </cell>
          <cell r="AB122">
            <v>0</v>
          </cell>
          <cell r="AD122">
            <v>0</v>
          </cell>
          <cell r="AE122" t="str">
            <v>ya</v>
          </cell>
          <cell r="AF122">
            <v>210000</v>
          </cell>
          <cell r="AH122" t="str">
            <v xml:space="preserve">Angkutan Umum </v>
          </cell>
          <cell r="AI122" t="str">
            <v>Akademi Keperawatan Manggala Husada</v>
          </cell>
        </row>
        <row r="123">
          <cell r="A123">
            <v>122</v>
          </cell>
          <cell r="B123" t="str">
            <v>Siswadi</v>
          </cell>
          <cell r="C123" t="str">
            <v>196409151994121001</v>
          </cell>
          <cell r="D123" t="str">
            <v>Pengemudi pada Sub. Bagian Tata Usaha pada Bagian Umum</v>
          </cell>
          <cell r="E123" t="str">
            <v>III/a</v>
          </cell>
          <cell r="F123" t="str">
            <v>688766252008000</v>
          </cell>
          <cell r="G123" t="str">
            <v>Penata Muda</v>
          </cell>
          <cell r="H123" t="str">
            <v>Melakukan Monitoring dan Evaluasi ke Akademi Keperawatan Manggala Husada</v>
          </cell>
          <cell r="I123" t="str">
            <v>DKI Jakarta</v>
          </cell>
          <cell r="J123" t="str">
            <v>DKI Jakarta</v>
          </cell>
          <cell r="K123">
            <v>1</v>
          </cell>
          <cell r="L123" t="str">
            <v>05 April 2019</v>
          </cell>
          <cell r="M123" t="str">
            <v>05 April 2019</v>
          </cell>
          <cell r="N123">
            <v>524114</v>
          </cell>
          <cell r="O123" t="str">
            <v>Belanja Perjalanan Dinas Paket Meeting Dalam Kota</v>
          </cell>
          <cell r="P123" t="str">
            <v>531/L3/TU/KA.11.00/2019</v>
          </cell>
          <cell r="Q123" t="str">
            <v>29 Maret 2019</v>
          </cell>
          <cell r="R123" t="str">
            <v>ya</v>
          </cell>
          <cell r="S123">
            <v>150000</v>
          </cell>
          <cell r="T123">
            <v>3138400</v>
          </cell>
          <cell r="V123">
            <v>0</v>
          </cell>
          <cell r="W123">
            <v>0</v>
          </cell>
          <cell r="X123">
            <v>0</v>
          </cell>
          <cell r="Z123">
            <v>0</v>
          </cell>
          <cell r="AB123">
            <v>0</v>
          </cell>
          <cell r="AD123">
            <v>0</v>
          </cell>
          <cell r="AE123" t="str">
            <v>ya</v>
          </cell>
          <cell r="AF123">
            <v>210000</v>
          </cell>
          <cell r="AH123" t="str">
            <v xml:space="preserve">Angkutan Umum </v>
          </cell>
          <cell r="AI123" t="str">
            <v>Akademi Keperawatan Manggala Husada</v>
          </cell>
        </row>
        <row r="124">
          <cell r="A124">
            <v>123</v>
          </cell>
          <cell r="B124" t="str">
            <v>M Hasannudin</v>
          </cell>
          <cell r="C124" t="str">
            <v>196307251987101001</v>
          </cell>
          <cell r="D124" t="str">
            <v>Petugas Keamanan pada Sub. Bagian Tata Usaha pada Bagian Umum</v>
          </cell>
          <cell r="E124" t="str">
            <v>III/a</v>
          </cell>
          <cell r="F124" t="str">
            <v>688766336005000</v>
          </cell>
          <cell r="G124" t="str">
            <v>Penata Muda</v>
          </cell>
          <cell r="H124" t="str">
            <v>Melakukan Monitoring dan Evaluasi ke Akademi Keperawatan Manggala Husada</v>
          </cell>
          <cell r="I124" t="str">
            <v>DKI Jakarta</v>
          </cell>
          <cell r="J124" t="str">
            <v>DKI Jakarta</v>
          </cell>
          <cell r="K124">
            <v>1</v>
          </cell>
          <cell r="L124" t="str">
            <v>05 April 2019</v>
          </cell>
          <cell r="M124" t="str">
            <v>05 April 2019</v>
          </cell>
          <cell r="N124">
            <v>524114</v>
          </cell>
          <cell r="O124" t="str">
            <v>Belanja Perjalanan Dinas Paket Meeting Dalam Kota</v>
          </cell>
          <cell r="P124" t="str">
            <v>531/L3/TU/KA.11.00/2019</v>
          </cell>
          <cell r="Q124" t="str">
            <v>29 Maret 2019</v>
          </cell>
          <cell r="R124" t="str">
            <v>ya</v>
          </cell>
          <cell r="S124">
            <v>150000</v>
          </cell>
          <cell r="T124">
            <v>3138400</v>
          </cell>
          <cell r="V124">
            <v>0</v>
          </cell>
          <cell r="W124">
            <v>0</v>
          </cell>
          <cell r="X124">
            <v>0</v>
          </cell>
          <cell r="Z124">
            <v>0</v>
          </cell>
          <cell r="AB124">
            <v>0</v>
          </cell>
          <cell r="AD124">
            <v>0</v>
          </cell>
          <cell r="AE124" t="str">
            <v>ya</v>
          </cell>
          <cell r="AF124">
            <v>210000</v>
          </cell>
          <cell r="AH124" t="str">
            <v xml:space="preserve">Angkutan Umum </v>
          </cell>
          <cell r="AI124" t="str">
            <v>Akademi Keperawatan Manggala Husada</v>
          </cell>
        </row>
        <row r="125">
          <cell r="A125">
            <v>124</v>
          </cell>
          <cell r="B125" t="str">
            <v>Yulianti AS</v>
          </cell>
          <cell r="C125" t="str">
            <v>196507041987032001</v>
          </cell>
          <cell r="D125" t="str">
            <v>Kepala Sub. Bagian Keuangan pada Bagian Umum</v>
          </cell>
          <cell r="E125" t="str">
            <v>III/d</v>
          </cell>
          <cell r="F125" t="str">
            <v>184018083009000</v>
          </cell>
          <cell r="G125" t="str">
            <v>Penata Tk. I</v>
          </cell>
          <cell r="H125" t="str">
            <v>Melakukan Monitoring dan Evaluasi ke Sekolah Tinggi Ekonomi Kasih Bangsa</v>
          </cell>
          <cell r="I125" t="str">
            <v>DKI Jakarta</v>
          </cell>
          <cell r="J125" t="str">
            <v>DKI Jakarta</v>
          </cell>
          <cell r="K125">
            <v>1</v>
          </cell>
          <cell r="L125" t="str">
            <v>05 April 2019</v>
          </cell>
          <cell r="M125" t="str">
            <v>05 April 2019</v>
          </cell>
          <cell r="N125">
            <v>524114</v>
          </cell>
          <cell r="O125" t="str">
            <v>Belanja Perjalanan Dinas Paket Meeting Dalam Kota</v>
          </cell>
          <cell r="P125" t="str">
            <v>531/L3/TU/KA.11.00/2019</v>
          </cell>
          <cell r="Q125" t="str">
            <v>29 Maret 2019</v>
          </cell>
          <cell r="R125" t="str">
            <v>ya</v>
          </cell>
          <cell r="S125">
            <v>150000</v>
          </cell>
          <cell r="T125">
            <v>3138400</v>
          </cell>
          <cell r="V125">
            <v>0</v>
          </cell>
          <cell r="W125">
            <v>0</v>
          </cell>
          <cell r="X125">
            <v>0</v>
          </cell>
          <cell r="Z125">
            <v>0</v>
          </cell>
          <cell r="AB125">
            <v>0</v>
          </cell>
          <cell r="AD125">
            <v>0</v>
          </cell>
          <cell r="AE125" t="str">
            <v>ya</v>
          </cell>
          <cell r="AF125">
            <v>210000</v>
          </cell>
          <cell r="AH125" t="str">
            <v xml:space="preserve">Angkutan Umum </v>
          </cell>
          <cell r="AI125" t="str">
            <v>Sekolah Tinggi Ilmu Ekonomi Kasih Bangsa</v>
          </cell>
        </row>
        <row r="126">
          <cell r="A126">
            <v>125</v>
          </cell>
          <cell r="B126" t="str">
            <v>Tri Munanto</v>
          </cell>
          <cell r="C126" t="str">
            <v>198601212010121003</v>
          </cell>
          <cell r="D126" t="str">
            <v>Analis Kelembagaan pada Seksi Kelembagaan, dan Kerjasama pada Bidang Kelembagaan, dan Sistem Informasi</v>
          </cell>
          <cell r="E126" t="str">
            <v>III/b</v>
          </cell>
          <cell r="F126" t="str">
            <v>248877086013000</v>
          </cell>
          <cell r="G126" t="str">
            <v>Penata Muda Tk. I</v>
          </cell>
          <cell r="H126" t="str">
            <v>Melakukan Monitoring dan Evaluasi ke Sekolah Tinggi Ekonomi Kasih Bangsa</v>
          </cell>
          <cell r="I126" t="str">
            <v>DKI Jakarta</v>
          </cell>
          <cell r="J126" t="str">
            <v>DKI Jakarta</v>
          </cell>
          <cell r="K126">
            <v>1</v>
          </cell>
          <cell r="L126" t="str">
            <v>05 April 2019</v>
          </cell>
          <cell r="M126" t="str">
            <v>05 April 2019</v>
          </cell>
          <cell r="N126">
            <v>524114</v>
          </cell>
          <cell r="O126" t="str">
            <v>Belanja Perjalanan Dinas Paket Meeting Dalam Kota</v>
          </cell>
          <cell r="P126" t="str">
            <v>531/L3/TU/KA.11.00/2019</v>
          </cell>
          <cell r="Q126" t="str">
            <v>29 Maret 2019</v>
          </cell>
          <cell r="R126" t="str">
            <v>ya</v>
          </cell>
          <cell r="S126">
            <v>150000</v>
          </cell>
          <cell r="T126">
            <v>3138400</v>
          </cell>
          <cell r="V126">
            <v>0</v>
          </cell>
          <cell r="W126">
            <v>0</v>
          </cell>
          <cell r="X126">
            <v>0</v>
          </cell>
          <cell r="Z126">
            <v>0</v>
          </cell>
          <cell r="AB126">
            <v>0</v>
          </cell>
          <cell r="AD126">
            <v>0</v>
          </cell>
          <cell r="AE126" t="str">
            <v>ya</v>
          </cell>
          <cell r="AF126">
            <v>210000</v>
          </cell>
          <cell r="AH126" t="str">
            <v xml:space="preserve">Angkutan Umum </v>
          </cell>
          <cell r="AI126" t="str">
            <v>Sekolah Tinggi Ilmu Ekonomi Kasih Bangsa</v>
          </cell>
        </row>
        <row r="127">
          <cell r="A127">
            <v>126</v>
          </cell>
          <cell r="B127" t="str">
            <v>Adhy Purnama</v>
          </cell>
          <cell r="C127" t="str">
            <v>198104182010121002</v>
          </cell>
          <cell r="D127" t="str">
            <v>Pengadministrasi Akademik pada Seksi Akademik, dan Kemahasiswaan pada Bidang Akademik, Kemahasiswaan, dan Ketenagaan</v>
          </cell>
          <cell r="E127" t="str">
            <v>III/b</v>
          </cell>
          <cell r="F127" t="str">
            <v>594386401426000</v>
          </cell>
          <cell r="G127" t="str">
            <v>Penata Muda Tk. I</v>
          </cell>
          <cell r="H127" t="str">
            <v>Melakukan Monitoring dan Evaluasi ke Sekolah Tinggi Ekonomi Kasih Bangsa</v>
          </cell>
          <cell r="I127" t="str">
            <v>DKI Jakarta</v>
          </cell>
          <cell r="J127" t="str">
            <v>DKI Jakarta</v>
          </cell>
          <cell r="K127">
            <v>1</v>
          </cell>
          <cell r="L127" t="str">
            <v>05 April 2019</v>
          </cell>
          <cell r="M127" t="str">
            <v>05 April 2019</v>
          </cell>
          <cell r="N127">
            <v>524114</v>
          </cell>
          <cell r="O127" t="str">
            <v>Belanja Perjalanan Dinas Paket Meeting Dalam Kota</v>
          </cell>
          <cell r="P127" t="str">
            <v>531/L3/TU/KA.11.00/2019</v>
          </cell>
          <cell r="Q127" t="str">
            <v>29 Maret 2019</v>
          </cell>
          <cell r="R127" t="str">
            <v>ya</v>
          </cell>
          <cell r="S127">
            <v>150000</v>
          </cell>
          <cell r="T127">
            <v>3138400</v>
          </cell>
          <cell r="V127">
            <v>0</v>
          </cell>
          <cell r="W127">
            <v>0</v>
          </cell>
          <cell r="X127">
            <v>0</v>
          </cell>
          <cell r="Z127">
            <v>0</v>
          </cell>
          <cell r="AB127">
            <v>0</v>
          </cell>
          <cell r="AD127">
            <v>0</v>
          </cell>
          <cell r="AE127" t="str">
            <v>ya</v>
          </cell>
          <cell r="AF127">
            <v>210000</v>
          </cell>
          <cell r="AH127" t="str">
            <v xml:space="preserve">Angkutan Umum </v>
          </cell>
          <cell r="AI127" t="str">
            <v>Sekolah Tinggi Ilmu Ekonomi Kasih Bangsa</v>
          </cell>
        </row>
        <row r="128">
          <cell r="A128">
            <v>127</v>
          </cell>
          <cell r="B128" t="str">
            <v>Azwar</v>
          </cell>
          <cell r="C128" t="str">
            <v>196204091988031002</v>
          </cell>
          <cell r="D128" t="str">
            <v xml:space="preserve">Pengadministrasi Persuratan pada Sub. Bagian Tata Usaha pada Bagian Umum  </v>
          </cell>
          <cell r="E128" t="str">
            <v>III/b</v>
          </cell>
          <cell r="F128" t="str">
            <v>688766237002000</v>
          </cell>
          <cell r="G128" t="str">
            <v>Penata Muda Tk. I</v>
          </cell>
          <cell r="H128" t="str">
            <v>Melakukan Monitoring dan Evaluasi ke Sekolah Tinggi Ekonomi Kasih Bangsa</v>
          </cell>
          <cell r="I128" t="str">
            <v>DKI Jakarta</v>
          </cell>
          <cell r="J128" t="str">
            <v>DKI Jakarta</v>
          </cell>
          <cell r="K128">
            <v>1</v>
          </cell>
          <cell r="L128" t="str">
            <v>05 April 2019</v>
          </cell>
          <cell r="M128" t="str">
            <v>05 April 2019</v>
          </cell>
          <cell r="N128">
            <v>524114</v>
          </cell>
          <cell r="O128" t="str">
            <v>Belanja Perjalanan Dinas Paket Meeting Dalam Kota</v>
          </cell>
          <cell r="P128" t="str">
            <v>531/L3/TU/KA.11.00/2019</v>
          </cell>
          <cell r="Q128" t="str">
            <v>29 Maret 2019</v>
          </cell>
          <cell r="R128" t="str">
            <v>ya</v>
          </cell>
          <cell r="S128">
            <v>150000</v>
          </cell>
          <cell r="T128">
            <v>3138400</v>
          </cell>
          <cell r="V128">
            <v>0</v>
          </cell>
          <cell r="W128">
            <v>0</v>
          </cell>
          <cell r="X128">
            <v>0</v>
          </cell>
          <cell r="Z128">
            <v>0</v>
          </cell>
          <cell r="AB128">
            <v>0</v>
          </cell>
          <cell r="AD128">
            <v>0</v>
          </cell>
          <cell r="AE128" t="str">
            <v>ya</v>
          </cell>
          <cell r="AF128">
            <v>210000</v>
          </cell>
          <cell r="AH128" t="str">
            <v xml:space="preserve">Angkutan Umum </v>
          </cell>
          <cell r="AI128" t="str">
            <v>Sekolah Tinggi Ilmu Ekonomi Kasih Bangsa</v>
          </cell>
        </row>
        <row r="129">
          <cell r="A129">
            <v>128</v>
          </cell>
          <cell r="B129" t="str">
            <v>Prayitno</v>
          </cell>
          <cell r="C129" t="str">
            <v>-</v>
          </cell>
          <cell r="D129" t="str">
            <v>PPNPN</v>
          </cell>
          <cell r="E129" t="str">
            <v>-</v>
          </cell>
          <cell r="F129" t="str">
            <v>695075515061000</v>
          </cell>
          <cell r="G129" t="str">
            <v>-</v>
          </cell>
          <cell r="H129" t="str">
            <v>Melakukan Monitoring dan Evaluasi ke Sekolah Tinggi Ekonomi Kasih Bangsa</v>
          </cell>
          <cell r="I129" t="str">
            <v>DKI Jakarta</v>
          </cell>
          <cell r="J129" t="str">
            <v>DKI Jakarta</v>
          </cell>
          <cell r="K129">
            <v>1</v>
          </cell>
          <cell r="L129" t="str">
            <v>05 April 2019</v>
          </cell>
          <cell r="M129" t="str">
            <v>05 April 2019</v>
          </cell>
          <cell r="N129">
            <v>524114</v>
          </cell>
          <cell r="O129" t="str">
            <v>Belanja Perjalanan Dinas Paket Meeting Dalam Kota</v>
          </cell>
          <cell r="P129" t="str">
            <v>531/L3/TU/KA.11.00/2019</v>
          </cell>
          <cell r="Q129" t="str">
            <v>29 Maret 2019</v>
          </cell>
          <cell r="R129" t="str">
            <v>ya</v>
          </cell>
          <cell r="S129">
            <v>150000</v>
          </cell>
          <cell r="T129">
            <v>3138400</v>
          </cell>
          <cell r="V129">
            <v>0</v>
          </cell>
          <cell r="W129">
            <v>0</v>
          </cell>
          <cell r="X129">
            <v>0</v>
          </cell>
          <cell r="Z129">
            <v>0</v>
          </cell>
          <cell r="AB129">
            <v>0</v>
          </cell>
          <cell r="AD129">
            <v>0</v>
          </cell>
          <cell r="AE129" t="str">
            <v>ya</v>
          </cell>
          <cell r="AF129">
            <v>210000</v>
          </cell>
          <cell r="AH129" t="str">
            <v xml:space="preserve">Angkutan Umum </v>
          </cell>
          <cell r="AI129" t="str">
            <v>Sekolah Tinggi Ilmu Ekonomi Kasih Bangsa</v>
          </cell>
        </row>
        <row r="130">
          <cell r="A130">
            <v>129</v>
          </cell>
          <cell r="B130" t="str">
            <v>Taufiq Alamsyah</v>
          </cell>
          <cell r="C130" t="str">
            <v>196507121988101001</v>
          </cell>
          <cell r="D130" t="str">
            <v>Analis Pelaksanaan Akademik Dan Kemahasiswaan pada Seksi Akademik, dan Kemahasiswaan pada Bidang Akademik, Kemahasiswaan, dan Ketenagaan</v>
          </cell>
          <cell r="E130" t="str">
            <v>III/d</v>
          </cell>
          <cell r="F130" t="str">
            <v>688766278403000</v>
          </cell>
          <cell r="G130" t="str">
            <v>Penata Tk. I</v>
          </cell>
          <cell r="H130" t="str">
            <v>Melakukan Monitoring dan Evaluasi ke STIKIP MNC</v>
          </cell>
          <cell r="I130" t="str">
            <v>DKI Jakarta</v>
          </cell>
          <cell r="J130" t="str">
            <v>DKI Jakarta</v>
          </cell>
          <cell r="K130">
            <v>1</v>
          </cell>
          <cell r="L130" t="str">
            <v>05 April 2019</v>
          </cell>
          <cell r="M130" t="str">
            <v>05 April 2019</v>
          </cell>
          <cell r="N130">
            <v>524114</v>
          </cell>
          <cell r="O130" t="str">
            <v>Belanja Perjalanan Dinas Paket Meeting Dalam Kota</v>
          </cell>
          <cell r="P130" t="str">
            <v>531/L3/TU/KA.11.00/2019</v>
          </cell>
          <cell r="Q130" t="str">
            <v>29 Maret 2019</v>
          </cell>
          <cell r="R130" t="str">
            <v>ya</v>
          </cell>
          <cell r="S130">
            <v>150000</v>
          </cell>
          <cell r="T130">
            <v>3138400</v>
          </cell>
          <cell r="V130">
            <v>0</v>
          </cell>
          <cell r="W130">
            <v>0</v>
          </cell>
          <cell r="X130">
            <v>0</v>
          </cell>
          <cell r="Z130">
            <v>0</v>
          </cell>
          <cell r="AB130">
            <v>0</v>
          </cell>
          <cell r="AD130">
            <v>0</v>
          </cell>
          <cell r="AE130" t="str">
            <v>ya</v>
          </cell>
          <cell r="AF130">
            <v>210000</v>
          </cell>
          <cell r="AH130" t="str">
            <v xml:space="preserve">Angkutan Umum </v>
          </cell>
          <cell r="AI130" t="str">
            <v>STIKIP MNC</v>
          </cell>
        </row>
        <row r="131">
          <cell r="A131">
            <v>130</v>
          </cell>
          <cell r="B131" t="str">
            <v>Prita Ekasari</v>
          </cell>
          <cell r="C131" t="str">
            <v>198410142009122008</v>
          </cell>
          <cell r="D131" t="str">
            <v>Analis Sistem Informasi pada Seksi Sistem Informasi pada Bidang Kelembagaan, dan Sistem Informasi</v>
          </cell>
          <cell r="E131" t="str">
            <v>III/b</v>
          </cell>
          <cell r="F131" t="str">
            <v>599515301407000</v>
          </cell>
          <cell r="G131" t="str">
            <v>Penata Muda Tk. I</v>
          </cell>
          <cell r="H131" t="str">
            <v>Melakukan Monitoring dan Evaluasi ke STIKIP MNC</v>
          </cell>
          <cell r="I131" t="str">
            <v>DKI Jakarta</v>
          </cell>
          <cell r="J131" t="str">
            <v>DKI Jakarta</v>
          </cell>
          <cell r="K131">
            <v>1</v>
          </cell>
          <cell r="L131" t="str">
            <v>05 April 2019</v>
          </cell>
          <cell r="M131" t="str">
            <v>05 April 2019</v>
          </cell>
          <cell r="N131">
            <v>524114</v>
          </cell>
          <cell r="O131" t="str">
            <v>Belanja Perjalanan Dinas Paket Meeting Dalam Kota</v>
          </cell>
          <cell r="P131" t="str">
            <v>531/L3/TU/KA.11.00/2019</v>
          </cell>
          <cell r="Q131" t="str">
            <v>29 Maret 2019</v>
          </cell>
          <cell r="R131" t="str">
            <v>ya</v>
          </cell>
          <cell r="S131">
            <v>150000</v>
          </cell>
          <cell r="T131">
            <v>3138400</v>
          </cell>
          <cell r="V131">
            <v>0</v>
          </cell>
          <cell r="W131">
            <v>0</v>
          </cell>
          <cell r="X131">
            <v>0</v>
          </cell>
          <cell r="Z131">
            <v>0</v>
          </cell>
          <cell r="AB131">
            <v>0</v>
          </cell>
          <cell r="AD131">
            <v>0</v>
          </cell>
          <cell r="AE131" t="str">
            <v>ya</v>
          </cell>
          <cell r="AF131">
            <v>210000</v>
          </cell>
          <cell r="AH131" t="str">
            <v xml:space="preserve">Angkutan Umum </v>
          </cell>
          <cell r="AI131" t="str">
            <v>STIKIP MNC</v>
          </cell>
        </row>
        <row r="132">
          <cell r="A132">
            <v>131</v>
          </cell>
          <cell r="B132" t="str">
            <v>Alfikri Mirza Rosadi</v>
          </cell>
          <cell r="C132" t="str">
            <v>198902202015041001</v>
          </cell>
          <cell r="D132" t="str">
            <v>Pengelola Pendidikan Dan Tenaga Kependidikan pada Seksi Ketenagaan pada Bidang Akademik, Kemahasiswaan, dan Ketenagaan</v>
          </cell>
          <cell r="E132" t="str">
            <v>II/c</v>
          </cell>
          <cell r="F132" t="str">
            <v>664170735204000</v>
          </cell>
          <cell r="G132" t="str">
            <v>Pengatur</v>
          </cell>
          <cell r="H132" t="str">
            <v>Melakukan Monitoring dan Evaluasi ke STIKIP MNC</v>
          </cell>
          <cell r="I132" t="str">
            <v>DKI Jakarta</v>
          </cell>
          <cell r="J132" t="str">
            <v>DKI Jakarta</v>
          </cell>
          <cell r="K132">
            <v>1</v>
          </cell>
          <cell r="L132" t="str">
            <v>05 April 2019</v>
          </cell>
          <cell r="M132" t="str">
            <v>05 April 2019</v>
          </cell>
          <cell r="N132">
            <v>524114</v>
          </cell>
          <cell r="O132" t="str">
            <v>Belanja Perjalanan Dinas Paket Meeting Dalam Kota</v>
          </cell>
          <cell r="P132" t="str">
            <v>531/L3/TU/KA.11.00/2019</v>
          </cell>
          <cell r="Q132" t="str">
            <v>29 Maret 2019</v>
          </cell>
          <cell r="R132" t="str">
            <v>ya</v>
          </cell>
          <cell r="S132">
            <v>150000</v>
          </cell>
          <cell r="T132">
            <v>3138400</v>
          </cell>
          <cell r="V132">
            <v>0</v>
          </cell>
          <cell r="W132">
            <v>0</v>
          </cell>
          <cell r="X132">
            <v>0</v>
          </cell>
          <cell r="Z132">
            <v>0</v>
          </cell>
          <cell r="AB132">
            <v>0</v>
          </cell>
          <cell r="AD132">
            <v>0</v>
          </cell>
          <cell r="AE132" t="str">
            <v>ya</v>
          </cell>
          <cell r="AF132">
            <v>210000</v>
          </cell>
          <cell r="AH132" t="str">
            <v xml:space="preserve">Angkutan Umum </v>
          </cell>
          <cell r="AI132" t="str">
            <v>STIKIP MNC</v>
          </cell>
        </row>
        <row r="133">
          <cell r="A133">
            <v>132</v>
          </cell>
          <cell r="B133" t="str">
            <v>Heriyendi</v>
          </cell>
          <cell r="C133" t="str">
            <v>196104021988031004</v>
          </cell>
          <cell r="D133" t="str">
            <v xml:space="preserve">Pengadministrasi Umum pada Sub. Bagian Tata Usaha pada Bagian Umum                               </v>
          </cell>
          <cell r="E133" t="str">
            <v>III/d</v>
          </cell>
          <cell r="F133" t="str">
            <v>699452199432000</v>
          </cell>
          <cell r="G133" t="str">
            <v>Penata Tk. I</v>
          </cell>
          <cell r="H133" t="str">
            <v>Melakukan Monitoring dan Evaluasi ke STIKIP MNC</v>
          </cell>
          <cell r="I133" t="str">
            <v>DKI Jakarta</v>
          </cell>
          <cell r="J133" t="str">
            <v>DKI Jakarta</v>
          </cell>
          <cell r="K133">
            <v>1</v>
          </cell>
          <cell r="L133" t="str">
            <v>05 April 2019</v>
          </cell>
          <cell r="M133" t="str">
            <v>05 April 2019</v>
          </cell>
          <cell r="N133">
            <v>524114</v>
          </cell>
          <cell r="O133" t="str">
            <v>Belanja Perjalanan Dinas Paket Meeting Dalam Kota</v>
          </cell>
          <cell r="P133" t="str">
            <v>531/L3/TU/KA.11.00/2019</v>
          </cell>
          <cell r="Q133" t="str">
            <v>29 Maret 2019</v>
          </cell>
          <cell r="R133" t="str">
            <v>ya</v>
          </cell>
          <cell r="S133">
            <v>150000</v>
          </cell>
          <cell r="T133">
            <v>3138400</v>
          </cell>
          <cell r="V133">
            <v>0</v>
          </cell>
          <cell r="W133">
            <v>0</v>
          </cell>
          <cell r="X133">
            <v>0</v>
          </cell>
          <cell r="Z133">
            <v>0</v>
          </cell>
          <cell r="AB133">
            <v>0</v>
          </cell>
          <cell r="AD133">
            <v>0</v>
          </cell>
          <cell r="AE133" t="str">
            <v>ya</v>
          </cell>
          <cell r="AF133">
            <v>210000</v>
          </cell>
          <cell r="AH133" t="str">
            <v xml:space="preserve">Angkutan Umum </v>
          </cell>
          <cell r="AI133" t="str">
            <v>STIKIP MNC</v>
          </cell>
        </row>
        <row r="134">
          <cell r="A134">
            <v>133</v>
          </cell>
          <cell r="B134" t="str">
            <v>Mudlikah</v>
          </cell>
          <cell r="C134" t="str">
            <v>196303111987032001</v>
          </cell>
          <cell r="D134" t="str">
            <v xml:space="preserve">Pengadministrasi Persuratan pada Sub. Bagian Tata Usaha pada Bagian Umum        </v>
          </cell>
          <cell r="E134" t="str">
            <v>III/d</v>
          </cell>
          <cell r="F134" t="str">
            <v>688766492017000</v>
          </cell>
          <cell r="G134" t="str">
            <v>Penata Tk. I</v>
          </cell>
          <cell r="H134" t="str">
            <v>Melakukan Monitoring dan Evaluasi ke STIKIP MNC</v>
          </cell>
          <cell r="I134" t="str">
            <v>DKI Jakarta</v>
          </cell>
          <cell r="J134" t="str">
            <v>DKI Jakarta</v>
          </cell>
          <cell r="K134">
            <v>1</v>
          </cell>
          <cell r="L134" t="str">
            <v>05 April 2019</v>
          </cell>
          <cell r="M134" t="str">
            <v>05 April 2019</v>
          </cell>
          <cell r="N134">
            <v>524114</v>
          </cell>
          <cell r="O134" t="str">
            <v>Belanja Perjalanan Dinas Paket Meeting Dalam Kota</v>
          </cell>
          <cell r="P134" t="str">
            <v>531/L3/TU/KA.11.00/2019</v>
          </cell>
          <cell r="Q134" t="str">
            <v>29 Maret 2019</v>
          </cell>
          <cell r="R134" t="str">
            <v>ya</v>
          </cell>
          <cell r="S134">
            <v>150000</v>
          </cell>
          <cell r="T134">
            <v>3138400</v>
          </cell>
          <cell r="V134">
            <v>0</v>
          </cell>
          <cell r="W134">
            <v>0</v>
          </cell>
          <cell r="X134">
            <v>0</v>
          </cell>
          <cell r="Z134">
            <v>0</v>
          </cell>
          <cell r="AB134">
            <v>0</v>
          </cell>
          <cell r="AD134">
            <v>0</v>
          </cell>
          <cell r="AE134" t="str">
            <v>ya</v>
          </cell>
          <cell r="AF134">
            <v>210000</v>
          </cell>
          <cell r="AH134" t="str">
            <v xml:space="preserve">Angkutan Umum </v>
          </cell>
          <cell r="AI134" t="str">
            <v>STIKIP MNC</v>
          </cell>
        </row>
        <row r="135">
          <cell r="A135">
            <v>134</v>
          </cell>
          <cell r="B135" t="str">
            <v>Boy Alexandry</v>
          </cell>
          <cell r="C135" t="str">
            <v>196301091994031002</v>
          </cell>
          <cell r="D135" t="str">
            <v xml:space="preserve">Kepala Sub. Bagian Tata Usaha pada Bagian Umum                                          </v>
          </cell>
          <cell r="E135" t="str">
            <v>IV/a</v>
          </cell>
          <cell r="F135" t="str">
            <v>688766658017000</v>
          </cell>
          <cell r="G135" t="str">
            <v>Pembina</v>
          </cell>
          <cell r="H135" t="str">
            <v>Melakukan Monitoring dan Evaluasi ke STIMIK Indo Daya Suvana</v>
          </cell>
          <cell r="I135" t="str">
            <v>DKI Jakarta</v>
          </cell>
          <cell r="J135" t="str">
            <v>DKI Jakarta</v>
          </cell>
          <cell r="K135">
            <v>1</v>
          </cell>
          <cell r="L135" t="str">
            <v>05 April 2019</v>
          </cell>
          <cell r="M135" t="str">
            <v>05 April 2019</v>
          </cell>
          <cell r="N135">
            <v>524114</v>
          </cell>
          <cell r="O135" t="str">
            <v>Belanja Perjalanan Dinas Paket Meeting Dalam Kota</v>
          </cell>
          <cell r="P135" t="str">
            <v>531/L3/TU/KA.11.00/2019</v>
          </cell>
          <cell r="Q135" t="str">
            <v>29 Maret 2019</v>
          </cell>
          <cell r="R135" t="str">
            <v>ya</v>
          </cell>
          <cell r="S135">
            <v>150000</v>
          </cell>
          <cell r="T135">
            <v>3138400</v>
          </cell>
          <cell r="V135">
            <v>0</v>
          </cell>
          <cell r="W135">
            <v>0</v>
          </cell>
          <cell r="X135">
            <v>0</v>
          </cell>
          <cell r="Z135">
            <v>0</v>
          </cell>
          <cell r="AB135">
            <v>0</v>
          </cell>
          <cell r="AD135">
            <v>0</v>
          </cell>
          <cell r="AE135" t="str">
            <v>ya</v>
          </cell>
          <cell r="AF135">
            <v>210000</v>
          </cell>
          <cell r="AH135" t="str">
            <v xml:space="preserve">Angkutan Umum </v>
          </cell>
          <cell r="AI135" t="str">
            <v>STIMIK Indo Daya Suvana</v>
          </cell>
        </row>
        <row r="136">
          <cell r="A136">
            <v>135</v>
          </cell>
          <cell r="B136" t="str">
            <v>Titah Widihastuti</v>
          </cell>
          <cell r="C136" t="str">
            <v>198312302010122003</v>
          </cell>
          <cell r="D136" t="str">
            <v>Analis Sistem Informasi pada Seksi Sistem Informasi pada Bidang Kelembagaan, dan Sistem Informasi</v>
          </cell>
          <cell r="E136" t="str">
            <v>III/b</v>
          </cell>
          <cell r="F136" t="str">
            <v>678780578009000</v>
          </cell>
          <cell r="G136" t="str">
            <v>Penata Muda Tk. I</v>
          </cell>
          <cell r="H136" t="str">
            <v>Melakukan Monitoring dan Evaluasi ke STIMIK Indo Daya Suvana</v>
          </cell>
          <cell r="I136" t="str">
            <v>DKI Jakarta</v>
          </cell>
          <cell r="J136" t="str">
            <v>DKI Jakarta</v>
          </cell>
          <cell r="K136">
            <v>1</v>
          </cell>
          <cell r="L136" t="str">
            <v>05 April 2019</v>
          </cell>
          <cell r="M136" t="str">
            <v>05 April 2019</v>
          </cell>
          <cell r="N136">
            <v>524114</v>
          </cell>
          <cell r="O136" t="str">
            <v>Belanja Perjalanan Dinas Paket Meeting Dalam Kota</v>
          </cell>
          <cell r="P136" t="str">
            <v>531/L3/TU/KA.11.00/2019</v>
          </cell>
          <cell r="Q136" t="str">
            <v>29 Maret 2019</v>
          </cell>
          <cell r="R136" t="str">
            <v>ya</v>
          </cell>
          <cell r="S136">
            <v>150000</v>
          </cell>
          <cell r="T136">
            <v>3138400</v>
          </cell>
          <cell r="V136">
            <v>0</v>
          </cell>
          <cell r="W136">
            <v>0</v>
          </cell>
          <cell r="X136">
            <v>0</v>
          </cell>
          <cell r="Z136">
            <v>0</v>
          </cell>
          <cell r="AB136">
            <v>0</v>
          </cell>
          <cell r="AD136">
            <v>0</v>
          </cell>
          <cell r="AE136" t="str">
            <v>ya</v>
          </cell>
          <cell r="AF136">
            <v>210000</v>
          </cell>
          <cell r="AH136" t="str">
            <v xml:space="preserve">Angkutan Umum </v>
          </cell>
          <cell r="AI136" t="str">
            <v>STIMIK Indo Daya Suvana</v>
          </cell>
        </row>
        <row r="137">
          <cell r="A137">
            <v>136</v>
          </cell>
          <cell r="B137" t="str">
            <v>Ning Dwi Hastuti</v>
          </cell>
          <cell r="C137" t="str">
            <v>196408091988032001</v>
          </cell>
          <cell r="D137" t="str">
            <v>Pengelola Informasi Akademik pada Seksi Akademik, dan Kemahasiswaan pada Bidang Akademik, Kemahasiswaan, dan Ketenagaan</v>
          </cell>
          <cell r="E137" t="str">
            <v>III/d</v>
          </cell>
          <cell r="F137" t="str">
            <v>245328000412001</v>
          </cell>
          <cell r="G137" t="str">
            <v>Penata Tk. I</v>
          </cell>
          <cell r="H137" t="str">
            <v>Melakukan Monitoring dan Evaluasi ke STIMIK Indo Daya Suvana</v>
          </cell>
          <cell r="I137" t="str">
            <v>DKI Jakarta</v>
          </cell>
          <cell r="J137" t="str">
            <v>DKI Jakarta</v>
          </cell>
          <cell r="K137">
            <v>1</v>
          </cell>
          <cell r="L137" t="str">
            <v>05 April 2019</v>
          </cell>
          <cell r="M137" t="str">
            <v>05 April 2019</v>
          </cell>
          <cell r="N137">
            <v>524114</v>
          </cell>
          <cell r="O137" t="str">
            <v>Belanja Perjalanan Dinas Paket Meeting Dalam Kota</v>
          </cell>
          <cell r="P137" t="str">
            <v>531/L3/TU/KA.11.00/2019</v>
          </cell>
          <cell r="Q137" t="str">
            <v>29 Maret 2019</v>
          </cell>
          <cell r="R137" t="str">
            <v>ya</v>
          </cell>
          <cell r="S137">
            <v>150000</v>
          </cell>
          <cell r="T137">
            <v>3138400</v>
          </cell>
          <cell r="V137">
            <v>0</v>
          </cell>
          <cell r="W137">
            <v>0</v>
          </cell>
          <cell r="X137">
            <v>0</v>
          </cell>
          <cell r="Z137">
            <v>0</v>
          </cell>
          <cell r="AB137">
            <v>0</v>
          </cell>
          <cell r="AD137">
            <v>0</v>
          </cell>
          <cell r="AE137" t="str">
            <v>ya</v>
          </cell>
          <cell r="AF137">
            <v>210000</v>
          </cell>
          <cell r="AH137" t="str">
            <v xml:space="preserve">Angkutan Umum </v>
          </cell>
          <cell r="AI137" t="str">
            <v>STIMIK Indo Daya Suvana</v>
          </cell>
        </row>
        <row r="138">
          <cell r="A138">
            <v>137</v>
          </cell>
          <cell r="B138" t="str">
            <v>Suratmi</v>
          </cell>
          <cell r="C138" t="str">
            <v>196809101986112001</v>
          </cell>
          <cell r="D138" t="str">
            <v>Pengadministrasi Pendidik Dan Tenaga Kependidikan pada Seksi Ketenagaan pada Bidang Akademik, Kemahasiswaan, dan Ketenagaan</v>
          </cell>
          <cell r="E138" t="str">
            <v>III/b</v>
          </cell>
          <cell r="F138" t="str">
            <v>688718410412000</v>
          </cell>
          <cell r="G138" t="str">
            <v>Penata Muda Tk. I</v>
          </cell>
          <cell r="H138" t="str">
            <v>Melakukan Monitoring dan Evaluasi ke STIMIK Indo Daya Suvana</v>
          </cell>
          <cell r="I138" t="str">
            <v>DKI Jakarta</v>
          </cell>
          <cell r="J138" t="str">
            <v>DKI Jakarta</v>
          </cell>
          <cell r="K138">
            <v>1</v>
          </cell>
          <cell r="L138" t="str">
            <v>05 April 2019</v>
          </cell>
          <cell r="M138" t="str">
            <v>05 April 2019</v>
          </cell>
          <cell r="N138">
            <v>524114</v>
          </cell>
          <cell r="O138" t="str">
            <v>Belanja Perjalanan Dinas Paket Meeting Dalam Kota</v>
          </cell>
          <cell r="P138" t="str">
            <v>531/L3/TU/KA.11.00/2019</v>
          </cell>
          <cell r="Q138" t="str">
            <v>29 Maret 2019</v>
          </cell>
          <cell r="R138" t="str">
            <v>ya</v>
          </cell>
          <cell r="S138">
            <v>150000</v>
          </cell>
          <cell r="T138">
            <v>3138400</v>
          </cell>
          <cell r="V138">
            <v>0</v>
          </cell>
          <cell r="W138">
            <v>0</v>
          </cell>
          <cell r="X138">
            <v>0</v>
          </cell>
          <cell r="Z138">
            <v>0</v>
          </cell>
          <cell r="AB138">
            <v>0</v>
          </cell>
          <cell r="AD138">
            <v>0</v>
          </cell>
          <cell r="AE138" t="str">
            <v>ya</v>
          </cell>
          <cell r="AF138">
            <v>210000</v>
          </cell>
          <cell r="AH138" t="str">
            <v xml:space="preserve">Angkutan Umum </v>
          </cell>
          <cell r="AI138" t="str">
            <v>STIMIK Indo Daya Suvana</v>
          </cell>
        </row>
        <row r="139">
          <cell r="A139">
            <v>138</v>
          </cell>
          <cell r="B139" t="str">
            <v>Elih Ermawati</v>
          </cell>
          <cell r="C139" t="str">
            <v>198609152009122006</v>
          </cell>
          <cell r="D139" t="str">
            <v>Pengelola Keuangan pada Sub. Bagian Keuangan pada Bagian Umum</v>
          </cell>
          <cell r="E139" t="str">
            <v>II/d</v>
          </cell>
          <cell r="F139" t="str">
            <v>697161602432000</v>
          </cell>
          <cell r="G139" t="str">
            <v>Pengatur Tk. I</v>
          </cell>
          <cell r="H139" t="str">
            <v>Melakukan Monitoring dan Evaluasi ke STIMIK Indo Daya Suvana</v>
          </cell>
          <cell r="I139" t="str">
            <v>DKI Jakarta</v>
          </cell>
          <cell r="J139" t="str">
            <v>DKI Jakarta</v>
          </cell>
          <cell r="K139">
            <v>1</v>
          </cell>
          <cell r="L139" t="str">
            <v>05 April 2019</v>
          </cell>
          <cell r="M139" t="str">
            <v>05 April 2019</v>
          </cell>
          <cell r="N139">
            <v>524114</v>
          </cell>
          <cell r="O139" t="str">
            <v>Belanja Perjalanan Dinas Paket Meeting Dalam Kota</v>
          </cell>
          <cell r="P139" t="str">
            <v>531/L3/TU/KA.11.00/2019</v>
          </cell>
          <cell r="Q139" t="str">
            <v>29 Maret 2019</v>
          </cell>
          <cell r="R139" t="str">
            <v>ya</v>
          </cell>
          <cell r="S139">
            <v>150000</v>
          </cell>
          <cell r="T139">
            <v>3138400</v>
          </cell>
          <cell r="V139">
            <v>0</v>
          </cell>
          <cell r="W139">
            <v>0</v>
          </cell>
          <cell r="X139">
            <v>0</v>
          </cell>
          <cell r="Z139">
            <v>0</v>
          </cell>
          <cell r="AB139">
            <v>0</v>
          </cell>
          <cell r="AD139">
            <v>0</v>
          </cell>
          <cell r="AE139" t="str">
            <v>ya</v>
          </cell>
          <cell r="AF139">
            <v>210000</v>
          </cell>
          <cell r="AH139" t="str">
            <v xml:space="preserve">Angkutan Umum </v>
          </cell>
          <cell r="AI139" t="str">
            <v>STIMIK Indo Daya Suvana</v>
          </cell>
        </row>
        <row r="140">
          <cell r="A140">
            <v>139</v>
          </cell>
          <cell r="B140" t="str">
            <v>Yulianti AS</v>
          </cell>
          <cell r="C140" t="str">
            <v>196507041987032001</v>
          </cell>
          <cell r="D140" t="str">
            <v>Kepala Sub. Bagian Keuangan pada Bagian Umum</v>
          </cell>
          <cell r="E140" t="str">
            <v>III/d</v>
          </cell>
          <cell r="F140" t="str">
            <v>184018083009000</v>
          </cell>
          <cell r="G140" t="str">
            <v>Penata Tk. I</v>
          </cell>
          <cell r="H140" t="str">
            <v>Melakukan Monitoring dan Evaluasi ke Sekolah Tinggi Ilmu Ekonomi Dr. Moechtar Thalib</v>
          </cell>
          <cell r="I140" t="str">
            <v>DKI Jakarta</v>
          </cell>
          <cell r="J140" t="str">
            <v>DKI Jakarta</v>
          </cell>
          <cell r="K140">
            <v>1</v>
          </cell>
          <cell r="L140" t="str">
            <v>09 April 2019</v>
          </cell>
          <cell r="M140" t="str">
            <v>09 April 2019</v>
          </cell>
          <cell r="N140">
            <v>524114</v>
          </cell>
          <cell r="O140" t="str">
            <v>Belanja Perjalanan Dinas Paket Meeting Dalam Kota</v>
          </cell>
          <cell r="P140" t="str">
            <v>531/L3/TU/KA.11.00/2019</v>
          </cell>
          <cell r="Q140" t="str">
            <v>29 Maret 2019</v>
          </cell>
          <cell r="R140" t="str">
            <v>ya</v>
          </cell>
          <cell r="S140">
            <v>150000</v>
          </cell>
          <cell r="T140">
            <v>3138400</v>
          </cell>
          <cell r="V140">
            <v>0</v>
          </cell>
          <cell r="W140">
            <v>0</v>
          </cell>
          <cell r="X140">
            <v>0</v>
          </cell>
          <cell r="Z140">
            <v>0</v>
          </cell>
          <cell r="AB140">
            <v>0</v>
          </cell>
          <cell r="AD140">
            <v>0</v>
          </cell>
          <cell r="AE140" t="str">
            <v>ya</v>
          </cell>
          <cell r="AF140">
            <v>210000</v>
          </cell>
          <cell r="AH140" t="str">
            <v xml:space="preserve">Angkutan Umum </v>
          </cell>
          <cell r="AI140" t="str">
            <v>Sekolah Tinggi Ilmu Ekonomi Dr. Moechtar Thalib</v>
          </cell>
        </row>
        <row r="141">
          <cell r="A141">
            <v>140</v>
          </cell>
          <cell r="B141" t="str">
            <v>Tri Munanto</v>
          </cell>
          <cell r="C141" t="str">
            <v>198601212010121003</v>
          </cell>
          <cell r="D141" t="str">
            <v>Analis Kelembagaan pada Seksi Kelembagaan, dan Kerjasama pada Bidang Kelembagaan, dan Sistem Informasi</v>
          </cell>
          <cell r="E141" t="str">
            <v>III/b</v>
          </cell>
          <cell r="F141" t="str">
            <v>248877086013000</v>
          </cell>
          <cell r="G141" t="str">
            <v>Penata Muda Tk. I</v>
          </cell>
          <cell r="H141" t="str">
            <v>Melakukan Monitoring dan Evaluasi ke Sekolah Tinggi Ilmu Ekonomi Dr. Moechtar Thalib</v>
          </cell>
          <cell r="I141" t="str">
            <v>DKI Jakarta</v>
          </cell>
          <cell r="J141" t="str">
            <v>DKI Jakarta</v>
          </cell>
          <cell r="K141">
            <v>1</v>
          </cell>
          <cell r="L141" t="str">
            <v>09 April 2019</v>
          </cell>
          <cell r="M141" t="str">
            <v>09 April 2019</v>
          </cell>
          <cell r="N141">
            <v>524114</v>
          </cell>
          <cell r="O141" t="str">
            <v>Belanja Perjalanan Dinas Paket Meeting Dalam Kota</v>
          </cell>
          <cell r="P141" t="str">
            <v>531/L3/TU/KA.11.00/2019</v>
          </cell>
          <cell r="Q141" t="str">
            <v>29 Maret 2019</v>
          </cell>
          <cell r="R141" t="str">
            <v>ya</v>
          </cell>
          <cell r="S141">
            <v>150000</v>
          </cell>
          <cell r="T141">
            <v>3138400</v>
          </cell>
          <cell r="V141">
            <v>0</v>
          </cell>
          <cell r="W141">
            <v>0</v>
          </cell>
          <cell r="X141">
            <v>0</v>
          </cell>
          <cell r="Z141">
            <v>0</v>
          </cell>
          <cell r="AB141">
            <v>0</v>
          </cell>
          <cell r="AD141">
            <v>0</v>
          </cell>
          <cell r="AE141" t="str">
            <v>ya</v>
          </cell>
          <cell r="AF141">
            <v>210000</v>
          </cell>
          <cell r="AH141" t="str">
            <v xml:space="preserve">Angkutan Umum </v>
          </cell>
          <cell r="AI141" t="str">
            <v>Sekolah Tinggi Ilmu Ekonomi Dr. Moechtar Thalib</v>
          </cell>
        </row>
        <row r="142">
          <cell r="A142">
            <v>141</v>
          </cell>
          <cell r="B142" t="str">
            <v>Adhy Purnama</v>
          </cell>
          <cell r="C142" t="str">
            <v>198104182010121002</v>
          </cell>
          <cell r="D142" t="str">
            <v>Pengadministrasi Akademik pada Seksi Akademik, dan Kemahasiswaan pada Bidang Akademik, Kemahasiswaan, dan Ketenagaan</v>
          </cell>
          <cell r="E142" t="str">
            <v>III/b</v>
          </cell>
          <cell r="F142" t="str">
            <v>594386401426000</v>
          </cell>
          <cell r="G142" t="str">
            <v>Penata Muda Tk. I</v>
          </cell>
          <cell r="H142" t="str">
            <v>Melakukan Monitoring dan Evaluasi ke Sekolah Tinggi Ilmu Ekonomi Dr. Moechtar Thalib</v>
          </cell>
          <cell r="I142" t="str">
            <v>DKI Jakarta</v>
          </cell>
          <cell r="J142" t="str">
            <v>DKI Jakarta</v>
          </cell>
          <cell r="K142">
            <v>1</v>
          </cell>
          <cell r="L142" t="str">
            <v>09 April 2019</v>
          </cell>
          <cell r="M142" t="str">
            <v>09 April 2019</v>
          </cell>
          <cell r="N142">
            <v>524114</v>
          </cell>
          <cell r="O142" t="str">
            <v>Belanja Perjalanan Dinas Paket Meeting Dalam Kota</v>
          </cell>
          <cell r="P142" t="str">
            <v>531/L3/TU/KA.11.00/2019</v>
          </cell>
          <cell r="Q142" t="str">
            <v>29 Maret 2019</v>
          </cell>
          <cell r="R142" t="str">
            <v>ya</v>
          </cell>
          <cell r="S142">
            <v>150000</v>
          </cell>
          <cell r="T142">
            <v>3138400</v>
          </cell>
          <cell r="V142">
            <v>0</v>
          </cell>
          <cell r="W142">
            <v>0</v>
          </cell>
          <cell r="X142">
            <v>0</v>
          </cell>
          <cell r="Z142">
            <v>0</v>
          </cell>
          <cell r="AB142">
            <v>0</v>
          </cell>
          <cell r="AD142">
            <v>0</v>
          </cell>
          <cell r="AE142" t="str">
            <v>ya</v>
          </cell>
          <cell r="AF142">
            <v>210000</v>
          </cell>
          <cell r="AH142" t="str">
            <v xml:space="preserve">Angkutan Umum </v>
          </cell>
          <cell r="AI142" t="str">
            <v>Sekolah Tinggi Ilmu Ekonomi Dr. Moechtar Thalib</v>
          </cell>
        </row>
        <row r="143">
          <cell r="A143">
            <v>142</v>
          </cell>
          <cell r="B143" t="str">
            <v>Sujono</v>
          </cell>
          <cell r="C143" t="str">
            <v>196312131987031003</v>
          </cell>
          <cell r="D143" t="str">
            <v xml:space="preserve">Pengadministrasi Persuratan pada Sub. Bagian Tata Usaha pada Bagian Umum  </v>
          </cell>
          <cell r="E143" t="str">
            <v>III/b</v>
          </cell>
          <cell r="F143" t="str">
            <v>688766245412000</v>
          </cell>
          <cell r="G143" t="str">
            <v>Penata Muda Tk. I</v>
          </cell>
          <cell r="H143" t="str">
            <v>Melakukan Monitoring dan Evaluasi ke Sekolah Tinggi Ilmu Ekonomi Dr. Moechtar Thalib</v>
          </cell>
          <cell r="I143" t="str">
            <v>DKI Jakarta</v>
          </cell>
          <cell r="J143" t="str">
            <v>DKI Jakarta</v>
          </cell>
          <cell r="K143">
            <v>1</v>
          </cell>
          <cell r="L143" t="str">
            <v>09 April 2019</v>
          </cell>
          <cell r="M143" t="str">
            <v>09 April 2019</v>
          </cell>
          <cell r="N143">
            <v>524114</v>
          </cell>
          <cell r="O143" t="str">
            <v>Belanja Perjalanan Dinas Paket Meeting Dalam Kota</v>
          </cell>
          <cell r="P143" t="str">
            <v>531/L3/TU/KA.11.00/2019</v>
          </cell>
          <cell r="Q143" t="str">
            <v>29 Maret 2019</v>
          </cell>
          <cell r="R143" t="str">
            <v>ya</v>
          </cell>
          <cell r="S143">
            <v>150000</v>
          </cell>
          <cell r="T143">
            <v>3138400</v>
          </cell>
          <cell r="V143">
            <v>0</v>
          </cell>
          <cell r="W143">
            <v>0</v>
          </cell>
          <cell r="X143">
            <v>0</v>
          </cell>
          <cell r="Z143">
            <v>0</v>
          </cell>
          <cell r="AB143">
            <v>0</v>
          </cell>
          <cell r="AD143">
            <v>0</v>
          </cell>
          <cell r="AE143" t="str">
            <v>ya</v>
          </cell>
          <cell r="AF143">
            <v>210000</v>
          </cell>
          <cell r="AH143" t="str">
            <v xml:space="preserve">Angkutan Umum </v>
          </cell>
          <cell r="AI143" t="str">
            <v>Sekolah Tinggi Ilmu Ekonomi Dr. Moechtar Thalib</v>
          </cell>
        </row>
        <row r="144">
          <cell r="A144">
            <v>143</v>
          </cell>
          <cell r="B144" t="str">
            <v>Prayitno</v>
          </cell>
          <cell r="C144" t="str">
            <v>-</v>
          </cell>
          <cell r="D144" t="str">
            <v>PPNPN</v>
          </cell>
          <cell r="E144" t="str">
            <v>-</v>
          </cell>
          <cell r="F144" t="str">
            <v>695075515061000</v>
          </cell>
          <cell r="G144" t="str">
            <v>-</v>
          </cell>
          <cell r="H144" t="str">
            <v>Melakukan Monitoring dan Evaluasi ke Sekolah Tinggi Ilmu Ekonomi Dr. Moechtar Thalib</v>
          </cell>
          <cell r="I144" t="str">
            <v>DKI Jakarta</v>
          </cell>
          <cell r="J144" t="str">
            <v>DKI Jakarta</v>
          </cell>
          <cell r="K144">
            <v>1</v>
          </cell>
          <cell r="L144" t="str">
            <v>09 April 2019</v>
          </cell>
          <cell r="M144" t="str">
            <v>09 April 2019</v>
          </cell>
          <cell r="N144">
            <v>524114</v>
          </cell>
          <cell r="O144" t="str">
            <v>Belanja Perjalanan Dinas Paket Meeting Dalam Kota</v>
          </cell>
          <cell r="P144" t="str">
            <v>531/L3/TU/KA.11.00/2019</v>
          </cell>
          <cell r="Q144" t="str">
            <v>29 Maret 2019</v>
          </cell>
          <cell r="R144" t="str">
            <v>ya</v>
          </cell>
          <cell r="S144">
            <v>150000</v>
          </cell>
          <cell r="T144">
            <v>3138400</v>
          </cell>
          <cell r="V144">
            <v>0</v>
          </cell>
          <cell r="W144">
            <v>0</v>
          </cell>
          <cell r="X144">
            <v>0</v>
          </cell>
          <cell r="Z144">
            <v>0</v>
          </cell>
          <cell r="AB144">
            <v>0</v>
          </cell>
          <cell r="AD144">
            <v>0</v>
          </cell>
          <cell r="AE144" t="str">
            <v>ya</v>
          </cell>
          <cell r="AF144">
            <v>210000</v>
          </cell>
          <cell r="AH144" t="str">
            <v xml:space="preserve">Angkutan Umum </v>
          </cell>
          <cell r="AI144" t="str">
            <v>Sekolah Tinggi Ilmu Ekonomi Dr. Moechtar Thalib</v>
          </cell>
        </row>
        <row r="145">
          <cell r="A145">
            <v>144</v>
          </cell>
          <cell r="B145" t="str">
            <v>Bachrudin</v>
          </cell>
          <cell r="C145" t="str">
            <v>196312181988101001</v>
          </cell>
          <cell r="D145" t="str">
            <v>Analis Kompetensi  pada Seksi Ketenagaan pada Bidang Akademik, Kemahasiswaan, dan Ketenagaan</v>
          </cell>
          <cell r="E145" t="str">
            <v>III/d</v>
          </cell>
          <cell r="F145" t="str">
            <v>688766708403000</v>
          </cell>
          <cell r="G145" t="str">
            <v>Penata Tk. I</v>
          </cell>
          <cell r="H145" t="str">
            <v>Melakukan Monitoring dan Evaluasi ke STIKES Mitra Ria Husada</v>
          </cell>
          <cell r="I145" t="str">
            <v>DKI Jakarta</v>
          </cell>
          <cell r="J145" t="str">
            <v>DKI Jakarta</v>
          </cell>
          <cell r="K145">
            <v>1</v>
          </cell>
          <cell r="L145" t="str">
            <v>09 April 2019</v>
          </cell>
          <cell r="M145" t="str">
            <v>09 April 2019</v>
          </cell>
          <cell r="N145">
            <v>524114</v>
          </cell>
          <cell r="O145" t="str">
            <v>Belanja Perjalanan Dinas Paket Meeting Dalam Kota</v>
          </cell>
          <cell r="P145" t="str">
            <v>531/L3/TU/KA.11.00/2019</v>
          </cell>
          <cell r="Q145" t="str">
            <v>29 Maret 2019</v>
          </cell>
          <cell r="R145" t="str">
            <v>ya</v>
          </cell>
          <cell r="S145">
            <v>150000</v>
          </cell>
          <cell r="T145">
            <v>3138400</v>
          </cell>
          <cell r="V145">
            <v>0</v>
          </cell>
          <cell r="W145">
            <v>0</v>
          </cell>
          <cell r="X145">
            <v>0</v>
          </cell>
          <cell r="Z145">
            <v>0</v>
          </cell>
          <cell r="AB145">
            <v>0</v>
          </cell>
          <cell r="AD145">
            <v>0</v>
          </cell>
          <cell r="AE145" t="str">
            <v>ya</v>
          </cell>
          <cell r="AF145">
            <v>210000</v>
          </cell>
          <cell r="AH145" t="str">
            <v xml:space="preserve">Angkutan Umum </v>
          </cell>
          <cell r="AI145" t="str">
            <v>STIKES Mitra Ria Husada</v>
          </cell>
        </row>
        <row r="146">
          <cell r="A146">
            <v>145</v>
          </cell>
          <cell r="B146" t="str">
            <v>Ikhsan Riyanda</v>
          </cell>
          <cell r="C146" t="str">
            <v>198303202010121003</v>
          </cell>
          <cell r="D146" t="str">
            <v>Pengelola Keuangan pada Sub. Bagian Keuangan pada Bagian Umum</v>
          </cell>
          <cell r="E146" t="str">
            <v>III/b</v>
          </cell>
          <cell r="F146" t="str">
            <v>263956575412000</v>
          </cell>
          <cell r="G146" t="str">
            <v>Penata Muda Tk. I</v>
          </cell>
          <cell r="H146" t="str">
            <v>Melakukan Monitoring dan Evaluasi ke STIKES Mitra Ria Husada</v>
          </cell>
          <cell r="I146" t="str">
            <v>DKI Jakarta</v>
          </cell>
          <cell r="J146" t="str">
            <v>DKI Jakarta</v>
          </cell>
          <cell r="K146">
            <v>1</v>
          </cell>
          <cell r="L146" t="str">
            <v>09 April 2019</v>
          </cell>
          <cell r="M146" t="str">
            <v>09 April 2019</v>
          </cell>
          <cell r="N146">
            <v>524114</v>
          </cell>
          <cell r="O146" t="str">
            <v>Belanja Perjalanan Dinas Paket Meeting Dalam Kota</v>
          </cell>
          <cell r="P146" t="str">
            <v>531/L3/TU/KA.11.00/2019</v>
          </cell>
          <cell r="Q146" t="str">
            <v>29 Maret 2019</v>
          </cell>
          <cell r="R146" t="str">
            <v>ya</v>
          </cell>
          <cell r="S146">
            <v>150000</v>
          </cell>
          <cell r="T146">
            <v>3138400</v>
          </cell>
          <cell r="V146">
            <v>0</v>
          </cell>
          <cell r="W146">
            <v>0</v>
          </cell>
          <cell r="X146">
            <v>0</v>
          </cell>
          <cell r="Z146">
            <v>0</v>
          </cell>
          <cell r="AB146">
            <v>0</v>
          </cell>
          <cell r="AD146">
            <v>0</v>
          </cell>
          <cell r="AE146" t="str">
            <v>ya</v>
          </cell>
          <cell r="AF146">
            <v>210000</v>
          </cell>
          <cell r="AH146" t="str">
            <v xml:space="preserve">Angkutan Umum </v>
          </cell>
          <cell r="AI146" t="str">
            <v>STIKES Mitra Ria Husada</v>
          </cell>
        </row>
        <row r="147">
          <cell r="A147">
            <v>146</v>
          </cell>
          <cell r="B147" t="str">
            <v>Herlina</v>
          </cell>
          <cell r="C147" t="str">
            <v>197004171992032002</v>
          </cell>
          <cell r="D147" t="str">
            <v>Pengelola Kepegawaian pada Sub. Bagian Kepegawaian pada Bagian Umum</v>
          </cell>
          <cell r="E147" t="str">
            <v>IV/a</v>
          </cell>
          <cell r="F147" t="str">
            <v>688766690005000</v>
          </cell>
          <cell r="G147" t="str">
            <v>Pembina</v>
          </cell>
          <cell r="H147" t="str">
            <v>Melakukan Monitoring dan Evaluasi ke STIKES Mitra Ria Husada</v>
          </cell>
          <cell r="I147" t="str">
            <v>DKI Jakarta</v>
          </cell>
          <cell r="J147" t="str">
            <v>DKI Jakarta</v>
          </cell>
          <cell r="K147">
            <v>1</v>
          </cell>
          <cell r="L147" t="str">
            <v>09 April 2019</v>
          </cell>
          <cell r="M147" t="str">
            <v>09 April 2019</v>
          </cell>
          <cell r="N147">
            <v>524114</v>
          </cell>
          <cell r="O147" t="str">
            <v>Belanja Perjalanan Dinas Paket Meeting Dalam Kota</v>
          </cell>
          <cell r="P147" t="str">
            <v>531/L3/TU/KA.11.00/2019</v>
          </cell>
          <cell r="Q147" t="str">
            <v>29 Maret 2019</v>
          </cell>
          <cell r="R147" t="str">
            <v>ya</v>
          </cell>
          <cell r="S147">
            <v>150000</v>
          </cell>
          <cell r="T147">
            <v>3138400</v>
          </cell>
          <cell r="V147">
            <v>0</v>
          </cell>
          <cell r="W147">
            <v>0</v>
          </cell>
          <cell r="X147">
            <v>0</v>
          </cell>
          <cell r="Z147">
            <v>0</v>
          </cell>
          <cell r="AB147">
            <v>0</v>
          </cell>
          <cell r="AD147">
            <v>0</v>
          </cell>
          <cell r="AE147" t="str">
            <v>ya</v>
          </cell>
          <cell r="AF147">
            <v>210000</v>
          </cell>
          <cell r="AH147" t="str">
            <v xml:space="preserve">Angkutan Umum </v>
          </cell>
          <cell r="AI147" t="str">
            <v>STIKES Mitra Ria Husada</v>
          </cell>
        </row>
        <row r="148">
          <cell r="A148">
            <v>147</v>
          </cell>
          <cell r="B148" t="str">
            <v>Putranto</v>
          </cell>
          <cell r="C148" t="str">
            <v>196307051982011001</v>
          </cell>
          <cell r="D148" t="str">
            <v xml:space="preserve">Pengadministrasi Umum pada Sub. Bagian Tata Usaha pada Bagian Umum                               </v>
          </cell>
          <cell r="E148" t="str">
            <v>II/c</v>
          </cell>
          <cell r="F148" t="str">
            <v>250736410412000</v>
          </cell>
          <cell r="G148" t="str">
            <v>Pengatur</v>
          </cell>
          <cell r="H148" t="str">
            <v>Melakukan Monitoring dan Evaluasi ke STIKES Mitra Ria Husada</v>
          </cell>
          <cell r="I148" t="str">
            <v>DKI Jakarta</v>
          </cell>
          <cell r="J148" t="str">
            <v>DKI Jakarta</v>
          </cell>
          <cell r="K148">
            <v>1</v>
          </cell>
          <cell r="L148" t="str">
            <v>09 April 2019</v>
          </cell>
          <cell r="M148" t="str">
            <v>09 April 2019</v>
          </cell>
          <cell r="N148">
            <v>524114</v>
          </cell>
          <cell r="O148" t="str">
            <v>Belanja Perjalanan Dinas Paket Meeting Dalam Kota</v>
          </cell>
          <cell r="P148" t="str">
            <v>531/L3/TU/KA.11.00/2019</v>
          </cell>
          <cell r="Q148" t="str">
            <v>29 Maret 2019</v>
          </cell>
          <cell r="R148" t="str">
            <v>ya</v>
          </cell>
          <cell r="S148">
            <v>150000</v>
          </cell>
          <cell r="T148">
            <v>3138400</v>
          </cell>
          <cell r="V148">
            <v>0</v>
          </cell>
          <cell r="W148">
            <v>0</v>
          </cell>
          <cell r="X148">
            <v>0</v>
          </cell>
          <cell r="Z148">
            <v>0</v>
          </cell>
          <cell r="AB148">
            <v>0</v>
          </cell>
          <cell r="AD148">
            <v>0</v>
          </cell>
          <cell r="AE148" t="str">
            <v>ya</v>
          </cell>
          <cell r="AF148">
            <v>210000</v>
          </cell>
          <cell r="AH148" t="str">
            <v xml:space="preserve">Angkutan Umum </v>
          </cell>
          <cell r="AI148" t="str">
            <v>STIKES Mitra Ria Husada</v>
          </cell>
        </row>
        <row r="149">
          <cell r="A149">
            <v>148</v>
          </cell>
          <cell r="B149" t="str">
            <v>Ibnu Syarif</v>
          </cell>
          <cell r="C149" t="str">
            <v>196411271987031002</v>
          </cell>
          <cell r="D149" t="str">
            <v>Petugas Keamanan pada Sub. Bagian Tata Usaha pada Bagian Umum</v>
          </cell>
          <cell r="E149" t="str">
            <v>II/c</v>
          </cell>
          <cell r="F149" t="str">
            <v>688766328024000</v>
          </cell>
          <cell r="G149" t="str">
            <v>Pengatur</v>
          </cell>
          <cell r="H149" t="str">
            <v>Melakukan Monitoring dan Evaluasi ke STIKES Mitra Ria Husada</v>
          </cell>
          <cell r="I149" t="str">
            <v>DKI Jakarta</v>
          </cell>
          <cell r="J149" t="str">
            <v>DKI Jakarta</v>
          </cell>
          <cell r="K149">
            <v>1</v>
          </cell>
          <cell r="L149" t="str">
            <v>09 April 2019</v>
          </cell>
          <cell r="M149" t="str">
            <v>09 April 2019</v>
          </cell>
          <cell r="N149">
            <v>524114</v>
          </cell>
          <cell r="O149" t="str">
            <v>Belanja Perjalanan Dinas Paket Meeting Dalam Kota</v>
          </cell>
          <cell r="P149" t="str">
            <v>531/L3/TU/KA.11.00/2019</v>
          </cell>
          <cell r="Q149" t="str">
            <v>29 Maret 2019</v>
          </cell>
          <cell r="R149" t="str">
            <v>ya</v>
          </cell>
          <cell r="S149">
            <v>150000</v>
          </cell>
          <cell r="T149">
            <v>3138400</v>
          </cell>
          <cell r="V149">
            <v>0</v>
          </cell>
          <cell r="W149">
            <v>0</v>
          </cell>
          <cell r="X149">
            <v>0</v>
          </cell>
          <cell r="Z149">
            <v>0</v>
          </cell>
          <cell r="AB149">
            <v>0</v>
          </cell>
          <cell r="AD149">
            <v>0</v>
          </cell>
          <cell r="AE149" t="str">
            <v>ya</v>
          </cell>
          <cell r="AF149">
            <v>210000</v>
          </cell>
          <cell r="AH149" t="str">
            <v xml:space="preserve">Angkutan Umum </v>
          </cell>
          <cell r="AI149" t="str">
            <v>STIKES Mitra Ria Husada</v>
          </cell>
        </row>
        <row r="150">
          <cell r="A150">
            <v>149</v>
          </cell>
          <cell r="B150" t="str">
            <v>Sugiarto</v>
          </cell>
          <cell r="C150" t="str">
            <v>196303021985101001</v>
          </cell>
          <cell r="D150" t="str">
            <v>Pengelola Informasi Kerjasama pada Seksi Kelembagaan, dan Kerjasama pada Bidang Kelembagaan, dan Sistem Informasi</v>
          </cell>
          <cell r="E150" t="str">
            <v>III/b</v>
          </cell>
          <cell r="F150" t="str">
            <v>688766377024000</v>
          </cell>
          <cell r="G150" t="str">
            <v>Penata Muda Tk. I</v>
          </cell>
          <cell r="H150" t="str">
            <v>Melakukan Monitoring dan Evaluasi ke Sekolah Tinggi Desain Interstudi</v>
          </cell>
          <cell r="I150" t="str">
            <v>DKI Jakarta</v>
          </cell>
          <cell r="J150" t="str">
            <v>DKI Jakarta</v>
          </cell>
          <cell r="K150">
            <v>1</v>
          </cell>
          <cell r="L150" t="str">
            <v>11 April 2019</v>
          </cell>
          <cell r="M150" t="str">
            <v>11 April 2019</v>
          </cell>
          <cell r="N150">
            <v>524114</v>
          </cell>
          <cell r="O150" t="str">
            <v>Belanja Perjalanan Dinas Paket Meeting Dalam Kota</v>
          </cell>
          <cell r="P150" t="str">
            <v>531/L3/TU/KA.11.00/2019</v>
          </cell>
          <cell r="Q150" t="str">
            <v>29 Maret 2019</v>
          </cell>
          <cell r="R150" t="str">
            <v>ya</v>
          </cell>
          <cell r="S150">
            <v>150000</v>
          </cell>
          <cell r="T150">
            <v>3138400</v>
          </cell>
          <cell r="V150">
            <v>0</v>
          </cell>
          <cell r="W150">
            <v>0</v>
          </cell>
          <cell r="X150">
            <v>0</v>
          </cell>
          <cell r="Z150">
            <v>0</v>
          </cell>
          <cell r="AB150">
            <v>0</v>
          </cell>
          <cell r="AD150">
            <v>0</v>
          </cell>
          <cell r="AE150" t="str">
            <v>ya</v>
          </cell>
          <cell r="AF150">
            <v>210000</v>
          </cell>
          <cell r="AH150" t="str">
            <v xml:space="preserve">Angkutan Umum </v>
          </cell>
          <cell r="AI150" t="str">
            <v>Sekolah Tinggi Desain Interstudi</v>
          </cell>
        </row>
        <row r="151">
          <cell r="A151">
            <v>150</v>
          </cell>
          <cell r="B151" t="str">
            <v>Titah Widihastuti</v>
          </cell>
          <cell r="C151" t="str">
            <v>198312302010122003</v>
          </cell>
          <cell r="D151" t="str">
            <v>Analis Sistem Informasi pada Seksi Sistem Informasi pada Bidang Kelembagaan, dan Sistem Informasi</v>
          </cell>
          <cell r="E151" t="str">
            <v>III/b</v>
          </cell>
          <cell r="F151" t="str">
            <v>678780578009000</v>
          </cell>
          <cell r="G151" t="str">
            <v>Penata Muda Tk. I</v>
          </cell>
          <cell r="H151" t="str">
            <v>Melakukan Monitoring dan Evaluasi ke Sekolah Tinggi Desain Interstudi</v>
          </cell>
          <cell r="I151" t="str">
            <v>DKI Jakarta</v>
          </cell>
          <cell r="J151" t="str">
            <v>DKI Jakarta</v>
          </cell>
          <cell r="K151">
            <v>1</v>
          </cell>
          <cell r="L151" t="str">
            <v>11 April 2019</v>
          </cell>
          <cell r="M151" t="str">
            <v>11 April 2019</v>
          </cell>
          <cell r="N151">
            <v>524114</v>
          </cell>
          <cell r="O151" t="str">
            <v>Belanja Perjalanan Dinas Paket Meeting Dalam Kota</v>
          </cell>
          <cell r="P151" t="str">
            <v>531/L3/TU/KA.11.00/2019</v>
          </cell>
          <cell r="Q151" t="str">
            <v>29 Maret 2019</v>
          </cell>
          <cell r="R151" t="str">
            <v>ya</v>
          </cell>
          <cell r="S151">
            <v>150000</v>
          </cell>
          <cell r="T151">
            <v>3138400</v>
          </cell>
          <cell r="V151">
            <v>0</v>
          </cell>
          <cell r="W151">
            <v>0</v>
          </cell>
          <cell r="X151">
            <v>0</v>
          </cell>
          <cell r="Z151">
            <v>0</v>
          </cell>
          <cell r="AB151">
            <v>0</v>
          </cell>
          <cell r="AD151">
            <v>0</v>
          </cell>
          <cell r="AE151" t="str">
            <v>ya</v>
          </cell>
          <cell r="AF151">
            <v>210000</v>
          </cell>
          <cell r="AH151" t="str">
            <v xml:space="preserve">Angkutan Umum </v>
          </cell>
          <cell r="AI151" t="str">
            <v>Sekolah Tinggi Desain Interstudi</v>
          </cell>
        </row>
        <row r="152">
          <cell r="A152">
            <v>151</v>
          </cell>
          <cell r="B152" t="str">
            <v>Ning Dwi Hastuti</v>
          </cell>
          <cell r="C152" t="str">
            <v>196408091988032001</v>
          </cell>
          <cell r="D152" t="str">
            <v>Pengelola Informasi Akademik pada Seksi Akademik, dan Kemahasiswaan pada Bidang Akademik, Kemahasiswaan, dan Ketenagaan</v>
          </cell>
          <cell r="E152" t="str">
            <v>III/d</v>
          </cell>
          <cell r="F152" t="str">
            <v>245328000412001</v>
          </cell>
          <cell r="G152" t="str">
            <v>Penata Tk. I</v>
          </cell>
          <cell r="H152" t="str">
            <v>Melakukan Monitoring dan Evaluasi ke Sekolah Tinggi Desain Interstudi</v>
          </cell>
          <cell r="I152" t="str">
            <v>DKI Jakarta</v>
          </cell>
          <cell r="J152" t="str">
            <v>DKI Jakarta</v>
          </cell>
          <cell r="K152">
            <v>1</v>
          </cell>
          <cell r="L152" t="str">
            <v>11 April 2019</v>
          </cell>
          <cell r="M152" t="str">
            <v>11 April 2019</v>
          </cell>
          <cell r="N152">
            <v>524114</v>
          </cell>
          <cell r="O152" t="str">
            <v>Belanja Perjalanan Dinas Paket Meeting Dalam Kota</v>
          </cell>
          <cell r="P152" t="str">
            <v>531/L3/TU/KA.11.00/2019</v>
          </cell>
          <cell r="Q152" t="str">
            <v>29 Maret 2019</v>
          </cell>
          <cell r="R152" t="str">
            <v>ya</v>
          </cell>
          <cell r="S152">
            <v>150000</v>
          </cell>
          <cell r="T152">
            <v>3138400</v>
          </cell>
          <cell r="V152">
            <v>0</v>
          </cell>
          <cell r="W152">
            <v>0</v>
          </cell>
          <cell r="X152">
            <v>0</v>
          </cell>
          <cell r="Z152">
            <v>0</v>
          </cell>
          <cell r="AB152">
            <v>0</v>
          </cell>
          <cell r="AD152">
            <v>0</v>
          </cell>
          <cell r="AE152" t="str">
            <v>ya</v>
          </cell>
          <cell r="AF152">
            <v>210000</v>
          </cell>
          <cell r="AH152" t="str">
            <v xml:space="preserve">Angkutan Umum </v>
          </cell>
          <cell r="AI152" t="str">
            <v>Sekolah Tinggi Desain Interstudi</v>
          </cell>
        </row>
        <row r="153">
          <cell r="A153">
            <v>152</v>
          </cell>
          <cell r="B153" t="str">
            <v>Suratmi</v>
          </cell>
          <cell r="C153" t="str">
            <v>196809101986112001</v>
          </cell>
          <cell r="D153" t="str">
            <v>Pengadministrasi Pendidik Dan Tenaga Kependidikan pada Seksi Ketenagaan pada Bidang Akademik, Kemahasiswaan, dan Ketenagaan</v>
          </cell>
          <cell r="E153" t="str">
            <v>III/b</v>
          </cell>
          <cell r="F153" t="str">
            <v>688718410412000</v>
          </cell>
          <cell r="G153" t="str">
            <v>Penata Muda Tk. I</v>
          </cell>
          <cell r="H153" t="str">
            <v>Melakukan Monitoring dan Evaluasi ke Sekolah Tinggi Desain Interstudi</v>
          </cell>
          <cell r="I153" t="str">
            <v>DKI Jakarta</v>
          </cell>
          <cell r="J153" t="str">
            <v>DKI Jakarta</v>
          </cell>
          <cell r="K153">
            <v>1</v>
          </cell>
          <cell r="L153" t="str">
            <v>11 April 2019</v>
          </cell>
          <cell r="M153" t="str">
            <v>11 April 2019</v>
          </cell>
          <cell r="N153">
            <v>524114</v>
          </cell>
          <cell r="O153" t="str">
            <v>Belanja Perjalanan Dinas Paket Meeting Dalam Kota</v>
          </cell>
          <cell r="P153" t="str">
            <v>531/L3/TU/KA.11.00/2019</v>
          </cell>
          <cell r="Q153" t="str">
            <v>29 Maret 2019</v>
          </cell>
          <cell r="R153" t="str">
            <v>ya</v>
          </cell>
          <cell r="S153">
            <v>150000</v>
          </cell>
          <cell r="T153">
            <v>3138400</v>
          </cell>
          <cell r="V153">
            <v>0</v>
          </cell>
          <cell r="W153">
            <v>0</v>
          </cell>
          <cell r="X153">
            <v>0</v>
          </cell>
          <cell r="Z153">
            <v>0</v>
          </cell>
          <cell r="AB153">
            <v>0</v>
          </cell>
          <cell r="AD153">
            <v>0</v>
          </cell>
          <cell r="AE153" t="str">
            <v>ya</v>
          </cell>
          <cell r="AF153">
            <v>210000</v>
          </cell>
          <cell r="AH153" t="str">
            <v xml:space="preserve">Angkutan Umum </v>
          </cell>
          <cell r="AI153" t="str">
            <v>Sekolah Tinggi Desain Interstudi</v>
          </cell>
        </row>
        <row r="154">
          <cell r="A154">
            <v>153</v>
          </cell>
          <cell r="B154" t="str">
            <v>Lukman Hakim</v>
          </cell>
          <cell r="C154" t="str">
            <v>198009062008121004</v>
          </cell>
          <cell r="D154" t="str">
            <v>Bendahara  pada Sub. Bagian Keuangan pada Bagian Umum</v>
          </cell>
          <cell r="E154" t="str">
            <v>III/c</v>
          </cell>
          <cell r="F154" t="str">
            <v>253119184071000</v>
          </cell>
          <cell r="G154" t="str">
            <v>Penata</v>
          </cell>
          <cell r="H154" t="str">
            <v>Melakukan Monitoring dan Evaluasi ke Sekolah Tinggi Desain Interstudi</v>
          </cell>
          <cell r="I154" t="str">
            <v>DKI Jakarta</v>
          </cell>
          <cell r="J154" t="str">
            <v>DKI Jakarta</v>
          </cell>
          <cell r="K154">
            <v>1</v>
          </cell>
          <cell r="L154" t="str">
            <v>11 April 2019</v>
          </cell>
          <cell r="M154" t="str">
            <v>11 April 2019</v>
          </cell>
          <cell r="N154">
            <v>524114</v>
          </cell>
          <cell r="O154" t="str">
            <v>Belanja Perjalanan Dinas Paket Meeting Dalam Kota</v>
          </cell>
          <cell r="P154" t="str">
            <v>531/L3/TU/KA.11.00/2019</v>
          </cell>
          <cell r="Q154" t="str">
            <v>29 Maret 2019</v>
          </cell>
          <cell r="R154" t="str">
            <v>ya</v>
          </cell>
          <cell r="S154">
            <v>150000</v>
          </cell>
          <cell r="T154">
            <v>3138400</v>
          </cell>
          <cell r="V154">
            <v>0</v>
          </cell>
          <cell r="W154">
            <v>0</v>
          </cell>
          <cell r="X154">
            <v>0</v>
          </cell>
          <cell r="Z154">
            <v>0</v>
          </cell>
          <cell r="AB154">
            <v>0</v>
          </cell>
          <cell r="AD154">
            <v>0</v>
          </cell>
          <cell r="AE154" t="str">
            <v>ya</v>
          </cell>
          <cell r="AF154">
            <v>210000</v>
          </cell>
          <cell r="AH154" t="str">
            <v xml:space="preserve">Angkutan Umum </v>
          </cell>
          <cell r="AI154" t="str">
            <v>Sekolah Tinggi Desain Interstudi</v>
          </cell>
        </row>
        <row r="155">
          <cell r="A155">
            <v>154</v>
          </cell>
          <cell r="B155" t="str">
            <v>Taufan Setyo Pranggono</v>
          </cell>
          <cell r="C155" t="str">
            <v>198303162010121006</v>
          </cell>
          <cell r="D155" t="str">
            <v>Analis Organisasi dan Tata Laksana pada Sub. Bagian Kepegawaian pada Bagian Umum</v>
          </cell>
          <cell r="E155" t="str">
            <v>III/b</v>
          </cell>
          <cell r="F155" t="str">
            <v>367289113432000</v>
          </cell>
          <cell r="G155" t="str">
            <v>Penata Muda Tk. I</v>
          </cell>
          <cell r="H155" t="str">
            <v>Melakukan Monitoring dan Evaluasi ke Akademi Teknik Informatika Tunas Bangsa</v>
          </cell>
          <cell r="I155" t="str">
            <v>DKI Jakarta</v>
          </cell>
          <cell r="J155" t="str">
            <v>DKI Jakarta</v>
          </cell>
          <cell r="K155">
            <v>1</v>
          </cell>
          <cell r="L155" t="str">
            <v>11 April 2019</v>
          </cell>
          <cell r="M155" t="str">
            <v>11 April 2019</v>
          </cell>
          <cell r="N155">
            <v>524114</v>
          </cell>
          <cell r="O155" t="str">
            <v>Belanja Perjalanan Dinas Paket Meeting Dalam Kota</v>
          </cell>
          <cell r="P155" t="str">
            <v>531/L3/TU/KA.11.00/2019</v>
          </cell>
          <cell r="Q155" t="str">
            <v>29 Maret 2019</v>
          </cell>
          <cell r="R155" t="str">
            <v>ya</v>
          </cell>
          <cell r="S155">
            <v>150000</v>
          </cell>
          <cell r="T155">
            <v>3138400</v>
          </cell>
          <cell r="V155">
            <v>0</v>
          </cell>
          <cell r="W155">
            <v>0</v>
          </cell>
          <cell r="X155">
            <v>0</v>
          </cell>
          <cell r="Z155">
            <v>0</v>
          </cell>
          <cell r="AB155">
            <v>0</v>
          </cell>
          <cell r="AD155">
            <v>0</v>
          </cell>
          <cell r="AE155" t="str">
            <v>ya</v>
          </cell>
          <cell r="AF155">
            <v>210000</v>
          </cell>
          <cell r="AH155" t="str">
            <v xml:space="preserve">Angkutan Umum </v>
          </cell>
          <cell r="AI155" t="str">
            <v>Akademi Teknik Informatika Tunas Bangsa</v>
          </cell>
        </row>
        <row r="156">
          <cell r="A156">
            <v>155</v>
          </cell>
          <cell r="B156" t="str">
            <v>Prita Ekasari</v>
          </cell>
          <cell r="C156" t="str">
            <v>198410142009122008</v>
          </cell>
          <cell r="D156" t="str">
            <v>Analis Sistem Informasi pada Seksi Sistem Informasi pada Bidang Kelembagaan, dan Sistem Informasi</v>
          </cell>
          <cell r="E156" t="str">
            <v>III/b</v>
          </cell>
          <cell r="F156" t="str">
            <v>599515301407000</v>
          </cell>
          <cell r="G156" t="str">
            <v>Penata Muda Tk. I</v>
          </cell>
          <cell r="H156" t="str">
            <v>Melakukan Monitoring dan Evaluasi ke Akademi Teknik Informatika Tunas Bangsa</v>
          </cell>
          <cell r="I156" t="str">
            <v>DKI Jakarta</v>
          </cell>
          <cell r="J156" t="str">
            <v>DKI Jakarta</v>
          </cell>
          <cell r="K156">
            <v>1</v>
          </cell>
          <cell r="L156" t="str">
            <v>11 April 2019</v>
          </cell>
          <cell r="M156" t="str">
            <v>11 April 2019</v>
          </cell>
          <cell r="N156">
            <v>524114</v>
          </cell>
          <cell r="O156" t="str">
            <v>Belanja Perjalanan Dinas Paket Meeting Dalam Kota</v>
          </cell>
          <cell r="P156" t="str">
            <v>531/L3/TU/KA.11.00/2019</v>
          </cell>
          <cell r="Q156" t="str">
            <v>29 Maret 2019</v>
          </cell>
          <cell r="R156" t="str">
            <v>ya</v>
          </cell>
          <cell r="S156">
            <v>150000</v>
          </cell>
          <cell r="T156">
            <v>3138400</v>
          </cell>
          <cell r="V156">
            <v>0</v>
          </cell>
          <cell r="W156">
            <v>0</v>
          </cell>
          <cell r="X156">
            <v>0</v>
          </cell>
          <cell r="Z156">
            <v>0</v>
          </cell>
          <cell r="AB156">
            <v>0</v>
          </cell>
          <cell r="AD156">
            <v>0</v>
          </cell>
          <cell r="AE156" t="str">
            <v>ya</v>
          </cell>
          <cell r="AF156">
            <v>210000</v>
          </cell>
          <cell r="AH156" t="str">
            <v xml:space="preserve">Angkutan Umum </v>
          </cell>
          <cell r="AI156" t="str">
            <v>Akademi Teknik Informatika Tunas Bangsa</v>
          </cell>
        </row>
        <row r="157">
          <cell r="A157">
            <v>156</v>
          </cell>
          <cell r="B157" t="str">
            <v>Mudlikah</v>
          </cell>
          <cell r="C157" t="str">
            <v>196303111987032001</v>
          </cell>
          <cell r="D157" t="str">
            <v xml:space="preserve">Pengadministrasi Persuratan pada Sub. Bagian Tata Usaha pada Bagian Umum        </v>
          </cell>
          <cell r="E157" t="str">
            <v>III/d</v>
          </cell>
          <cell r="F157" t="str">
            <v>688766492017000</v>
          </cell>
          <cell r="G157" t="str">
            <v>Penata Tk. I</v>
          </cell>
          <cell r="H157" t="str">
            <v>Melakukan Monitoring dan Evaluasi ke Akademi Teknik Informatika Tunas Bangsa</v>
          </cell>
          <cell r="I157" t="str">
            <v>DKI Jakarta</v>
          </cell>
          <cell r="J157" t="str">
            <v>DKI Jakarta</v>
          </cell>
          <cell r="K157">
            <v>1</v>
          </cell>
          <cell r="L157" t="str">
            <v>11 April 2019</v>
          </cell>
          <cell r="M157" t="str">
            <v>11 April 2019</v>
          </cell>
          <cell r="N157">
            <v>524114</v>
          </cell>
          <cell r="O157" t="str">
            <v>Belanja Perjalanan Dinas Paket Meeting Dalam Kota</v>
          </cell>
          <cell r="P157" t="str">
            <v>531/L3/TU/KA.11.00/2019</v>
          </cell>
          <cell r="Q157" t="str">
            <v>29 Maret 2019</v>
          </cell>
          <cell r="R157" t="str">
            <v>ya</v>
          </cell>
          <cell r="S157">
            <v>150000</v>
          </cell>
          <cell r="T157">
            <v>3138400</v>
          </cell>
          <cell r="V157">
            <v>0</v>
          </cell>
          <cell r="W157">
            <v>0</v>
          </cell>
          <cell r="X157">
            <v>0</v>
          </cell>
          <cell r="Z157">
            <v>0</v>
          </cell>
          <cell r="AB157">
            <v>0</v>
          </cell>
          <cell r="AD157">
            <v>0</v>
          </cell>
          <cell r="AE157" t="str">
            <v>ya</v>
          </cell>
          <cell r="AF157">
            <v>210000</v>
          </cell>
          <cell r="AH157" t="str">
            <v xml:space="preserve">Angkutan Umum </v>
          </cell>
          <cell r="AI157" t="str">
            <v>Akademi Teknik Informatika Tunas Bangsa</v>
          </cell>
        </row>
        <row r="158">
          <cell r="A158">
            <v>157</v>
          </cell>
          <cell r="B158" t="str">
            <v>Heriyendi</v>
          </cell>
          <cell r="C158" t="str">
            <v>196104021988031004</v>
          </cell>
          <cell r="D158" t="str">
            <v xml:space="preserve">Pengadministrasi Umum pada Sub. Bagian Tata Usaha pada Bagian Umum                               </v>
          </cell>
          <cell r="E158" t="str">
            <v>III/d</v>
          </cell>
          <cell r="F158" t="str">
            <v>699452199432000</v>
          </cell>
          <cell r="G158" t="str">
            <v>Penata Tk. I</v>
          </cell>
          <cell r="H158" t="str">
            <v>Melakukan Monitoring dan Evaluasi ke Akademi Teknik Informatika Tunas Bangsa</v>
          </cell>
          <cell r="I158" t="str">
            <v>DKI Jakarta</v>
          </cell>
          <cell r="J158" t="str">
            <v>DKI Jakarta</v>
          </cell>
          <cell r="K158">
            <v>1</v>
          </cell>
          <cell r="L158" t="str">
            <v>11 April 2019</v>
          </cell>
          <cell r="M158" t="str">
            <v>11 April 2019</v>
          </cell>
          <cell r="N158">
            <v>524114</v>
          </cell>
          <cell r="O158" t="str">
            <v>Belanja Perjalanan Dinas Paket Meeting Dalam Kota</v>
          </cell>
          <cell r="P158" t="str">
            <v>531/L3/TU/KA.11.00/2019</v>
          </cell>
          <cell r="Q158" t="str">
            <v>29 Maret 2019</v>
          </cell>
          <cell r="R158" t="str">
            <v>ya</v>
          </cell>
          <cell r="S158">
            <v>150000</v>
          </cell>
          <cell r="T158">
            <v>3138400</v>
          </cell>
          <cell r="V158">
            <v>0</v>
          </cell>
          <cell r="W158">
            <v>0</v>
          </cell>
          <cell r="X158">
            <v>0</v>
          </cell>
          <cell r="Z158">
            <v>0</v>
          </cell>
          <cell r="AB158">
            <v>0</v>
          </cell>
          <cell r="AD158">
            <v>0</v>
          </cell>
          <cell r="AE158" t="str">
            <v>ya</v>
          </cell>
          <cell r="AF158">
            <v>210000</v>
          </cell>
          <cell r="AH158" t="str">
            <v xml:space="preserve">Angkutan Umum </v>
          </cell>
          <cell r="AI158" t="str">
            <v>Akademi Teknik Informatika Tunas Bangsa</v>
          </cell>
        </row>
        <row r="159">
          <cell r="A159">
            <v>158</v>
          </cell>
          <cell r="B159" t="str">
            <v>Taufan Setyo Pranggono</v>
          </cell>
          <cell r="C159" t="str">
            <v>198303162010121006</v>
          </cell>
          <cell r="D159" t="str">
            <v>Analis Organisasi dan Tata Laksana pada Sub. Bagian Kepegawaian pada Bagian Umum</v>
          </cell>
          <cell r="E159" t="str">
            <v>III/b</v>
          </cell>
          <cell r="F159" t="str">
            <v>367289113432000</v>
          </cell>
          <cell r="G159" t="str">
            <v>Penata Muda Tk. I</v>
          </cell>
          <cell r="H159" t="str">
            <v>Melakukan Monitoring dan Evaluasi ke Akademi Perekam Medis dan Infokes Bhumi Husada</v>
          </cell>
          <cell r="I159" t="str">
            <v>DKI Jakarta</v>
          </cell>
          <cell r="J159" t="str">
            <v>DKI Jakarta</v>
          </cell>
          <cell r="K159">
            <v>1</v>
          </cell>
          <cell r="L159" t="str">
            <v>12 April 2019</v>
          </cell>
          <cell r="M159" t="str">
            <v>12 April 2019</v>
          </cell>
          <cell r="N159">
            <v>524114</v>
          </cell>
          <cell r="O159" t="str">
            <v>Belanja Perjalanan Dinas Paket Meeting Dalam Kota</v>
          </cell>
          <cell r="P159" t="str">
            <v>531/L3/TU/KA.11.00/2019</v>
          </cell>
          <cell r="Q159" t="str">
            <v>29 Maret 2019</v>
          </cell>
          <cell r="R159" t="str">
            <v>ya</v>
          </cell>
          <cell r="S159">
            <v>150000</v>
          </cell>
          <cell r="T159">
            <v>3138400</v>
          </cell>
          <cell r="V159">
            <v>0</v>
          </cell>
          <cell r="W159">
            <v>0</v>
          </cell>
          <cell r="X159">
            <v>0</v>
          </cell>
          <cell r="Z159">
            <v>0</v>
          </cell>
          <cell r="AB159">
            <v>0</v>
          </cell>
          <cell r="AD159">
            <v>0</v>
          </cell>
          <cell r="AE159" t="str">
            <v>ya</v>
          </cell>
          <cell r="AF159">
            <v>210000</v>
          </cell>
          <cell r="AH159" t="str">
            <v xml:space="preserve">Angkutan Umum </v>
          </cell>
          <cell r="AI159" t="str">
            <v>Akademi Perekam Medis dan Infokes Bhumi Husada</v>
          </cell>
        </row>
        <row r="160">
          <cell r="A160">
            <v>159</v>
          </cell>
          <cell r="B160" t="str">
            <v>Prita Ekasari</v>
          </cell>
          <cell r="C160" t="str">
            <v>198410142009122008</v>
          </cell>
          <cell r="D160" t="str">
            <v>Analis Sistem Informasi pada Seksi Sistem Informasi pada Bidang Kelembagaan, dan Sistem Informasi</v>
          </cell>
          <cell r="E160" t="str">
            <v>III/b</v>
          </cell>
          <cell r="F160" t="str">
            <v>599515301407000</v>
          </cell>
          <cell r="G160" t="str">
            <v>Penata Muda Tk. I</v>
          </cell>
          <cell r="H160" t="str">
            <v>Melakukan Monitoring dan Evaluasi ke Akademi Perekam Medis dan Infokes Bhumi Husada</v>
          </cell>
          <cell r="I160" t="str">
            <v>DKI Jakarta</v>
          </cell>
          <cell r="J160" t="str">
            <v>DKI Jakarta</v>
          </cell>
          <cell r="K160">
            <v>1</v>
          </cell>
          <cell r="L160" t="str">
            <v>12 April 2019</v>
          </cell>
          <cell r="M160" t="str">
            <v>12 April 2019</v>
          </cell>
          <cell r="N160">
            <v>524114</v>
          </cell>
          <cell r="O160" t="str">
            <v>Belanja Perjalanan Dinas Paket Meeting Dalam Kota</v>
          </cell>
          <cell r="P160" t="str">
            <v>531/L3/TU/KA.11.00/2019</v>
          </cell>
          <cell r="Q160" t="str">
            <v>29 Maret 2019</v>
          </cell>
          <cell r="R160" t="str">
            <v>ya</v>
          </cell>
          <cell r="S160">
            <v>150000</v>
          </cell>
          <cell r="T160">
            <v>3138400</v>
          </cell>
          <cell r="V160">
            <v>0</v>
          </cell>
          <cell r="W160">
            <v>0</v>
          </cell>
          <cell r="X160">
            <v>0</v>
          </cell>
          <cell r="Z160">
            <v>0</v>
          </cell>
          <cell r="AB160">
            <v>0</v>
          </cell>
          <cell r="AD160">
            <v>0</v>
          </cell>
          <cell r="AE160" t="str">
            <v>ya</v>
          </cell>
          <cell r="AF160">
            <v>210000</v>
          </cell>
          <cell r="AH160" t="str">
            <v xml:space="preserve">Angkutan Umum </v>
          </cell>
          <cell r="AI160" t="str">
            <v>Akademi Perekam Medis dan Infokes Bhumi Husada</v>
          </cell>
        </row>
        <row r="161">
          <cell r="A161">
            <v>160</v>
          </cell>
          <cell r="B161" t="str">
            <v>Mudlikah</v>
          </cell>
          <cell r="C161" t="str">
            <v>196303111987032001</v>
          </cell>
          <cell r="D161" t="str">
            <v xml:space="preserve">Pengadministrasi Persuratan pada Sub. Bagian Tata Usaha pada Bagian Umum        </v>
          </cell>
          <cell r="E161" t="str">
            <v>III/d</v>
          </cell>
          <cell r="F161" t="str">
            <v>688766492017000</v>
          </cell>
          <cell r="G161" t="str">
            <v>Penata Tk. I</v>
          </cell>
          <cell r="H161" t="str">
            <v>Melakukan Monitoring dan Evaluasi ke Akademi Perekam Medis dan Infokes Bhumi Husada</v>
          </cell>
          <cell r="I161" t="str">
            <v>DKI Jakarta</v>
          </cell>
          <cell r="J161" t="str">
            <v>DKI Jakarta</v>
          </cell>
          <cell r="K161">
            <v>1</v>
          </cell>
          <cell r="L161" t="str">
            <v>12 April 2019</v>
          </cell>
          <cell r="M161" t="str">
            <v>12 April 2019</v>
          </cell>
          <cell r="N161">
            <v>524114</v>
          </cell>
          <cell r="O161" t="str">
            <v>Belanja Perjalanan Dinas Paket Meeting Dalam Kota</v>
          </cell>
          <cell r="P161" t="str">
            <v>531/L3/TU/KA.11.00/2019</v>
          </cell>
          <cell r="Q161" t="str">
            <v>29 Maret 2019</v>
          </cell>
          <cell r="R161" t="str">
            <v>ya</v>
          </cell>
          <cell r="S161">
            <v>150000</v>
          </cell>
          <cell r="T161">
            <v>3138400</v>
          </cell>
          <cell r="V161">
            <v>0</v>
          </cell>
          <cell r="W161">
            <v>0</v>
          </cell>
          <cell r="X161">
            <v>0</v>
          </cell>
          <cell r="Z161">
            <v>0</v>
          </cell>
          <cell r="AB161">
            <v>0</v>
          </cell>
          <cell r="AD161">
            <v>0</v>
          </cell>
          <cell r="AE161" t="str">
            <v>ya</v>
          </cell>
          <cell r="AF161">
            <v>210000</v>
          </cell>
          <cell r="AH161" t="str">
            <v xml:space="preserve">Angkutan Umum </v>
          </cell>
          <cell r="AI161" t="str">
            <v>Akademi Perekam Medis dan Infokes Bhumi Husada</v>
          </cell>
        </row>
        <row r="162">
          <cell r="A162">
            <v>161</v>
          </cell>
          <cell r="B162" t="str">
            <v>Heriyendi</v>
          </cell>
          <cell r="C162" t="str">
            <v>196104021988031004</v>
          </cell>
          <cell r="D162" t="str">
            <v xml:space="preserve">Pengadministrasi Umum pada Sub. Bagian Tata Usaha pada Bagian Umum                               </v>
          </cell>
          <cell r="E162" t="str">
            <v>III/d</v>
          </cell>
          <cell r="F162" t="str">
            <v>699452199432000</v>
          </cell>
          <cell r="G162" t="str">
            <v>Penata Tk. I</v>
          </cell>
          <cell r="H162" t="str">
            <v>Melakukan Monitoring dan Evaluasi ke Akademi Perekam Medis dan Infokes Bhumi Husada</v>
          </cell>
          <cell r="I162" t="str">
            <v>DKI Jakarta</v>
          </cell>
          <cell r="J162" t="str">
            <v>DKI Jakarta</v>
          </cell>
          <cell r="K162">
            <v>1</v>
          </cell>
          <cell r="L162" t="str">
            <v>12 April 2019</v>
          </cell>
          <cell r="M162" t="str">
            <v>12 April 2019</v>
          </cell>
          <cell r="N162">
            <v>524114</v>
          </cell>
          <cell r="O162" t="str">
            <v>Belanja Perjalanan Dinas Paket Meeting Dalam Kota</v>
          </cell>
          <cell r="P162" t="str">
            <v>531/L3/TU/KA.11.00/2019</v>
          </cell>
          <cell r="Q162" t="str">
            <v>29 Maret 2019</v>
          </cell>
          <cell r="R162" t="str">
            <v>ya</v>
          </cell>
          <cell r="S162">
            <v>150000</v>
          </cell>
          <cell r="T162">
            <v>3138400</v>
          </cell>
          <cell r="V162">
            <v>0</v>
          </cell>
          <cell r="W162">
            <v>0</v>
          </cell>
          <cell r="X162">
            <v>0</v>
          </cell>
          <cell r="Z162">
            <v>0</v>
          </cell>
          <cell r="AB162">
            <v>0</v>
          </cell>
          <cell r="AD162">
            <v>0</v>
          </cell>
          <cell r="AE162" t="str">
            <v>ya</v>
          </cell>
          <cell r="AF162">
            <v>210000</v>
          </cell>
          <cell r="AH162" t="str">
            <v xml:space="preserve">Angkutan Umum </v>
          </cell>
          <cell r="AI162" t="str">
            <v>Akademi Perekam Medis dan Infokes Bhumi Husada</v>
          </cell>
        </row>
        <row r="163">
          <cell r="A163">
            <v>162</v>
          </cell>
          <cell r="B163" t="str">
            <v>Taufiq Alamsyah</v>
          </cell>
          <cell r="C163" t="str">
            <v>196507121988101001</v>
          </cell>
          <cell r="D163" t="str">
            <v>Analis Pelaksanaan Akademik Dan Kemahasiswaan pada Seksi Akademik, dan Kemahasiswaan pada Bidang Akademik, Kemahasiswaan, dan Ketenagaan</v>
          </cell>
          <cell r="E163" t="str">
            <v>III/d</v>
          </cell>
          <cell r="F163" t="str">
            <v>688766278403000</v>
          </cell>
          <cell r="G163" t="str">
            <v>Penata Tk. I</v>
          </cell>
          <cell r="H163" t="str">
            <v xml:space="preserve">Melakukan Monitoring dan Evaluasi ke Universitas Pancasila </v>
          </cell>
          <cell r="I163" t="str">
            <v>DKI Jakarta</v>
          </cell>
          <cell r="J163" t="str">
            <v>DKI Jakarta</v>
          </cell>
          <cell r="K163">
            <v>1</v>
          </cell>
          <cell r="L163" t="str">
            <v>12 April 2019</v>
          </cell>
          <cell r="M163" t="str">
            <v>12 April 2019</v>
          </cell>
          <cell r="N163">
            <v>524114</v>
          </cell>
          <cell r="O163" t="str">
            <v>Belanja Perjalanan Dinas Paket Meeting Dalam Kota</v>
          </cell>
          <cell r="P163" t="str">
            <v>531/L3/TU/KA.11.00/2019</v>
          </cell>
          <cell r="Q163" t="str">
            <v>29 Maret 2019</v>
          </cell>
          <cell r="R163" t="str">
            <v>ya</v>
          </cell>
          <cell r="S163">
            <v>150000</v>
          </cell>
          <cell r="T163">
            <v>3138400</v>
          </cell>
          <cell r="V163">
            <v>0</v>
          </cell>
          <cell r="W163">
            <v>0</v>
          </cell>
          <cell r="X163">
            <v>0</v>
          </cell>
          <cell r="Z163">
            <v>0</v>
          </cell>
          <cell r="AB163">
            <v>0</v>
          </cell>
          <cell r="AD163">
            <v>0</v>
          </cell>
          <cell r="AE163" t="str">
            <v>ya</v>
          </cell>
          <cell r="AF163">
            <v>210000</v>
          </cell>
          <cell r="AH163" t="str">
            <v xml:space="preserve">Angkutan Umum </v>
          </cell>
          <cell r="AI163" t="str">
            <v>Akademi Komunikasi Media Radio dan TV Jakarta</v>
          </cell>
        </row>
        <row r="164">
          <cell r="A164">
            <v>163</v>
          </cell>
          <cell r="B164" t="str">
            <v>Titah Widihastuti</v>
          </cell>
          <cell r="C164" t="str">
            <v>198312302010122003</v>
          </cell>
          <cell r="D164" t="str">
            <v>Analis Sistem Informasi pada Seksi Sistem Informasi pada Bidang Kelembagaan, dan Sistem Informasi</v>
          </cell>
          <cell r="E164" t="str">
            <v>III/b</v>
          </cell>
          <cell r="F164" t="str">
            <v>678780578009000</v>
          </cell>
          <cell r="G164" t="str">
            <v>Penata Muda Tk. I</v>
          </cell>
          <cell r="H164" t="str">
            <v xml:space="preserve">Melakukan Monitoring dan Evaluasi ke Akademi Keperawatan RS Fatmawati </v>
          </cell>
          <cell r="I164" t="str">
            <v>DKI Jakarta</v>
          </cell>
          <cell r="J164" t="str">
            <v>DKI Jakarta</v>
          </cell>
          <cell r="K164">
            <v>1</v>
          </cell>
          <cell r="L164" t="str">
            <v>12 April 2019</v>
          </cell>
          <cell r="M164" t="str">
            <v>12 April 2019</v>
          </cell>
          <cell r="N164">
            <v>524114</v>
          </cell>
          <cell r="O164" t="str">
            <v>Belanja Perjalanan Dinas Paket Meeting Dalam Kota</v>
          </cell>
          <cell r="P164" t="str">
            <v>531/L3/TU/KA.11.00/2019</v>
          </cell>
          <cell r="Q164" t="str">
            <v>29 Maret 2019</v>
          </cell>
          <cell r="R164" t="str">
            <v>ya</v>
          </cell>
          <cell r="S164">
            <v>150000</v>
          </cell>
          <cell r="T164">
            <v>3138400</v>
          </cell>
          <cell r="V164">
            <v>0</v>
          </cell>
          <cell r="W164">
            <v>0</v>
          </cell>
          <cell r="X164">
            <v>0</v>
          </cell>
          <cell r="Z164">
            <v>0</v>
          </cell>
          <cell r="AB164">
            <v>0</v>
          </cell>
          <cell r="AD164">
            <v>0</v>
          </cell>
          <cell r="AE164" t="str">
            <v>ya</v>
          </cell>
          <cell r="AF164">
            <v>210000</v>
          </cell>
          <cell r="AH164" t="str">
            <v xml:space="preserve">Angkutan Umum </v>
          </cell>
          <cell r="AI164" t="str">
            <v>Akademi Komunikasi Media Radio dan TV Jakarta</v>
          </cell>
        </row>
        <row r="165">
          <cell r="A165">
            <v>164</v>
          </cell>
          <cell r="B165" t="str">
            <v>Ning Dwi Hastuti</v>
          </cell>
          <cell r="C165" t="str">
            <v>196408091988032001</v>
          </cell>
          <cell r="D165" t="str">
            <v>Pengelola Informasi Akademik pada Seksi Akademik, dan Kemahasiswaan pada Bidang Akademik, Kemahasiswaan, dan Ketenagaan</v>
          </cell>
          <cell r="E165" t="str">
            <v>III/d</v>
          </cell>
          <cell r="F165" t="str">
            <v>245328000412001</v>
          </cell>
          <cell r="G165" t="str">
            <v>Penata Tk. I</v>
          </cell>
          <cell r="H165" t="str">
            <v xml:space="preserve">Melakukan Monitoring dan Evaluasi ke Akademi Keperawatan RS Fatmawati </v>
          </cell>
          <cell r="I165" t="str">
            <v>DKI Jakarta</v>
          </cell>
          <cell r="J165" t="str">
            <v>DKI Jakarta</v>
          </cell>
          <cell r="K165">
            <v>1</v>
          </cell>
          <cell r="L165" t="str">
            <v>12 April 2019</v>
          </cell>
          <cell r="M165" t="str">
            <v>12 April 2019</v>
          </cell>
          <cell r="N165">
            <v>524114</v>
          </cell>
          <cell r="O165" t="str">
            <v>Belanja Perjalanan Dinas Paket Meeting Dalam Kota</v>
          </cell>
          <cell r="P165" t="str">
            <v>531/L3/TU/KA.11.00/2019</v>
          </cell>
          <cell r="Q165" t="str">
            <v>29 Maret 2019</v>
          </cell>
          <cell r="R165" t="str">
            <v>ya</v>
          </cell>
          <cell r="S165">
            <v>150000</v>
          </cell>
          <cell r="T165">
            <v>3138400</v>
          </cell>
          <cell r="V165">
            <v>0</v>
          </cell>
          <cell r="W165">
            <v>0</v>
          </cell>
          <cell r="X165">
            <v>0</v>
          </cell>
          <cell r="Z165">
            <v>0</v>
          </cell>
          <cell r="AB165">
            <v>0</v>
          </cell>
          <cell r="AD165">
            <v>0</v>
          </cell>
          <cell r="AE165" t="str">
            <v>ya</v>
          </cell>
          <cell r="AF165">
            <v>210000</v>
          </cell>
          <cell r="AH165" t="str">
            <v xml:space="preserve">Angkutan Umum </v>
          </cell>
          <cell r="AI165" t="str">
            <v>Akademi Komunikasi Media Radio dan TV Jakarta</v>
          </cell>
        </row>
        <row r="166">
          <cell r="A166">
            <v>165</v>
          </cell>
          <cell r="B166" t="str">
            <v>Suratmi</v>
          </cell>
          <cell r="C166" t="str">
            <v>196809101986112001</v>
          </cell>
          <cell r="D166" t="str">
            <v>Pengadministrasi Pendidik Dan Tenaga Kependidikan pada Seksi Ketenagaan pada Bidang Akademik, Kemahasiswaan, dan Ketenagaan</v>
          </cell>
          <cell r="E166" t="str">
            <v>III/b</v>
          </cell>
          <cell r="F166" t="str">
            <v>688718410412000</v>
          </cell>
          <cell r="G166" t="str">
            <v>Penata Muda Tk. I</v>
          </cell>
          <cell r="H166" t="str">
            <v xml:space="preserve">Melakukan Monitoring dan Evaluasi ke Akademi Keperawatan RS Fatmawati </v>
          </cell>
          <cell r="I166" t="str">
            <v>DKI Jakarta</v>
          </cell>
          <cell r="J166" t="str">
            <v>DKI Jakarta</v>
          </cell>
          <cell r="K166">
            <v>1</v>
          </cell>
          <cell r="L166" t="str">
            <v>12 April 2019</v>
          </cell>
          <cell r="M166" t="str">
            <v>12 April 2019</v>
          </cell>
          <cell r="N166">
            <v>524114</v>
          </cell>
          <cell r="O166" t="str">
            <v>Belanja Perjalanan Dinas Paket Meeting Dalam Kota</v>
          </cell>
          <cell r="P166" t="str">
            <v>531/L3/TU/KA.11.00/2019</v>
          </cell>
          <cell r="Q166" t="str">
            <v>29 Maret 2019</v>
          </cell>
          <cell r="R166" t="str">
            <v>ya</v>
          </cell>
          <cell r="S166">
            <v>150000</v>
          </cell>
          <cell r="T166">
            <v>3138400</v>
          </cell>
          <cell r="V166">
            <v>0</v>
          </cell>
          <cell r="W166">
            <v>0</v>
          </cell>
          <cell r="X166">
            <v>0</v>
          </cell>
          <cell r="Z166">
            <v>0</v>
          </cell>
          <cell r="AB166">
            <v>0</v>
          </cell>
          <cell r="AD166">
            <v>0</v>
          </cell>
          <cell r="AE166" t="str">
            <v>ya</v>
          </cell>
          <cell r="AF166">
            <v>210000</v>
          </cell>
          <cell r="AH166" t="str">
            <v xml:space="preserve">Angkutan Umum </v>
          </cell>
          <cell r="AI166" t="str">
            <v>Akademi Komunikasi Media Radio dan TV Jakarta</v>
          </cell>
        </row>
        <row r="167">
          <cell r="A167">
            <v>166</v>
          </cell>
          <cell r="B167" t="str">
            <v>Elih Ermawati</v>
          </cell>
          <cell r="C167" t="str">
            <v>198609152009122006</v>
          </cell>
          <cell r="D167" t="str">
            <v>Pengelola Keuangan pada Sub. Bagian Keuangan pada Bagian Umum</v>
          </cell>
          <cell r="E167" t="str">
            <v>II/d</v>
          </cell>
          <cell r="F167" t="str">
            <v>697161602432000</v>
          </cell>
          <cell r="G167" t="str">
            <v>Pengatur Tk. I</v>
          </cell>
          <cell r="H167" t="str">
            <v xml:space="preserve">Melakukan Monitoring dan Evaluasi ke Akademi Keperawatan RS Fatmawati </v>
          </cell>
          <cell r="I167" t="str">
            <v>DKI Jakarta</v>
          </cell>
          <cell r="J167" t="str">
            <v>DKI Jakarta</v>
          </cell>
          <cell r="K167">
            <v>1</v>
          </cell>
          <cell r="L167" t="str">
            <v>12 April 2019</v>
          </cell>
          <cell r="M167" t="str">
            <v>12 April 2019</v>
          </cell>
          <cell r="N167">
            <v>524114</v>
          </cell>
          <cell r="O167" t="str">
            <v>Belanja Perjalanan Dinas Paket Meeting Dalam Kota</v>
          </cell>
          <cell r="P167" t="str">
            <v>531/L3/TU/KA.11.00/2019</v>
          </cell>
          <cell r="Q167" t="str">
            <v>29 Maret 2019</v>
          </cell>
          <cell r="R167" t="str">
            <v>ya</v>
          </cell>
          <cell r="S167">
            <v>150000</v>
          </cell>
          <cell r="T167">
            <v>3138400</v>
          </cell>
          <cell r="V167">
            <v>0</v>
          </cell>
          <cell r="W167">
            <v>0</v>
          </cell>
          <cell r="X167">
            <v>0</v>
          </cell>
          <cell r="Z167">
            <v>0</v>
          </cell>
          <cell r="AB167">
            <v>0</v>
          </cell>
          <cell r="AD167">
            <v>0</v>
          </cell>
          <cell r="AE167" t="str">
            <v>ya</v>
          </cell>
          <cell r="AF167">
            <v>210000</v>
          </cell>
          <cell r="AH167" t="str">
            <v xml:space="preserve">Angkutan Umum </v>
          </cell>
          <cell r="AI167" t="str">
            <v>Akademi Komunikasi Media Radio dan TV Jakarta</v>
          </cell>
        </row>
        <row r="168">
          <cell r="A168">
            <v>167</v>
          </cell>
          <cell r="B168" t="str">
            <v>Sugiarto</v>
          </cell>
          <cell r="C168" t="str">
            <v>196303021985101001</v>
          </cell>
          <cell r="D168" t="str">
            <v>Pengelola Informasi Kerjasama pada Seksi Kelembagaan, dan Kerjasama pada Bidang Kelembagaan, dan Sistem Informasi</v>
          </cell>
          <cell r="E168" t="str">
            <v>III/b</v>
          </cell>
          <cell r="F168" t="str">
            <v>688766377024000</v>
          </cell>
          <cell r="G168" t="str">
            <v>Penata Muda Tk. I</v>
          </cell>
          <cell r="H168" t="str">
            <v>Melakukan Monitoring dan Evaluasi ke Akademi Pariwisata Nasional</v>
          </cell>
          <cell r="I168" t="str">
            <v>DKI Jakarta</v>
          </cell>
          <cell r="J168" t="str">
            <v>DKI Jakarta</v>
          </cell>
          <cell r="K168">
            <v>1</v>
          </cell>
          <cell r="L168" t="str">
            <v>15 April 2019</v>
          </cell>
          <cell r="M168" t="str">
            <v>15 April 2019</v>
          </cell>
          <cell r="N168">
            <v>524114</v>
          </cell>
          <cell r="O168" t="str">
            <v>Belanja Perjalanan Dinas Paket Meeting Dalam Kota</v>
          </cell>
          <cell r="P168" t="str">
            <v>641/L3/TU/KA.11.00/2019</v>
          </cell>
          <cell r="Q168" t="str">
            <v>15 April 2019</v>
          </cell>
          <cell r="R168" t="str">
            <v>ya</v>
          </cell>
          <cell r="S168">
            <v>150000</v>
          </cell>
          <cell r="T168">
            <v>3138400</v>
          </cell>
          <cell r="V168">
            <v>0</v>
          </cell>
          <cell r="W168">
            <v>0</v>
          </cell>
          <cell r="X168">
            <v>0</v>
          </cell>
          <cell r="Z168">
            <v>0</v>
          </cell>
          <cell r="AB168">
            <v>0</v>
          </cell>
          <cell r="AD168">
            <v>0</v>
          </cell>
          <cell r="AE168" t="str">
            <v>ya</v>
          </cell>
          <cell r="AF168">
            <v>210000</v>
          </cell>
          <cell r="AH168" t="str">
            <v xml:space="preserve">Angkutan Umum </v>
          </cell>
          <cell r="AI168" t="str">
            <v>Akademi Pariwisata Nasional</v>
          </cell>
        </row>
        <row r="169">
          <cell r="A169">
            <v>168</v>
          </cell>
          <cell r="B169" t="str">
            <v>Prita Ekasari</v>
          </cell>
          <cell r="C169" t="str">
            <v>198410142009122008</v>
          </cell>
          <cell r="D169" t="str">
            <v>Analis Sistem Informasi pada Seksi Sistem Informasi pada Bidang Kelembagaan, dan Sistem Informasi</v>
          </cell>
          <cell r="E169" t="str">
            <v>III/b</v>
          </cell>
          <cell r="F169" t="str">
            <v>599515301407000</v>
          </cell>
          <cell r="G169" t="str">
            <v>Penata Muda Tk. I</v>
          </cell>
          <cell r="H169" t="str">
            <v>Melakukan Monitoring dan Evaluasi ke Akademi Pariwisata Nasional</v>
          </cell>
          <cell r="I169" t="str">
            <v>DKI Jakarta</v>
          </cell>
          <cell r="J169" t="str">
            <v>DKI Jakarta</v>
          </cell>
          <cell r="K169">
            <v>1</v>
          </cell>
          <cell r="L169" t="str">
            <v>15 April 2019</v>
          </cell>
          <cell r="M169" t="str">
            <v>15 April 2019</v>
          </cell>
          <cell r="N169">
            <v>524114</v>
          </cell>
          <cell r="O169" t="str">
            <v>Belanja Perjalanan Dinas Paket Meeting Dalam Kota</v>
          </cell>
          <cell r="P169" t="str">
            <v>641/L3/TU/KA.11.00/2019</v>
          </cell>
          <cell r="Q169" t="str">
            <v>15 April 2019</v>
          </cell>
          <cell r="R169" t="str">
            <v>ya</v>
          </cell>
          <cell r="S169">
            <v>150000</v>
          </cell>
          <cell r="T169">
            <v>3138400</v>
          </cell>
          <cell r="V169">
            <v>0</v>
          </cell>
          <cell r="W169">
            <v>0</v>
          </cell>
          <cell r="X169">
            <v>0</v>
          </cell>
          <cell r="Z169">
            <v>0</v>
          </cell>
          <cell r="AB169">
            <v>0</v>
          </cell>
          <cell r="AD169">
            <v>0</v>
          </cell>
          <cell r="AE169" t="str">
            <v>ya</v>
          </cell>
          <cell r="AF169">
            <v>210000</v>
          </cell>
          <cell r="AH169" t="str">
            <v xml:space="preserve">Angkutan Umum </v>
          </cell>
          <cell r="AI169" t="str">
            <v>Akademi Pariwisata Nasional</v>
          </cell>
        </row>
        <row r="170">
          <cell r="A170">
            <v>169</v>
          </cell>
          <cell r="B170" t="str">
            <v>Mudlikah</v>
          </cell>
          <cell r="C170" t="str">
            <v>196303111987032001</v>
          </cell>
          <cell r="D170" t="str">
            <v xml:space="preserve">Pengadministrasi Persuratan pada Sub. Bagian Tata Usaha pada Bagian Umum        </v>
          </cell>
          <cell r="E170" t="str">
            <v>III/d</v>
          </cell>
          <cell r="F170" t="str">
            <v>688766492017000</v>
          </cell>
          <cell r="G170" t="str">
            <v>Penata Tk. I</v>
          </cell>
          <cell r="H170" t="str">
            <v>Melakukan Monitoring dan Evaluasi ke Akademi Pariwisata Nasional</v>
          </cell>
          <cell r="I170" t="str">
            <v>DKI Jakarta</v>
          </cell>
          <cell r="J170" t="str">
            <v>DKI Jakarta</v>
          </cell>
          <cell r="K170">
            <v>1</v>
          </cell>
          <cell r="L170" t="str">
            <v>15 April 2019</v>
          </cell>
          <cell r="M170" t="str">
            <v>15 April 2019</v>
          </cell>
          <cell r="N170">
            <v>524114</v>
          </cell>
          <cell r="O170" t="str">
            <v>Belanja Perjalanan Dinas Paket Meeting Dalam Kota</v>
          </cell>
          <cell r="P170" t="str">
            <v>641/L3/TU/KA.11.00/2019</v>
          </cell>
          <cell r="Q170" t="str">
            <v>15 April 2019</v>
          </cell>
          <cell r="R170" t="str">
            <v>ya</v>
          </cell>
          <cell r="S170">
            <v>150000</v>
          </cell>
          <cell r="T170">
            <v>3138400</v>
          </cell>
          <cell r="V170">
            <v>0</v>
          </cell>
          <cell r="W170">
            <v>0</v>
          </cell>
          <cell r="X170">
            <v>0</v>
          </cell>
          <cell r="Z170">
            <v>0</v>
          </cell>
          <cell r="AB170">
            <v>0</v>
          </cell>
          <cell r="AD170">
            <v>0</v>
          </cell>
          <cell r="AE170" t="str">
            <v>ya</v>
          </cell>
          <cell r="AF170">
            <v>210000</v>
          </cell>
          <cell r="AH170" t="str">
            <v xml:space="preserve">Angkutan Umum </v>
          </cell>
          <cell r="AI170" t="str">
            <v>Akademi Pariwisata Nasional</v>
          </cell>
        </row>
        <row r="171">
          <cell r="A171">
            <v>170</v>
          </cell>
          <cell r="B171" t="str">
            <v>Heriyendi</v>
          </cell>
          <cell r="C171" t="str">
            <v>196104021988031004</v>
          </cell>
          <cell r="D171" t="str">
            <v xml:space="preserve">Pengadministrasi Umum pada Sub. Bagian Tata Usaha pada Bagian Umum                               </v>
          </cell>
          <cell r="E171" t="str">
            <v>III/d</v>
          </cell>
          <cell r="F171" t="str">
            <v>699452199432000</v>
          </cell>
          <cell r="G171" t="str">
            <v>Penata Tk. I</v>
          </cell>
          <cell r="H171" t="str">
            <v>Melakukan Monitoring dan Evaluasi ke Akademi Pariwisata Nasional</v>
          </cell>
          <cell r="I171" t="str">
            <v>DKI Jakarta</v>
          </cell>
          <cell r="J171" t="str">
            <v>DKI Jakarta</v>
          </cell>
          <cell r="K171">
            <v>1</v>
          </cell>
          <cell r="L171" t="str">
            <v>15 April 2019</v>
          </cell>
          <cell r="M171" t="str">
            <v>15 April 2019</v>
          </cell>
          <cell r="N171">
            <v>524114</v>
          </cell>
          <cell r="O171" t="str">
            <v>Belanja Perjalanan Dinas Paket Meeting Dalam Kota</v>
          </cell>
          <cell r="P171" t="str">
            <v>641/L3/TU/KA.11.00/2019</v>
          </cell>
          <cell r="Q171" t="str">
            <v>15 April 2019</v>
          </cell>
          <cell r="R171" t="str">
            <v>ya</v>
          </cell>
          <cell r="S171">
            <v>150000</v>
          </cell>
          <cell r="T171">
            <v>3138400</v>
          </cell>
          <cell r="V171">
            <v>0</v>
          </cell>
          <cell r="W171">
            <v>0</v>
          </cell>
          <cell r="X171">
            <v>0</v>
          </cell>
          <cell r="Z171">
            <v>0</v>
          </cell>
          <cell r="AB171">
            <v>0</v>
          </cell>
          <cell r="AD171">
            <v>0</v>
          </cell>
          <cell r="AE171" t="str">
            <v>ya</v>
          </cell>
          <cell r="AF171">
            <v>210000</v>
          </cell>
          <cell r="AH171" t="str">
            <v xml:space="preserve">Angkutan Umum </v>
          </cell>
          <cell r="AI171" t="str">
            <v>Akademi Pariwisata Nasional</v>
          </cell>
        </row>
        <row r="172">
          <cell r="A172">
            <v>171</v>
          </cell>
          <cell r="B172" t="str">
            <v>Noviyanto</v>
          </cell>
          <cell r="C172" t="str">
            <v>198111262008121001</v>
          </cell>
          <cell r="D172" t="str">
            <v>Analis Sistem Informasi pada Seksi Sistem Informasi pada Bidang Kelembagaan, dan Sistem Informasi</v>
          </cell>
          <cell r="E172" t="str">
            <v>III/c</v>
          </cell>
          <cell r="F172" t="str">
            <v>253270904432000</v>
          </cell>
          <cell r="G172" t="str">
            <v>Penata</v>
          </cell>
          <cell r="H172" t="str">
            <v>Melakukan Monitoring dan Evaluasi ke Universitas Nasional</v>
          </cell>
          <cell r="I172" t="str">
            <v>DKI Jakarta</v>
          </cell>
          <cell r="J172" t="str">
            <v>DKI Jakarta</v>
          </cell>
          <cell r="K172">
            <v>1</v>
          </cell>
          <cell r="L172" t="str">
            <v>15 April 2019</v>
          </cell>
          <cell r="M172" t="str">
            <v>15 April 2019</v>
          </cell>
          <cell r="N172">
            <v>524114</v>
          </cell>
          <cell r="O172" t="str">
            <v>Belanja Perjalanan Dinas Paket Meeting Dalam Kota</v>
          </cell>
          <cell r="P172" t="str">
            <v>641/L3/TU/KA.11.00/2019</v>
          </cell>
          <cell r="Q172" t="str">
            <v>15 April 2019</v>
          </cell>
          <cell r="R172" t="str">
            <v>ya</v>
          </cell>
          <cell r="S172">
            <v>150000</v>
          </cell>
          <cell r="T172">
            <v>3138400</v>
          </cell>
          <cell r="V172">
            <v>0</v>
          </cell>
          <cell r="W172">
            <v>0</v>
          </cell>
          <cell r="X172">
            <v>0</v>
          </cell>
          <cell r="Z172">
            <v>0</v>
          </cell>
          <cell r="AB172">
            <v>0</v>
          </cell>
          <cell r="AD172">
            <v>0</v>
          </cell>
          <cell r="AE172" t="str">
            <v>ya</v>
          </cell>
          <cell r="AF172">
            <v>210000</v>
          </cell>
          <cell r="AH172" t="str">
            <v xml:space="preserve">Angkutan Umum </v>
          </cell>
          <cell r="AI172" t="str">
            <v>Universitas Nasional</v>
          </cell>
        </row>
        <row r="173">
          <cell r="A173">
            <v>172</v>
          </cell>
          <cell r="B173" t="str">
            <v>Titah Widihastuti</v>
          </cell>
          <cell r="C173" t="str">
            <v>198312302010122003</v>
          </cell>
          <cell r="D173" t="str">
            <v>Analis Sistem Informasi pada Seksi Sistem Informasi pada Bidang Kelembagaan, dan Sistem Informasi</v>
          </cell>
          <cell r="E173" t="str">
            <v>III/b</v>
          </cell>
          <cell r="F173" t="str">
            <v>678780578009000</v>
          </cell>
          <cell r="G173" t="str">
            <v>Penata Muda Tk. I</v>
          </cell>
          <cell r="H173" t="str">
            <v>Melakukan Monitoring dan Evaluasi ke Universitas Nasional</v>
          </cell>
          <cell r="I173" t="str">
            <v>DKI Jakarta</v>
          </cell>
          <cell r="J173" t="str">
            <v>DKI Jakarta</v>
          </cell>
          <cell r="K173">
            <v>1</v>
          </cell>
          <cell r="L173" t="str">
            <v>15 April 2019</v>
          </cell>
          <cell r="M173" t="str">
            <v>15 April 2019</v>
          </cell>
          <cell r="N173">
            <v>524114</v>
          </cell>
          <cell r="O173" t="str">
            <v>Belanja Perjalanan Dinas Paket Meeting Dalam Kota</v>
          </cell>
          <cell r="P173" t="str">
            <v>641/L3/TU/KA.11.00/2019</v>
          </cell>
          <cell r="Q173" t="str">
            <v>15 April 2019</v>
          </cell>
          <cell r="R173" t="str">
            <v>ya</v>
          </cell>
          <cell r="S173">
            <v>150000</v>
          </cell>
          <cell r="T173">
            <v>3138400</v>
          </cell>
          <cell r="V173">
            <v>0</v>
          </cell>
          <cell r="W173">
            <v>0</v>
          </cell>
          <cell r="X173">
            <v>0</v>
          </cell>
          <cell r="Z173">
            <v>0</v>
          </cell>
          <cell r="AB173">
            <v>0</v>
          </cell>
          <cell r="AD173">
            <v>0</v>
          </cell>
          <cell r="AE173" t="str">
            <v>ya</v>
          </cell>
          <cell r="AF173">
            <v>210000</v>
          </cell>
          <cell r="AH173" t="str">
            <v xml:space="preserve">Angkutan Umum </v>
          </cell>
          <cell r="AI173" t="str">
            <v>Universitas Nasional</v>
          </cell>
        </row>
        <row r="174">
          <cell r="A174">
            <v>173</v>
          </cell>
          <cell r="B174" t="str">
            <v>Raafita Agustiana</v>
          </cell>
          <cell r="C174" t="str">
            <v>198508282010122004</v>
          </cell>
          <cell r="D174" t="str">
            <v>Analis Pelaksanaan Akademik Dan Kemahasiswaan pada Seksi Akademik, dan Kemahasiswaan pada Bidang Akademik, Kemahasiswaan, dan Ketenagaan</v>
          </cell>
          <cell r="E174" t="str">
            <v>III/b</v>
          </cell>
          <cell r="F174" t="str">
            <v>255713943615000</v>
          </cell>
          <cell r="G174" t="str">
            <v>Penata Muda Tk. I</v>
          </cell>
          <cell r="H174" t="str">
            <v>Melakukan Monitoring dan Evaluasi ke Universitas Nasional</v>
          </cell>
          <cell r="I174" t="str">
            <v>DKI Jakarta</v>
          </cell>
          <cell r="J174" t="str">
            <v>DKI Jakarta</v>
          </cell>
          <cell r="K174">
            <v>1</v>
          </cell>
          <cell r="L174" t="str">
            <v>15 April 2019</v>
          </cell>
          <cell r="M174" t="str">
            <v>15 April 2019</v>
          </cell>
          <cell r="N174">
            <v>524114</v>
          </cell>
          <cell r="O174" t="str">
            <v>Belanja Perjalanan Dinas Paket Meeting Dalam Kota</v>
          </cell>
          <cell r="P174" t="str">
            <v>641/L3/TU/KA.11.00/2019</v>
          </cell>
          <cell r="Q174" t="str">
            <v>15 April 2019</v>
          </cell>
          <cell r="R174" t="str">
            <v>ya</v>
          </cell>
          <cell r="S174">
            <v>150000</v>
          </cell>
          <cell r="T174">
            <v>3138400</v>
          </cell>
          <cell r="V174">
            <v>0</v>
          </cell>
          <cell r="W174">
            <v>0</v>
          </cell>
          <cell r="X174">
            <v>0</v>
          </cell>
          <cell r="Z174">
            <v>0</v>
          </cell>
          <cell r="AB174">
            <v>0</v>
          </cell>
          <cell r="AD174">
            <v>0</v>
          </cell>
          <cell r="AE174" t="str">
            <v>ya</v>
          </cell>
          <cell r="AF174">
            <v>210000</v>
          </cell>
          <cell r="AH174" t="str">
            <v xml:space="preserve">Angkutan Umum </v>
          </cell>
          <cell r="AI174" t="str">
            <v>Universitas Nasional</v>
          </cell>
        </row>
        <row r="175">
          <cell r="A175">
            <v>174</v>
          </cell>
          <cell r="B175" t="str">
            <v>Afrida Anis</v>
          </cell>
          <cell r="C175" t="str">
            <v>197002051994032002</v>
          </cell>
          <cell r="D175" t="str">
            <v>Pengelola Pendidikan Dan Tenaga Kependidikan pada Seksi Ketenagaan pada Bidang Akademik, Kemahasiswaan, dan Ketenagaan</v>
          </cell>
          <cell r="E175" t="str">
            <v>III/d</v>
          </cell>
          <cell r="F175" t="str">
            <v>699452207412000</v>
          </cell>
          <cell r="G175" t="str">
            <v>Penata Tk. I</v>
          </cell>
          <cell r="H175" t="str">
            <v>Melakukan Monitoring dan Evaluasi ke Universitas Nasional</v>
          </cell>
          <cell r="I175" t="str">
            <v>DKI Jakarta</v>
          </cell>
          <cell r="J175" t="str">
            <v>DKI Jakarta</v>
          </cell>
          <cell r="K175">
            <v>1</v>
          </cell>
          <cell r="L175" t="str">
            <v>15 April 2019</v>
          </cell>
          <cell r="M175" t="str">
            <v>15 April 2019</v>
          </cell>
          <cell r="N175">
            <v>524114</v>
          </cell>
          <cell r="O175" t="str">
            <v>Belanja Perjalanan Dinas Paket Meeting Dalam Kota</v>
          </cell>
          <cell r="P175" t="str">
            <v>641/L3/TU/KA.11.00/2019</v>
          </cell>
          <cell r="Q175" t="str">
            <v>15 April 2019</v>
          </cell>
          <cell r="R175" t="str">
            <v>ya</v>
          </cell>
          <cell r="S175">
            <v>150000</v>
          </cell>
          <cell r="T175">
            <v>3138400</v>
          </cell>
          <cell r="V175">
            <v>0</v>
          </cell>
          <cell r="W175">
            <v>0</v>
          </cell>
          <cell r="X175">
            <v>0</v>
          </cell>
          <cell r="Z175">
            <v>0</v>
          </cell>
          <cell r="AB175">
            <v>0</v>
          </cell>
          <cell r="AD175">
            <v>0</v>
          </cell>
          <cell r="AE175" t="str">
            <v>ya</v>
          </cell>
          <cell r="AF175">
            <v>210000</v>
          </cell>
          <cell r="AH175" t="str">
            <v xml:space="preserve">Angkutan Umum </v>
          </cell>
          <cell r="AI175" t="str">
            <v>Universitas Nasional</v>
          </cell>
        </row>
        <row r="176">
          <cell r="A176">
            <v>175</v>
          </cell>
          <cell r="B176" t="str">
            <v>Santosa</v>
          </cell>
          <cell r="C176" t="str">
            <v>196203301987031002</v>
          </cell>
          <cell r="D176" t="str">
            <v>Pengadministrasi Umum pada Seksi Sistem Informasi pada Bidang Kelembagaan, dan Sistem Informasi</v>
          </cell>
          <cell r="E176" t="str">
            <v>II/c</v>
          </cell>
          <cell r="F176" t="str">
            <v>688766310403000</v>
          </cell>
          <cell r="G176" t="str">
            <v>Pengatur</v>
          </cell>
          <cell r="H176" t="str">
            <v>Melakukan Monitoring dan Evaluasi ke Universitas Nasional</v>
          </cell>
          <cell r="I176" t="str">
            <v>DKI Jakarta</v>
          </cell>
          <cell r="J176" t="str">
            <v>DKI Jakarta</v>
          </cell>
          <cell r="K176">
            <v>1</v>
          </cell>
          <cell r="L176" t="str">
            <v>15 April 2019</v>
          </cell>
          <cell r="M176" t="str">
            <v>15 April 2019</v>
          </cell>
          <cell r="N176">
            <v>524114</v>
          </cell>
          <cell r="O176" t="str">
            <v>Belanja Perjalanan Dinas Paket Meeting Dalam Kota</v>
          </cell>
          <cell r="P176" t="str">
            <v>641/L3/TU/KA.11.00/2019</v>
          </cell>
          <cell r="Q176" t="str">
            <v>15 April 2019</v>
          </cell>
          <cell r="R176" t="str">
            <v>ya</v>
          </cell>
          <cell r="S176">
            <v>150000</v>
          </cell>
          <cell r="T176">
            <v>3138400</v>
          </cell>
          <cell r="V176">
            <v>0</v>
          </cell>
          <cell r="W176">
            <v>0</v>
          </cell>
          <cell r="X176">
            <v>0</v>
          </cell>
          <cell r="Z176">
            <v>0</v>
          </cell>
          <cell r="AB176">
            <v>0</v>
          </cell>
          <cell r="AD176">
            <v>0</v>
          </cell>
          <cell r="AE176" t="str">
            <v>ya</v>
          </cell>
          <cell r="AF176">
            <v>210000</v>
          </cell>
          <cell r="AH176" t="str">
            <v xml:space="preserve">Angkutan Umum </v>
          </cell>
          <cell r="AI176" t="str">
            <v>Universitas Nasional</v>
          </cell>
        </row>
        <row r="177">
          <cell r="A177">
            <v>176</v>
          </cell>
          <cell r="B177" t="str">
            <v>Sri Mastuti</v>
          </cell>
          <cell r="C177" t="str">
            <v>196305161989022001</v>
          </cell>
          <cell r="D177" t="str">
            <v>Kepala Bagian Sumber Daya Perguruan Tinggi</v>
          </cell>
          <cell r="E177" t="str">
            <v>IV/a</v>
          </cell>
          <cell r="F177" t="str">
            <v>688754316072000</v>
          </cell>
          <cell r="G177" t="str">
            <v>Pembina</v>
          </cell>
          <cell r="H177" t="str">
            <v>Melakukan Monitoring dan Evaluasi ke Indraprasta PGRI</v>
          </cell>
          <cell r="I177" t="str">
            <v>DKI Jakarta</v>
          </cell>
          <cell r="J177" t="str">
            <v>DKI Jakarta</v>
          </cell>
          <cell r="K177">
            <v>1</v>
          </cell>
          <cell r="L177" t="str">
            <v>16 April 2019</v>
          </cell>
          <cell r="M177" t="str">
            <v>16 April 2019</v>
          </cell>
          <cell r="N177">
            <v>524114</v>
          </cell>
          <cell r="O177" t="str">
            <v>Belanja Perjalanan Dinas Paket Meeting Dalam Kota</v>
          </cell>
          <cell r="P177" t="str">
            <v>641/L3/TU/KA.11.00/2019</v>
          </cell>
          <cell r="Q177" t="str">
            <v>15 April 2019</v>
          </cell>
          <cell r="R177" t="str">
            <v>ya</v>
          </cell>
          <cell r="S177">
            <v>150000</v>
          </cell>
          <cell r="T177">
            <v>3138400</v>
          </cell>
          <cell r="V177">
            <v>0</v>
          </cell>
          <cell r="W177">
            <v>0</v>
          </cell>
          <cell r="X177">
            <v>0</v>
          </cell>
          <cell r="Z177">
            <v>0</v>
          </cell>
          <cell r="AB177">
            <v>0</v>
          </cell>
          <cell r="AD177">
            <v>0</v>
          </cell>
          <cell r="AE177" t="str">
            <v>ya</v>
          </cell>
          <cell r="AF177">
            <v>210000</v>
          </cell>
          <cell r="AH177" t="str">
            <v xml:space="preserve">Angkutan Umum </v>
          </cell>
          <cell r="AI177" t="str">
            <v>Universitas Indraprasta PGRI</v>
          </cell>
        </row>
        <row r="178">
          <cell r="A178">
            <v>177</v>
          </cell>
          <cell r="B178" t="str">
            <v>Yeni Handayani</v>
          </cell>
          <cell r="C178" t="str">
            <v>198404022015042002</v>
          </cell>
          <cell r="D178" t="str">
            <v>Pengelola Pendidikan Dan Tenaga Kependidikan pada Seksi Ketenagaan pada Bidang Akademik, Kemahasiswaan, dan Ketenagaan</v>
          </cell>
          <cell r="E178" t="str">
            <v>II/c</v>
          </cell>
          <cell r="F178" t="str">
            <v>472793371001000</v>
          </cell>
          <cell r="G178" t="str">
            <v>Pengatur</v>
          </cell>
          <cell r="H178" t="str">
            <v>Melakukan Monitoring dan Evaluasi ke Indraprasta PGRI</v>
          </cell>
          <cell r="I178" t="str">
            <v>DKI Jakarta</v>
          </cell>
          <cell r="J178" t="str">
            <v>DKI Jakarta</v>
          </cell>
          <cell r="K178">
            <v>1</v>
          </cell>
          <cell r="L178" t="str">
            <v>16 April 2019</v>
          </cell>
          <cell r="M178" t="str">
            <v>16 April 2019</v>
          </cell>
          <cell r="N178">
            <v>524114</v>
          </cell>
          <cell r="O178" t="str">
            <v>Belanja Perjalanan Dinas Paket Meeting Dalam Kota</v>
          </cell>
          <cell r="P178" t="str">
            <v>641/L3/TU/KA.11.00/2019</v>
          </cell>
          <cell r="Q178" t="str">
            <v>15 April 2019</v>
          </cell>
          <cell r="R178" t="str">
            <v>ya</v>
          </cell>
          <cell r="S178">
            <v>150000</v>
          </cell>
          <cell r="T178">
            <v>3138400</v>
          </cell>
          <cell r="V178">
            <v>0</v>
          </cell>
          <cell r="W178">
            <v>0</v>
          </cell>
          <cell r="X178">
            <v>0</v>
          </cell>
          <cell r="Z178">
            <v>0</v>
          </cell>
          <cell r="AB178">
            <v>0</v>
          </cell>
          <cell r="AD178">
            <v>0</v>
          </cell>
          <cell r="AE178" t="str">
            <v>ya</v>
          </cell>
          <cell r="AF178">
            <v>210000</v>
          </cell>
          <cell r="AH178" t="str">
            <v xml:space="preserve">Angkutan Umum </v>
          </cell>
          <cell r="AI178" t="str">
            <v>Universitas Indraprasta PGRI</v>
          </cell>
        </row>
        <row r="179">
          <cell r="A179">
            <v>178</v>
          </cell>
          <cell r="B179" t="str">
            <v>Ahmad Mustaadi</v>
          </cell>
          <cell r="C179" t="str">
            <v>196605181989021002</v>
          </cell>
          <cell r="D179" t="str">
            <v>Bendahara  pada Sub. Bagian Keuangan pada Bagian Umum</v>
          </cell>
          <cell r="E179" t="str">
            <v>III/b</v>
          </cell>
          <cell r="F179" t="str">
            <v>688766625432000</v>
          </cell>
          <cell r="G179" t="str">
            <v>Penata Muda Tk. I</v>
          </cell>
          <cell r="H179" t="str">
            <v>Melakukan Monitoring dan Evaluasi ke Indraprasta PGRI</v>
          </cell>
          <cell r="I179" t="str">
            <v>DKI Jakarta</v>
          </cell>
          <cell r="J179" t="str">
            <v>DKI Jakarta</v>
          </cell>
          <cell r="K179">
            <v>1</v>
          </cell>
          <cell r="L179" t="str">
            <v>16 April 2019</v>
          </cell>
          <cell r="M179" t="str">
            <v>16 April 2019</v>
          </cell>
          <cell r="N179">
            <v>524114</v>
          </cell>
          <cell r="O179" t="str">
            <v>Belanja Perjalanan Dinas Paket Meeting Dalam Kota</v>
          </cell>
          <cell r="P179" t="str">
            <v>641/L3/TU/KA.11.00/2019</v>
          </cell>
          <cell r="Q179" t="str">
            <v>15 April 2019</v>
          </cell>
          <cell r="R179" t="str">
            <v>ya</v>
          </cell>
          <cell r="S179">
            <v>150000</v>
          </cell>
          <cell r="T179">
            <v>3138400</v>
          </cell>
          <cell r="V179">
            <v>0</v>
          </cell>
          <cell r="W179">
            <v>0</v>
          </cell>
          <cell r="X179">
            <v>0</v>
          </cell>
          <cell r="Z179">
            <v>0</v>
          </cell>
          <cell r="AB179">
            <v>0</v>
          </cell>
          <cell r="AD179">
            <v>0</v>
          </cell>
          <cell r="AE179" t="str">
            <v>ya</v>
          </cell>
          <cell r="AF179">
            <v>210000</v>
          </cell>
          <cell r="AH179" t="str">
            <v xml:space="preserve">Angkutan Umum </v>
          </cell>
          <cell r="AI179" t="str">
            <v>Universitas Indraprasta PGRI</v>
          </cell>
        </row>
        <row r="180">
          <cell r="A180">
            <v>179</v>
          </cell>
          <cell r="B180" t="str">
            <v>Endang Sutisna</v>
          </cell>
          <cell r="C180" t="str">
            <v>197406292005011001</v>
          </cell>
          <cell r="D180" t="str">
            <v>Pengadministrasi Kepegawaian pada Sub. Bagian Kepegawaian pada Bagian Umum</v>
          </cell>
          <cell r="E180" t="str">
            <v>II/d</v>
          </cell>
          <cell r="F180" t="str">
            <v>688754233412000</v>
          </cell>
          <cell r="G180" t="str">
            <v>Pengatur Tk. I</v>
          </cell>
          <cell r="H180" t="str">
            <v>Melakukan Monitoring dan Evaluasi ke Indraprasta PGRI</v>
          </cell>
          <cell r="I180" t="str">
            <v>DKI Jakarta</v>
          </cell>
          <cell r="J180" t="str">
            <v>DKI Jakarta</v>
          </cell>
          <cell r="K180">
            <v>1</v>
          </cell>
          <cell r="L180" t="str">
            <v>16 April 2019</v>
          </cell>
          <cell r="M180" t="str">
            <v>16 April 2019</v>
          </cell>
          <cell r="N180">
            <v>524114</v>
          </cell>
          <cell r="O180" t="str">
            <v>Belanja Perjalanan Dinas Paket Meeting Dalam Kota</v>
          </cell>
          <cell r="P180" t="str">
            <v>641/L3/TU/KA.11.00/2019</v>
          </cell>
          <cell r="Q180" t="str">
            <v>15 April 2019</v>
          </cell>
          <cell r="R180" t="str">
            <v>ya</v>
          </cell>
          <cell r="S180">
            <v>150000</v>
          </cell>
          <cell r="T180">
            <v>3138400</v>
          </cell>
          <cell r="V180">
            <v>0</v>
          </cell>
          <cell r="W180">
            <v>0</v>
          </cell>
          <cell r="X180">
            <v>0</v>
          </cell>
          <cell r="Z180">
            <v>0</v>
          </cell>
          <cell r="AB180">
            <v>0</v>
          </cell>
          <cell r="AD180">
            <v>0</v>
          </cell>
          <cell r="AE180" t="str">
            <v>ya</v>
          </cell>
          <cell r="AF180">
            <v>210000</v>
          </cell>
          <cell r="AH180" t="str">
            <v xml:space="preserve">Angkutan Umum </v>
          </cell>
          <cell r="AI180" t="str">
            <v>Universitas Indraprasta PGRI</v>
          </cell>
        </row>
        <row r="181">
          <cell r="A181">
            <v>180</v>
          </cell>
          <cell r="B181" t="str">
            <v>Mardhiahturrahmy</v>
          </cell>
          <cell r="C181" t="str">
            <v>196205111986032001</v>
          </cell>
          <cell r="D181" t="str">
            <v>Pengadministrasi Pendidik Dan Tenaga Kependidikan pada Seksi Ketenagaan pada Bidang Akademik, Kemahasiswaan, dan Ketenagaan</v>
          </cell>
          <cell r="E181" t="str">
            <v>III/b</v>
          </cell>
          <cell r="F181" t="str">
            <v>688766369432000</v>
          </cell>
          <cell r="G181" t="str">
            <v>Penata Muda Tk. I</v>
          </cell>
          <cell r="H181" t="str">
            <v>Melakukan Monitoring dan Evaluasi ke Indraprasta PGRI</v>
          </cell>
          <cell r="I181" t="str">
            <v>DKI Jakarta</v>
          </cell>
          <cell r="J181" t="str">
            <v>DKI Jakarta</v>
          </cell>
          <cell r="K181">
            <v>1</v>
          </cell>
          <cell r="L181" t="str">
            <v>16 April 2019</v>
          </cell>
          <cell r="M181" t="str">
            <v>16 April 2019</v>
          </cell>
          <cell r="N181">
            <v>524114</v>
          </cell>
          <cell r="O181" t="str">
            <v>Belanja Perjalanan Dinas Paket Meeting Dalam Kota</v>
          </cell>
          <cell r="P181" t="str">
            <v>641/L3/TU/KA.11.00/2019</v>
          </cell>
          <cell r="Q181" t="str">
            <v>15 April 2019</v>
          </cell>
          <cell r="R181" t="str">
            <v>ya</v>
          </cell>
          <cell r="S181">
            <v>150000</v>
          </cell>
          <cell r="T181">
            <v>3138400</v>
          </cell>
          <cell r="V181">
            <v>0</v>
          </cell>
          <cell r="W181">
            <v>0</v>
          </cell>
          <cell r="X181">
            <v>0</v>
          </cell>
          <cell r="Z181">
            <v>0</v>
          </cell>
          <cell r="AB181">
            <v>0</v>
          </cell>
          <cell r="AD181">
            <v>0</v>
          </cell>
          <cell r="AE181" t="str">
            <v>ya</v>
          </cell>
          <cell r="AF181">
            <v>210000</v>
          </cell>
          <cell r="AH181" t="str">
            <v xml:space="preserve">Angkutan Umum </v>
          </cell>
          <cell r="AI181" t="str">
            <v>Universitas Indraprasta PGRI</v>
          </cell>
        </row>
        <row r="182">
          <cell r="A182">
            <v>181</v>
          </cell>
          <cell r="B182" t="str">
            <v>Norsanty</v>
          </cell>
          <cell r="C182" t="str">
            <v>196411031992032001</v>
          </cell>
          <cell r="D182" t="str">
            <v>Kepala Bagian Kelembagaan dan Sistem Informasi</v>
          </cell>
          <cell r="E182" t="str">
            <v>III/d</v>
          </cell>
          <cell r="F182" t="str">
            <v>686766484412000</v>
          </cell>
          <cell r="G182" t="str">
            <v>Penata Tk. I</v>
          </cell>
          <cell r="H182" t="str">
            <v>Melakukan Monitoring dan Evaluasi ke STIMIK KUWERA</v>
          </cell>
          <cell r="I182" t="str">
            <v>DKI Jakarta</v>
          </cell>
          <cell r="J182" t="str">
            <v>Tangerang, Banten</v>
          </cell>
          <cell r="K182">
            <v>1</v>
          </cell>
          <cell r="L182" t="str">
            <v>22 April 2019</v>
          </cell>
          <cell r="M182" t="str">
            <v>22 April 2019</v>
          </cell>
          <cell r="N182">
            <v>524114</v>
          </cell>
          <cell r="O182" t="str">
            <v>Belanja Perjalanan Dinas Paket Meeting Dalam Kota</v>
          </cell>
          <cell r="P182" t="str">
            <v>641/L3/TU/KA.11.00/2019</v>
          </cell>
          <cell r="Q182" t="str">
            <v>15 April 2019</v>
          </cell>
          <cell r="R182" t="str">
            <v>ya</v>
          </cell>
          <cell r="S182">
            <v>568000</v>
          </cell>
          <cell r="T182">
            <v>3138400</v>
          </cell>
          <cell r="V182">
            <v>0</v>
          </cell>
          <cell r="W182">
            <v>0</v>
          </cell>
          <cell r="X182">
            <v>0</v>
          </cell>
          <cell r="Z182">
            <v>0</v>
          </cell>
          <cell r="AB182">
            <v>0</v>
          </cell>
          <cell r="AD182">
            <v>0</v>
          </cell>
          <cell r="AE182" t="str">
            <v>ya</v>
          </cell>
          <cell r="AF182">
            <v>430000</v>
          </cell>
          <cell r="AH182" t="str">
            <v xml:space="preserve">Angkutan Umum </v>
          </cell>
          <cell r="AI182" t="str">
            <v>STIMIK KUWERA</v>
          </cell>
        </row>
        <row r="183">
          <cell r="A183">
            <v>182</v>
          </cell>
          <cell r="B183" t="str">
            <v>Yan Medya Putri</v>
          </cell>
          <cell r="C183" t="str">
            <v>197101162005012001</v>
          </cell>
          <cell r="D183" t="str">
            <v>Pengelola Keuangan pada Sub. Bagian Keuangan pada Bagian Umum</v>
          </cell>
          <cell r="E183" t="str">
            <v>III/d</v>
          </cell>
          <cell r="F183" t="str">
            <v>594025884432000</v>
          </cell>
          <cell r="G183" t="str">
            <v>Penata Tk. I</v>
          </cell>
          <cell r="H183" t="str">
            <v>Melakukan Monitoring dan Evaluasi ke STIMIK KUWERA</v>
          </cell>
          <cell r="I183" t="str">
            <v>DKI Jakarta</v>
          </cell>
          <cell r="J183" t="str">
            <v>Tangerang, Banten</v>
          </cell>
          <cell r="K183">
            <v>1</v>
          </cell>
          <cell r="L183" t="str">
            <v>22 April 2019</v>
          </cell>
          <cell r="M183" t="str">
            <v>22 April 2019</v>
          </cell>
          <cell r="N183">
            <v>524114</v>
          </cell>
          <cell r="O183" t="str">
            <v>Belanja Perjalanan Dinas Paket Meeting Dalam Kota</v>
          </cell>
          <cell r="P183" t="str">
            <v>641/L3/TU/KA.11.00/2019</v>
          </cell>
          <cell r="Q183" t="str">
            <v>15 April 2019</v>
          </cell>
          <cell r="R183" t="str">
            <v>ya</v>
          </cell>
          <cell r="S183">
            <v>568000</v>
          </cell>
          <cell r="T183">
            <v>3138400</v>
          </cell>
          <cell r="V183">
            <v>0</v>
          </cell>
          <cell r="W183">
            <v>0</v>
          </cell>
          <cell r="X183">
            <v>0</v>
          </cell>
          <cell r="Z183">
            <v>0</v>
          </cell>
          <cell r="AB183">
            <v>0</v>
          </cell>
          <cell r="AD183">
            <v>0</v>
          </cell>
          <cell r="AE183" t="str">
            <v>ya</v>
          </cell>
          <cell r="AF183">
            <v>430000</v>
          </cell>
          <cell r="AH183" t="str">
            <v xml:space="preserve">Angkutan Umum </v>
          </cell>
          <cell r="AI183" t="str">
            <v>STIMIK KUWERA</v>
          </cell>
        </row>
        <row r="184">
          <cell r="A184">
            <v>183</v>
          </cell>
          <cell r="B184" t="str">
            <v>Sri Weningsih</v>
          </cell>
          <cell r="C184" t="str">
            <v>196104251989022001</v>
          </cell>
          <cell r="D184" t="str">
            <v>Penyusun Bahan Publikasi pada Seksi Sistem Informasi pada Bidang Kelembagaan, dan Sistem Informasi</v>
          </cell>
          <cell r="E184" t="str">
            <v>III/d</v>
          </cell>
          <cell r="F184" t="str">
            <v>688766351024000</v>
          </cell>
          <cell r="G184" t="str">
            <v>Penata Tk. I</v>
          </cell>
          <cell r="H184" t="str">
            <v>Melakukan Monitoring dan Evaluasi ke STIMIK KUWERA</v>
          </cell>
          <cell r="I184" t="str">
            <v>DKI Jakarta</v>
          </cell>
          <cell r="J184" t="str">
            <v>Tangerang, Banten</v>
          </cell>
          <cell r="K184">
            <v>1</v>
          </cell>
          <cell r="L184" t="str">
            <v>22 April 2019</v>
          </cell>
          <cell r="M184" t="str">
            <v>22 April 2019</v>
          </cell>
          <cell r="N184">
            <v>524114</v>
          </cell>
          <cell r="O184" t="str">
            <v>Belanja Perjalanan Dinas Paket Meeting Dalam Kota</v>
          </cell>
          <cell r="P184" t="str">
            <v>641/L3/TU/KA.11.00/2019</v>
          </cell>
          <cell r="Q184" t="str">
            <v>15 April 2019</v>
          </cell>
          <cell r="R184" t="str">
            <v>ya</v>
          </cell>
          <cell r="S184">
            <v>568000</v>
          </cell>
          <cell r="T184">
            <v>3138400</v>
          </cell>
          <cell r="V184">
            <v>0</v>
          </cell>
          <cell r="W184">
            <v>0</v>
          </cell>
          <cell r="X184">
            <v>0</v>
          </cell>
          <cell r="Z184">
            <v>0</v>
          </cell>
          <cell r="AB184">
            <v>0</v>
          </cell>
          <cell r="AD184">
            <v>0</v>
          </cell>
          <cell r="AE184" t="str">
            <v>ya</v>
          </cell>
          <cell r="AF184">
            <v>430000</v>
          </cell>
          <cell r="AH184" t="str">
            <v xml:space="preserve">Angkutan Umum </v>
          </cell>
          <cell r="AI184" t="str">
            <v>STIMIK KUWERA</v>
          </cell>
        </row>
        <row r="185">
          <cell r="A185">
            <v>184</v>
          </cell>
          <cell r="B185" t="str">
            <v>Mohammad Hidayat</v>
          </cell>
          <cell r="C185" t="str">
            <v>196410311987031001</v>
          </cell>
          <cell r="D185" t="str">
            <v>Pengelola Informasi Kerjasama pada Seksi Kelembagaan, dan Kerjasama pada Bidang Kelembagaan, dan Sistem Informasi</v>
          </cell>
          <cell r="E185" t="str">
            <v>IV/a</v>
          </cell>
          <cell r="F185" t="str">
            <v>688766435412000</v>
          </cell>
          <cell r="G185" t="str">
            <v>Pembina</v>
          </cell>
          <cell r="H185" t="str">
            <v>Melakukan Monitoring dan Evaluasi ke STIMIK KUWERA</v>
          </cell>
          <cell r="I185" t="str">
            <v>DKI Jakarta</v>
          </cell>
          <cell r="J185" t="str">
            <v>Tangerang, Banten</v>
          </cell>
          <cell r="K185">
            <v>1</v>
          </cell>
          <cell r="L185" t="str">
            <v>22 April 2019</v>
          </cell>
          <cell r="M185" t="str">
            <v>22 April 2019</v>
          </cell>
          <cell r="N185">
            <v>524114</v>
          </cell>
          <cell r="O185" t="str">
            <v>Belanja Perjalanan Dinas Paket Meeting Dalam Kota</v>
          </cell>
          <cell r="P185" t="str">
            <v>641/L3/TU/KA.11.00/2019</v>
          </cell>
          <cell r="Q185" t="str">
            <v>15 April 2019</v>
          </cell>
          <cell r="R185" t="str">
            <v>ya</v>
          </cell>
          <cell r="S185">
            <v>568000</v>
          </cell>
          <cell r="T185">
            <v>3138400</v>
          </cell>
          <cell r="V185">
            <v>0</v>
          </cell>
          <cell r="W185">
            <v>0</v>
          </cell>
          <cell r="X185">
            <v>0</v>
          </cell>
          <cell r="Z185">
            <v>0</v>
          </cell>
          <cell r="AB185">
            <v>0</v>
          </cell>
          <cell r="AD185">
            <v>0</v>
          </cell>
          <cell r="AE185" t="str">
            <v>ya</v>
          </cell>
          <cell r="AF185">
            <v>430000</v>
          </cell>
          <cell r="AH185" t="str">
            <v xml:space="preserve">Angkutan Umum </v>
          </cell>
          <cell r="AI185" t="str">
            <v>STIMIK KUWERA</v>
          </cell>
        </row>
        <row r="186">
          <cell r="A186">
            <v>185</v>
          </cell>
          <cell r="B186" t="str">
            <v>Sigit Nugroho</v>
          </cell>
          <cell r="C186" t="str">
            <v>-</v>
          </cell>
          <cell r="D186" t="str">
            <v>PPNPN</v>
          </cell>
          <cell r="E186" t="str">
            <v>-</v>
          </cell>
          <cell r="F186" t="str">
            <v>865743249004000</v>
          </cell>
          <cell r="G186" t="str">
            <v>-</v>
          </cell>
          <cell r="H186" t="str">
            <v>Melakukan Monitoring dan Evaluasi ke STIMIK KUWERA</v>
          </cell>
          <cell r="I186" t="str">
            <v>DKI Jakarta</v>
          </cell>
          <cell r="J186" t="str">
            <v>Tangerang, Banten</v>
          </cell>
          <cell r="K186">
            <v>1</v>
          </cell>
          <cell r="L186" t="str">
            <v>22 April 2019</v>
          </cell>
          <cell r="M186" t="str">
            <v>22 April 2019</v>
          </cell>
          <cell r="N186">
            <v>524114</v>
          </cell>
          <cell r="O186" t="str">
            <v>Belanja Perjalanan Dinas Paket Meeting Dalam Kota</v>
          </cell>
          <cell r="P186" t="str">
            <v>641/L3/TU/KA.11.00/2019</v>
          </cell>
          <cell r="Q186" t="str">
            <v>15 April 2019</v>
          </cell>
          <cell r="R186" t="str">
            <v>ya</v>
          </cell>
          <cell r="S186">
            <v>568000</v>
          </cell>
          <cell r="T186">
            <v>3138400</v>
          </cell>
          <cell r="V186">
            <v>0</v>
          </cell>
          <cell r="W186">
            <v>0</v>
          </cell>
          <cell r="X186">
            <v>0</v>
          </cell>
          <cell r="Z186">
            <v>0</v>
          </cell>
          <cell r="AB186">
            <v>0</v>
          </cell>
          <cell r="AD186">
            <v>0</v>
          </cell>
          <cell r="AE186" t="str">
            <v>ya</v>
          </cell>
          <cell r="AF186">
            <v>430000</v>
          </cell>
          <cell r="AH186" t="str">
            <v xml:space="preserve">Angkutan Umum </v>
          </cell>
          <cell r="AI186" t="str">
            <v>STIMIK KUWERA</v>
          </cell>
        </row>
        <row r="187">
          <cell r="A187">
            <v>186</v>
          </cell>
          <cell r="B187" t="str">
            <v>Sugiarto</v>
          </cell>
          <cell r="C187" t="str">
            <v>196303021985101001</v>
          </cell>
          <cell r="D187" t="str">
            <v>Pengelola Informasi Kerjasama pada Seksi Kelembagaan, dan Kerjasama pada Bidang Kelembagaan, dan Sistem Informasi</v>
          </cell>
          <cell r="E187" t="str">
            <v>III/b</v>
          </cell>
          <cell r="F187" t="str">
            <v>688766377024000</v>
          </cell>
          <cell r="G187" t="str">
            <v>Penata Muda Tk. I</v>
          </cell>
          <cell r="H187" t="str">
            <v>Melakukan Monitoring dan Evaluasi ke Akademi Kimia Analis Caraka</v>
          </cell>
          <cell r="I187" t="str">
            <v>DKI Jakarta</v>
          </cell>
          <cell r="J187" t="str">
            <v>Depok, Jawa Barat</v>
          </cell>
          <cell r="K187">
            <v>1</v>
          </cell>
          <cell r="L187" t="str">
            <v>22 April 2019</v>
          </cell>
          <cell r="M187" t="str">
            <v>22 April 2019</v>
          </cell>
          <cell r="N187">
            <v>524114</v>
          </cell>
          <cell r="O187" t="str">
            <v>Belanja Perjalanan Dinas Paket Meeting Dalam Kota</v>
          </cell>
          <cell r="P187" t="str">
            <v>641/L3/TU/KA.11.00/2019</v>
          </cell>
          <cell r="Q187" t="str">
            <v>15 April 2019</v>
          </cell>
          <cell r="R187" t="str">
            <v>ya</v>
          </cell>
          <cell r="S187">
            <v>568000</v>
          </cell>
          <cell r="T187">
            <v>3138400</v>
          </cell>
          <cell r="AE187" t="str">
            <v>ya</v>
          </cell>
          <cell r="AF187">
            <v>430000</v>
          </cell>
          <cell r="AH187" t="str">
            <v xml:space="preserve">Angkutan Umum </v>
          </cell>
          <cell r="AI187" t="str">
            <v>Akademi Kimia Analis Caraka</v>
          </cell>
        </row>
        <row r="188">
          <cell r="A188">
            <v>187</v>
          </cell>
          <cell r="B188" t="str">
            <v>Taufan Setyo Pranggono</v>
          </cell>
          <cell r="C188" t="str">
            <v>198303162010121006</v>
          </cell>
          <cell r="D188" t="str">
            <v>Analis Organisasi dan Tata Laksana pada Sub. Bagian Kepegawaian pada Bagian Umum</v>
          </cell>
          <cell r="E188" t="str">
            <v>III/b</v>
          </cell>
          <cell r="F188" t="str">
            <v>367289113432000</v>
          </cell>
          <cell r="G188" t="str">
            <v>Penata Muda Tk. I</v>
          </cell>
          <cell r="H188" t="str">
            <v>Melakukan Monitoring dan Evaluasi ke Akademi Kimia Analis Caraka</v>
          </cell>
          <cell r="I188" t="str">
            <v>DKI Jakarta</v>
          </cell>
          <cell r="J188" t="str">
            <v>Depok, Jawa Barat</v>
          </cell>
          <cell r="K188">
            <v>1</v>
          </cell>
          <cell r="L188" t="str">
            <v>22 April 2019</v>
          </cell>
          <cell r="M188" t="str">
            <v>22 April 2019</v>
          </cell>
          <cell r="N188">
            <v>524114</v>
          </cell>
          <cell r="O188" t="str">
            <v>Belanja Perjalanan Dinas Paket Meeting Dalam Kota</v>
          </cell>
          <cell r="P188" t="str">
            <v>641/L3/TU/KA.11.00/2019</v>
          </cell>
          <cell r="Q188" t="str">
            <v>15 April 2019</v>
          </cell>
          <cell r="R188" t="str">
            <v>ya</v>
          </cell>
          <cell r="S188">
            <v>568000</v>
          </cell>
          <cell r="T188">
            <v>3138400</v>
          </cell>
          <cell r="AE188" t="str">
            <v>ya</v>
          </cell>
          <cell r="AF188">
            <v>430000</v>
          </cell>
          <cell r="AH188" t="str">
            <v xml:space="preserve">Angkutan Umum </v>
          </cell>
          <cell r="AI188" t="str">
            <v>Akademi Kimia Analis Caraka</v>
          </cell>
        </row>
        <row r="189">
          <cell r="A189">
            <v>188</v>
          </cell>
          <cell r="B189" t="str">
            <v>Nur Fadillah</v>
          </cell>
          <cell r="C189" t="str">
            <v>198603192009122007</v>
          </cell>
          <cell r="D189" t="str">
            <v>Pengadministrasi Keuangan pada Sub. Bagian Keuangan pada Bagian Umum</v>
          </cell>
          <cell r="E189" t="str">
            <v>III/b</v>
          </cell>
          <cell r="F189" t="str">
            <v>348345349432000</v>
          </cell>
          <cell r="G189" t="str">
            <v>Penata Muda Tk. I</v>
          </cell>
          <cell r="H189" t="str">
            <v>Melakukan Monitoring dan Evaluasi ke Akademi Kimia Analis Caraka</v>
          </cell>
          <cell r="I189" t="str">
            <v>DKI Jakarta</v>
          </cell>
          <cell r="J189" t="str">
            <v>Depok, Jawa Barat</v>
          </cell>
          <cell r="K189">
            <v>1</v>
          </cell>
          <cell r="L189" t="str">
            <v>22 April 2019</v>
          </cell>
          <cell r="M189" t="str">
            <v>22 April 2019</v>
          </cell>
          <cell r="N189">
            <v>524114</v>
          </cell>
          <cell r="O189" t="str">
            <v>Belanja Perjalanan Dinas Paket Meeting Dalam Kota</v>
          </cell>
          <cell r="P189" t="str">
            <v>641/L3/TU/KA.11.00/2019</v>
          </cell>
          <cell r="Q189" t="str">
            <v>15 April 2019</v>
          </cell>
          <cell r="R189" t="str">
            <v>ya</v>
          </cell>
          <cell r="S189">
            <v>568000</v>
          </cell>
          <cell r="T189">
            <v>3138400</v>
          </cell>
          <cell r="AE189" t="str">
            <v>ya</v>
          </cell>
          <cell r="AF189">
            <v>430000</v>
          </cell>
          <cell r="AH189" t="str">
            <v xml:space="preserve">Angkutan Umum </v>
          </cell>
          <cell r="AI189" t="str">
            <v>Akademi Kimia Analis Caraka</v>
          </cell>
        </row>
        <row r="190">
          <cell r="A190">
            <v>189</v>
          </cell>
          <cell r="B190" t="str">
            <v>Nurul Amalia</v>
          </cell>
          <cell r="C190" t="str">
            <v>-</v>
          </cell>
          <cell r="D190" t="str">
            <v>PPNPN</v>
          </cell>
          <cell r="E190" t="str">
            <v>-</v>
          </cell>
          <cell r="F190">
            <v>0</v>
          </cell>
          <cell r="G190" t="str">
            <v>-</v>
          </cell>
          <cell r="H190" t="str">
            <v>Melakukan Monitoring dan Evaluasi ke Akademi Kimia Analis Caraka</v>
          </cell>
          <cell r="I190" t="str">
            <v>DKI Jakarta</v>
          </cell>
          <cell r="J190" t="str">
            <v>Depok, Jawa Barat</v>
          </cell>
          <cell r="K190">
            <v>1</v>
          </cell>
          <cell r="L190" t="str">
            <v>22 April 2019</v>
          </cell>
          <cell r="M190" t="str">
            <v>22 April 2019</v>
          </cell>
          <cell r="N190">
            <v>524114</v>
          </cell>
          <cell r="O190" t="str">
            <v>Belanja Perjalanan Dinas Paket Meeting Dalam Kota</v>
          </cell>
          <cell r="P190" t="str">
            <v>641/L3/TU/KA.11.00/2019</v>
          </cell>
          <cell r="Q190" t="str">
            <v>15 April 2019</v>
          </cell>
          <cell r="R190" t="str">
            <v>ya</v>
          </cell>
          <cell r="S190">
            <v>568000</v>
          </cell>
          <cell r="T190">
            <v>3138400</v>
          </cell>
          <cell r="AE190" t="str">
            <v>ya</v>
          </cell>
          <cell r="AF190">
            <v>430000</v>
          </cell>
          <cell r="AH190" t="str">
            <v xml:space="preserve">Angkutan Umum </v>
          </cell>
          <cell r="AI190" t="str">
            <v>Akademi Kimia Analis Caraka</v>
          </cell>
        </row>
        <row r="191">
          <cell r="A191">
            <v>190</v>
          </cell>
          <cell r="B191" t="str">
            <v>Titah Widihastuti</v>
          </cell>
          <cell r="C191" t="str">
            <v>198312302010122003</v>
          </cell>
          <cell r="D191" t="str">
            <v>Analis Sistem Informasi pada Seksi Sistem Informasi pada Bidang Kelembagaan, dan Sistem Informasi</v>
          </cell>
          <cell r="E191" t="str">
            <v>III/b</v>
          </cell>
          <cell r="F191" t="str">
            <v>678780578009000</v>
          </cell>
          <cell r="G191" t="str">
            <v>Penata Muda Tk. I</v>
          </cell>
          <cell r="H191" t="str">
            <v>Melakukan Monitoring dan Evaluasi ke Akademi Kimia Analis Caraka</v>
          </cell>
          <cell r="I191" t="str">
            <v>DKI Jakarta</v>
          </cell>
          <cell r="J191" t="str">
            <v>Depok, Jawa Barat</v>
          </cell>
          <cell r="K191">
            <v>1</v>
          </cell>
          <cell r="L191" t="str">
            <v>22 April 2019</v>
          </cell>
          <cell r="M191" t="str">
            <v>22 April 2019</v>
          </cell>
          <cell r="N191">
            <v>524114</v>
          </cell>
          <cell r="O191" t="str">
            <v>Belanja Perjalanan Dinas Paket Meeting Dalam Kota</v>
          </cell>
          <cell r="P191" t="str">
            <v>641/L3/TU/KA.11.00/2019</v>
          </cell>
          <cell r="Q191" t="str">
            <v>15 April 2019</v>
          </cell>
          <cell r="R191" t="str">
            <v>ya</v>
          </cell>
          <cell r="S191">
            <v>568000</v>
          </cell>
          <cell r="T191">
            <v>3138400</v>
          </cell>
          <cell r="AE191" t="str">
            <v>ya</v>
          </cell>
          <cell r="AF191">
            <v>430000</v>
          </cell>
          <cell r="AH191" t="str">
            <v xml:space="preserve">Angkutan Umum </v>
          </cell>
          <cell r="AI191" t="str">
            <v>Akademi Kimia Analis Caraka</v>
          </cell>
        </row>
        <row r="192">
          <cell r="A192">
            <v>191</v>
          </cell>
          <cell r="B192" t="str">
            <v>Yulianti AS</v>
          </cell>
          <cell r="C192" t="str">
            <v>196507041987032001</v>
          </cell>
          <cell r="D192" t="str">
            <v>Kepala Sub. Bagian Keuangan pada Bagian Umum</v>
          </cell>
          <cell r="E192" t="str">
            <v>III/d</v>
          </cell>
          <cell r="F192" t="str">
            <v>184018083009000</v>
          </cell>
          <cell r="G192" t="str">
            <v>Penata Tk. I</v>
          </cell>
          <cell r="H192" t="str">
            <v>Melakukan Monitoring dan Evaluasi ke Akademik Teknik Telekomunikasi Sandhy Putra</v>
          </cell>
          <cell r="I192" t="str">
            <v>DKI Jakarta</v>
          </cell>
          <cell r="J192" t="str">
            <v>DKI Jakarta</v>
          </cell>
          <cell r="K192">
            <v>1</v>
          </cell>
          <cell r="L192" t="str">
            <v>23 April 2019</v>
          </cell>
          <cell r="M192" t="str">
            <v>23 April 2019</v>
          </cell>
          <cell r="N192">
            <v>524114</v>
          </cell>
          <cell r="O192" t="str">
            <v>Belanja Perjalanan Dinas Paket Meeting Dalam Kota</v>
          </cell>
          <cell r="P192" t="str">
            <v>641/L3/TU/KA.11.00/2019</v>
          </cell>
          <cell r="Q192" t="str">
            <v>15 April 2019</v>
          </cell>
          <cell r="R192" t="str">
            <v>ya</v>
          </cell>
          <cell r="S192">
            <v>150000</v>
          </cell>
          <cell r="T192">
            <v>3138400</v>
          </cell>
          <cell r="V192">
            <v>0</v>
          </cell>
          <cell r="W192">
            <v>0</v>
          </cell>
          <cell r="X192">
            <v>0</v>
          </cell>
          <cell r="Z192">
            <v>0</v>
          </cell>
          <cell r="AB192">
            <v>0</v>
          </cell>
          <cell r="AD192">
            <v>0</v>
          </cell>
          <cell r="AE192" t="str">
            <v>ya</v>
          </cell>
          <cell r="AF192">
            <v>210000</v>
          </cell>
          <cell r="AH192" t="str">
            <v xml:space="preserve">Angkutan Umum </v>
          </cell>
          <cell r="AI192" t="str">
            <v>Akademi Teknik Telekomunikasi Sandhy Putra</v>
          </cell>
        </row>
        <row r="193">
          <cell r="A193">
            <v>192</v>
          </cell>
          <cell r="B193" t="str">
            <v>Tri Munanto</v>
          </cell>
          <cell r="C193" t="str">
            <v>198601212010121003</v>
          </cell>
          <cell r="D193" t="str">
            <v>Analis Kelembagaan pada Seksi Kelembagaan, dan Kerjasama pada Bidang Kelembagaan, dan Sistem Informasi</v>
          </cell>
          <cell r="E193" t="str">
            <v>III/b</v>
          </cell>
          <cell r="F193" t="str">
            <v>248877086013000</v>
          </cell>
          <cell r="G193" t="str">
            <v>Penata Muda Tk. I</v>
          </cell>
          <cell r="H193" t="str">
            <v>Melakukan Monitoring dan Evaluasi ke Akademik Teknik Telekomunikasi Sandhy Putra</v>
          </cell>
          <cell r="I193" t="str">
            <v>DKI Jakarta</v>
          </cell>
          <cell r="J193" t="str">
            <v>DKI Jakarta</v>
          </cell>
          <cell r="K193">
            <v>1</v>
          </cell>
          <cell r="L193" t="str">
            <v>23 April 2019</v>
          </cell>
          <cell r="M193" t="str">
            <v>23 April 2019</v>
          </cell>
          <cell r="N193">
            <v>524114</v>
          </cell>
          <cell r="O193" t="str">
            <v>Belanja Perjalanan Dinas Paket Meeting Dalam Kota</v>
          </cell>
          <cell r="P193" t="str">
            <v>641/L3/TU/KA.11.00/2019</v>
          </cell>
          <cell r="Q193" t="str">
            <v>15 April 2019</v>
          </cell>
          <cell r="R193" t="str">
            <v>ya</v>
          </cell>
          <cell r="S193">
            <v>150000</v>
          </cell>
          <cell r="T193">
            <v>3138400</v>
          </cell>
          <cell r="V193">
            <v>0</v>
          </cell>
          <cell r="W193">
            <v>0</v>
          </cell>
          <cell r="X193">
            <v>0</v>
          </cell>
          <cell r="Z193">
            <v>0</v>
          </cell>
          <cell r="AB193">
            <v>0</v>
          </cell>
          <cell r="AD193">
            <v>0</v>
          </cell>
          <cell r="AE193" t="str">
            <v>ya</v>
          </cell>
          <cell r="AF193">
            <v>210000</v>
          </cell>
          <cell r="AH193" t="str">
            <v xml:space="preserve">Angkutan Umum </v>
          </cell>
          <cell r="AI193" t="str">
            <v>Akademi Teknik Telekomunikasi Sandhy Putra</v>
          </cell>
        </row>
        <row r="194">
          <cell r="A194">
            <v>193</v>
          </cell>
          <cell r="B194" t="str">
            <v>Prayitno</v>
          </cell>
          <cell r="C194" t="str">
            <v>-</v>
          </cell>
          <cell r="D194" t="str">
            <v>PPNPN</v>
          </cell>
          <cell r="E194" t="str">
            <v>-</v>
          </cell>
          <cell r="F194" t="str">
            <v>695075515061000</v>
          </cell>
          <cell r="G194" t="str">
            <v>-</v>
          </cell>
          <cell r="H194" t="str">
            <v>Melakukan Monitoring dan Evaluasi ke Akademik Teknik Telekomunikasi Sandhy Putra</v>
          </cell>
          <cell r="I194" t="str">
            <v>DKI Jakarta</v>
          </cell>
          <cell r="J194" t="str">
            <v>DKI Jakarta</v>
          </cell>
          <cell r="K194">
            <v>1</v>
          </cell>
          <cell r="L194" t="str">
            <v>23 April 2019</v>
          </cell>
          <cell r="M194" t="str">
            <v>23 April 2019</v>
          </cell>
          <cell r="N194">
            <v>524114</v>
          </cell>
          <cell r="O194" t="str">
            <v>Belanja Perjalanan Dinas Paket Meeting Dalam Kota</v>
          </cell>
          <cell r="P194" t="str">
            <v>641/L3/TU/KA.11.00/2019</v>
          </cell>
          <cell r="Q194" t="str">
            <v>15 April 2019</v>
          </cell>
          <cell r="R194" t="str">
            <v>ya</v>
          </cell>
          <cell r="S194">
            <v>150000</v>
          </cell>
          <cell r="T194">
            <v>3138400</v>
          </cell>
          <cell r="V194">
            <v>0</v>
          </cell>
          <cell r="W194">
            <v>0</v>
          </cell>
          <cell r="X194">
            <v>0</v>
          </cell>
          <cell r="Z194">
            <v>0</v>
          </cell>
          <cell r="AB194">
            <v>0</v>
          </cell>
          <cell r="AD194">
            <v>0</v>
          </cell>
          <cell r="AE194" t="str">
            <v>ya</v>
          </cell>
          <cell r="AF194">
            <v>210000</v>
          </cell>
          <cell r="AH194" t="str">
            <v xml:space="preserve">Angkutan Umum </v>
          </cell>
          <cell r="AI194" t="str">
            <v>Akademi Teknik Telekomunikasi Sandhy Putra</v>
          </cell>
        </row>
        <row r="195">
          <cell r="A195">
            <v>194</v>
          </cell>
          <cell r="B195" t="str">
            <v>Sujono</v>
          </cell>
          <cell r="C195" t="str">
            <v>196312131987031003</v>
          </cell>
          <cell r="D195" t="str">
            <v xml:space="preserve">Pengadministrasi Persuratan pada Sub. Bagian Tata Usaha pada Bagian Umum  </v>
          </cell>
          <cell r="E195" t="str">
            <v>III/b</v>
          </cell>
          <cell r="F195" t="str">
            <v>688766245412000</v>
          </cell>
          <cell r="G195" t="str">
            <v>Penata Muda Tk. I</v>
          </cell>
          <cell r="H195" t="str">
            <v>Melakukan Monitoring dan Evaluasi ke Akademik Teknik Telekomunikasi Sandhy Putra</v>
          </cell>
          <cell r="I195" t="str">
            <v>DKI Jakarta</v>
          </cell>
          <cell r="J195" t="str">
            <v>DKI Jakarta</v>
          </cell>
          <cell r="K195">
            <v>1</v>
          </cell>
          <cell r="L195" t="str">
            <v>23 April 2019</v>
          </cell>
          <cell r="M195" t="str">
            <v>23 April 2019</v>
          </cell>
          <cell r="N195">
            <v>524114</v>
          </cell>
          <cell r="O195" t="str">
            <v>Belanja Perjalanan Dinas Paket Meeting Dalam Kota</v>
          </cell>
          <cell r="P195" t="str">
            <v>641/L3/TU/KA.11.00/2019</v>
          </cell>
          <cell r="Q195" t="str">
            <v>15 April 2019</v>
          </cell>
          <cell r="R195" t="str">
            <v>ya</v>
          </cell>
          <cell r="S195">
            <v>150000</v>
          </cell>
          <cell r="T195">
            <v>3138400</v>
          </cell>
          <cell r="V195">
            <v>0</v>
          </cell>
          <cell r="W195">
            <v>0</v>
          </cell>
          <cell r="X195">
            <v>0</v>
          </cell>
          <cell r="Z195">
            <v>0</v>
          </cell>
          <cell r="AB195">
            <v>0</v>
          </cell>
          <cell r="AD195">
            <v>0</v>
          </cell>
          <cell r="AE195" t="str">
            <v>ya</v>
          </cell>
          <cell r="AF195">
            <v>210000</v>
          </cell>
          <cell r="AH195" t="str">
            <v xml:space="preserve">Angkutan Umum </v>
          </cell>
          <cell r="AI195" t="str">
            <v>Akademi Teknik Telekomunikasi Sandhy Putra</v>
          </cell>
        </row>
        <row r="196">
          <cell r="A196">
            <v>195</v>
          </cell>
          <cell r="B196" t="str">
            <v>Adhy Purnama</v>
          </cell>
          <cell r="C196" t="str">
            <v>198104182010121002</v>
          </cell>
          <cell r="D196" t="str">
            <v>Pengadministrasi Akademik pada Seksi Akademik, dan Kemahasiswaan pada Bidang Akademik, Kemahasiswaan, dan Ketenagaan</v>
          </cell>
          <cell r="E196" t="str">
            <v>III/b</v>
          </cell>
          <cell r="F196" t="str">
            <v>594386401426000</v>
          </cell>
          <cell r="G196" t="str">
            <v>Penata Muda Tk. I</v>
          </cell>
          <cell r="H196" t="str">
            <v>Melakukan Monitoring dan Evaluasi ke Akademik Teknik Telekomunikasi Sandhy Putra</v>
          </cell>
          <cell r="I196" t="str">
            <v>DKI Jakarta</v>
          </cell>
          <cell r="J196" t="str">
            <v>DKI Jakarta</v>
          </cell>
          <cell r="K196">
            <v>1</v>
          </cell>
          <cell r="L196" t="str">
            <v>23 April 2019</v>
          </cell>
          <cell r="M196" t="str">
            <v>23 April 2019</v>
          </cell>
          <cell r="N196">
            <v>524114</v>
          </cell>
          <cell r="O196" t="str">
            <v>Belanja Perjalanan Dinas Paket Meeting Dalam Kota</v>
          </cell>
          <cell r="P196" t="str">
            <v>641/L3/TU/KA.11.00/2019</v>
          </cell>
          <cell r="Q196" t="str">
            <v>15 April 2019</v>
          </cell>
          <cell r="R196" t="str">
            <v>ya</v>
          </cell>
          <cell r="S196">
            <v>150000</v>
          </cell>
          <cell r="T196">
            <v>3138400</v>
          </cell>
          <cell r="V196">
            <v>0</v>
          </cell>
          <cell r="W196">
            <v>0</v>
          </cell>
          <cell r="X196">
            <v>0</v>
          </cell>
          <cell r="Z196">
            <v>0</v>
          </cell>
          <cell r="AB196">
            <v>0</v>
          </cell>
          <cell r="AD196">
            <v>0</v>
          </cell>
          <cell r="AE196" t="str">
            <v>ya</v>
          </cell>
          <cell r="AF196">
            <v>210000</v>
          </cell>
          <cell r="AH196" t="str">
            <v xml:space="preserve">Angkutan Umum </v>
          </cell>
          <cell r="AI196" t="str">
            <v>Akademi Teknik Telekomunikasi Sandhy Putra</v>
          </cell>
        </row>
        <row r="197">
          <cell r="A197">
            <v>196</v>
          </cell>
          <cell r="B197" t="str">
            <v>Sugiarto</v>
          </cell>
          <cell r="C197" t="str">
            <v>196303021985101001</v>
          </cell>
          <cell r="D197" t="str">
            <v>Pengelola Informasi Kerjasama pada Seksi Kelembagaan, dan Kerjasama pada Bidang Kelembagaan, dan Sistem Informasi</v>
          </cell>
          <cell r="E197" t="str">
            <v>III/b</v>
          </cell>
          <cell r="F197" t="str">
            <v>688766377024000</v>
          </cell>
          <cell r="G197" t="str">
            <v>Penata Muda Tk. I</v>
          </cell>
          <cell r="H197" t="str">
            <v>Melakukan Monitoring dan Evaluasi ke STISIP Widuri</v>
          </cell>
          <cell r="I197" t="str">
            <v>DKI Jakarta</v>
          </cell>
          <cell r="J197" t="str">
            <v>DKI Jakarta</v>
          </cell>
          <cell r="K197">
            <v>1</v>
          </cell>
          <cell r="L197" t="str">
            <v>23 April 2019</v>
          </cell>
          <cell r="M197" t="str">
            <v>23 April 2019</v>
          </cell>
          <cell r="N197">
            <v>524114</v>
          </cell>
          <cell r="O197" t="str">
            <v>Belanja Perjalanan Dinas Paket Meeting Dalam Kota</v>
          </cell>
          <cell r="P197" t="str">
            <v>641/L3/TU/KA.11.00/2019</v>
          </cell>
          <cell r="Q197" t="str">
            <v>15 April 2019</v>
          </cell>
          <cell r="R197" t="str">
            <v>ya</v>
          </cell>
          <cell r="S197">
            <v>150000</v>
          </cell>
          <cell r="T197">
            <v>3138400</v>
          </cell>
          <cell r="V197">
            <v>0</v>
          </cell>
          <cell r="W197">
            <v>0</v>
          </cell>
          <cell r="X197">
            <v>0</v>
          </cell>
          <cell r="Z197">
            <v>0</v>
          </cell>
          <cell r="AB197">
            <v>0</v>
          </cell>
          <cell r="AD197">
            <v>0</v>
          </cell>
          <cell r="AE197" t="str">
            <v>ya</v>
          </cell>
          <cell r="AF197">
            <v>210000</v>
          </cell>
          <cell r="AH197" t="str">
            <v xml:space="preserve">Angkutan Umum </v>
          </cell>
          <cell r="AI197" t="str">
            <v>STISIP Widuri</v>
          </cell>
        </row>
        <row r="198">
          <cell r="A198">
            <v>197</v>
          </cell>
          <cell r="B198" t="str">
            <v>Taufan Setyo Pranggono</v>
          </cell>
          <cell r="C198" t="str">
            <v>198303162010121006</v>
          </cell>
          <cell r="D198" t="str">
            <v>Analis Organisasi dan Tata Laksana pada Sub. Bagian Kepegawaian pada Bagian Umum</v>
          </cell>
          <cell r="E198" t="str">
            <v>III/b</v>
          </cell>
          <cell r="F198" t="str">
            <v>367289113432000</v>
          </cell>
          <cell r="G198" t="str">
            <v>Penata Muda Tk. I</v>
          </cell>
          <cell r="H198" t="str">
            <v>Melakukan Monitoring dan Evaluasi ke STISIP Widuri</v>
          </cell>
          <cell r="I198" t="str">
            <v>DKI Jakarta</v>
          </cell>
          <cell r="J198" t="str">
            <v>DKI Jakarta</v>
          </cell>
          <cell r="K198">
            <v>1</v>
          </cell>
          <cell r="L198" t="str">
            <v>23 April 2019</v>
          </cell>
          <cell r="M198" t="str">
            <v>23 April 2019</v>
          </cell>
          <cell r="N198">
            <v>524114</v>
          </cell>
          <cell r="O198" t="str">
            <v>Belanja Perjalanan Dinas Paket Meeting Dalam Kota</v>
          </cell>
          <cell r="P198" t="str">
            <v>641/L3/TU/KA.11.00/2019</v>
          </cell>
          <cell r="Q198" t="str">
            <v>15 April 2019</v>
          </cell>
          <cell r="R198" t="str">
            <v>ya</v>
          </cell>
          <cell r="S198">
            <v>150000</v>
          </cell>
          <cell r="T198">
            <v>3138400</v>
          </cell>
          <cell r="V198">
            <v>0</v>
          </cell>
          <cell r="W198">
            <v>0</v>
          </cell>
          <cell r="X198">
            <v>0</v>
          </cell>
          <cell r="Z198">
            <v>0</v>
          </cell>
          <cell r="AB198">
            <v>0</v>
          </cell>
          <cell r="AD198">
            <v>0</v>
          </cell>
          <cell r="AE198" t="str">
            <v>ya</v>
          </cell>
          <cell r="AF198">
            <v>210000</v>
          </cell>
          <cell r="AH198" t="str">
            <v xml:space="preserve">Angkutan Umum </v>
          </cell>
          <cell r="AI198" t="str">
            <v>STISIP Widuri</v>
          </cell>
        </row>
        <row r="199">
          <cell r="A199">
            <v>198</v>
          </cell>
          <cell r="B199" t="str">
            <v>Suherman</v>
          </cell>
          <cell r="C199" t="str">
            <v>196403131987031002</v>
          </cell>
          <cell r="D199" t="str">
            <v>Pengelola Keuangan pada Sub. Bagian Keuangan pada Bagian Umum</v>
          </cell>
          <cell r="E199" t="str">
            <v>III/c</v>
          </cell>
          <cell r="F199" t="str">
            <v>688766732451000</v>
          </cell>
          <cell r="G199" t="str">
            <v>Penata</v>
          </cell>
          <cell r="H199" t="str">
            <v>Melakukan Monitoring dan Evaluasi ke STISIP Widuri</v>
          </cell>
          <cell r="I199" t="str">
            <v>DKI Jakarta</v>
          </cell>
          <cell r="J199" t="str">
            <v>DKI Jakarta</v>
          </cell>
          <cell r="K199">
            <v>1</v>
          </cell>
          <cell r="L199" t="str">
            <v>23 April 2019</v>
          </cell>
          <cell r="M199" t="str">
            <v>23 April 2019</v>
          </cell>
          <cell r="N199">
            <v>524114</v>
          </cell>
          <cell r="O199" t="str">
            <v>Belanja Perjalanan Dinas Paket Meeting Dalam Kota</v>
          </cell>
          <cell r="P199" t="str">
            <v>641/L3/TU/KA.11.00/2019</v>
          </cell>
          <cell r="Q199" t="str">
            <v>15 April 2019</v>
          </cell>
          <cell r="R199" t="str">
            <v>ya</v>
          </cell>
          <cell r="S199">
            <v>150000</v>
          </cell>
          <cell r="T199">
            <v>3138400</v>
          </cell>
          <cell r="V199">
            <v>0</v>
          </cell>
          <cell r="W199">
            <v>0</v>
          </cell>
          <cell r="X199">
            <v>0</v>
          </cell>
          <cell r="Z199">
            <v>0</v>
          </cell>
          <cell r="AB199">
            <v>0</v>
          </cell>
          <cell r="AD199">
            <v>0</v>
          </cell>
          <cell r="AE199" t="str">
            <v>ya</v>
          </cell>
          <cell r="AF199">
            <v>210000</v>
          </cell>
          <cell r="AH199" t="str">
            <v xml:space="preserve">Angkutan Umum </v>
          </cell>
          <cell r="AI199" t="str">
            <v>STISIP Widuri</v>
          </cell>
        </row>
        <row r="200">
          <cell r="A200">
            <v>199</v>
          </cell>
          <cell r="B200" t="str">
            <v>Syarifudin</v>
          </cell>
          <cell r="C200" t="str">
            <v>196706061988031004</v>
          </cell>
          <cell r="D200" t="str">
            <v xml:space="preserve">Pengadministrasi Persuratan pada Sub. Bagian Tata Usaha pada Bagian Umum        </v>
          </cell>
          <cell r="E200" t="str">
            <v>III/c</v>
          </cell>
          <cell r="F200" t="str">
            <v>688766534034000</v>
          </cell>
          <cell r="G200" t="str">
            <v>Penata</v>
          </cell>
          <cell r="H200" t="str">
            <v>Melakukan Monitoring dan Evaluasi ke STISIP Widuri</v>
          </cell>
          <cell r="I200" t="str">
            <v>DKI Jakarta</v>
          </cell>
          <cell r="J200" t="str">
            <v>DKI Jakarta</v>
          </cell>
          <cell r="K200">
            <v>1</v>
          </cell>
          <cell r="L200" t="str">
            <v>23 April 2019</v>
          </cell>
          <cell r="M200" t="str">
            <v>23 April 2019</v>
          </cell>
          <cell r="N200">
            <v>524114</v>
          </cell>
          <cell r="O200" t="str">
            <v>Belanja Perjalanan Dinas Paket Meeting Dalam Kota</v>
          </cell>
          <cell r="P200" t="str">
            <v>641/L3/TU/KA.11.00/2019</v>
          </cell>
          <cell r="Q200" t="str">
            <v>15 April 2019</v>
          </cell>
          <cell r="R200" t="str">
            <v>ya</v>
          </cell>
          <cell r="S200">
            <v>150000</v>
          </cell>
          <cell r="T200">
            <v>3138400</v>
          </cell>
          <cell r="V200">
            <v>0</v>
          </cell>
          <cell r="W200">
            <v>0</v>
          </cell>
          <cell r="X200">
            <v>0</v>
          </cell>
          <cell r="Z200">
            <v>0</v>
          </cell>
          <cell r="AB200">
            <v>0</v>
          </cell>
          <cell r="AD200">
            <v>0</v>
          </cell>
          <cell r="AE200" t="str">
            <v>ya</v>
          </cell>
          <cell r="AF200">
            <v>210000</v>
          </cell>
          <cell r="AH200" t="str">
            <v xml:space="preserve">Angkutan Umum </v>
          </cell>
          <cell r="AI200" t="str">
            <v>STISIP Widuri</v>
          </cell>
        </row>
        <row r="201">
          <cell r="A201">
            <v>200</v>
          </cell>
          <cell r="B201" t="str">
            <v>Titah Widihastuti</v>
          </cell>
          <cell r="C201" t="str">
            <v>198312302010122003</v>
          </cell>
          <cell r="D201" t="str">
            <v>Analis Sistem Informasi pada Seksi Sistem Informasi pada Bidang Kelembagaan, dan Sistem Informasi</v>
          </cell>
          <cell r="E201" t="str">
            <v>III/b</v>
          </cell>
          <cell r="F201" t="str">
            <v>678780578009000</v>
          </cell>
          <cell r="G201" t="str">
            <v>Penata Muda Tk. I</v>
          </cell>
          <cell r="H201" t="str">
            <v>Melakukan Monitoring dan Evaluasi ke STISIP Widuri</v>
          </cell>
          <cell r="I201" t="str">
            <v>DKI Jakarta</v>
          </cell>
          <cell r="J201" t="str">
            <v>DKI Jakarta</v>
          </cell>
          <cell r="K201">
            <v>1</v>
          </cell>
          <cell r="L201" t="str">
            <v>23 April 2019</v>
          </cell>
          <cell r="M201" t="str">
            <v>23 April 2019</v>
          </cell>
          <cell r="N201">
            <v>524114</v>
          </cell>
          <cell r="O201" t="str">
            <v>Belanja Perjalanan Dinas Paket Meeting Dalam Kota</v>
          </cell>
          <cell r="P201" t="str">
            <v>641/L3/TU/KA.11.00/2019</v>
          </cell>
          <cell r="Q201" t="str">
            <v>15 April 2019</v>
          </cell>
          <cell r="R201" t="str">
            <v>ya</v>
          </cell>
          <cell r="S201">
            <v>150000</v>
          </cell>
          <cell r="T201">
            <v>3138400</v>
          </cell>
          <cell r="V201">
            <v>0</v>
          </cell>
          <cell r="W201">
            <v>0</v>
          </cell>
          <cell r="X201">
            <v>0</v>
          </cell>
          <cell r="Z201">
            <v>0</v>
          </cell>
          <cell r="AB201">
            <v>0</v>
          </cell>
          <cell r="AD201">
            <v>0</v>
          </cell>
          <cell r="AE201" t="str">
            <v>ya</v>
          </cell>
          <cell r="AF201">
            <v>210000</v>
          </cell>
          <cell r="AH201" t="str">
            <v xml:space="preserve">Angkutan Umum </v>
          </cell>
          <cell r="AI201" t="str">
            <v>STISIP Widuri</v>
          </cell>
        </row>
        <row r="202">
          <cell r="A202">
            <v>201</v>
          </cell>
          <cell r="B202" t="str">
            <v>Boy Alexandry</v>
          </cell>
          <cell r="C202" t="str">
            <v>196301091994031002</v>
          </cell>
          <cell r="D202" t="str">
            <v xml:space="preserve">Kepala Sub. Bagian Tata Usaha pada Bagian Umum                                          </v>
          </cell>
          <cell r="E202" t="str">
            <v>IV/a</v>
          </cell>
          <cell r="F202" t="str">
            <v>688766658017000</v>
          </cell>
          <cell r="G202" t="str">
            <v>Pembina</v>
          </cell>
          <cell r="H202" t="str">
            <v>Melakukan Monitoring dan Evaluasi ke Akademi Kesehatan Swakarsa Jakarta</v>
          </cell>
          <cell r="I202" t="str">
            <v>DKI Jakarta</v>
          </cell>
          <cell r="J202" t="str">
            <v>DKI Jakarta</v>
          </cell>
          <cell r="K202">
            <v>1</v>
          </cell>
          <cell r="L202" t="str">
            <v>23 April 2019</v>
          </cell>
          <cell r="M202" t="str">
            <v>23 April 2019</v>
          </cell>
          <cell r="N202">
            <v>524114</v>
          </cell>
          <cell r="O202" t="str">
            <v>Belanja Perjalanan Dinas Paket Meeting Dalam Kota</v>
          </cell>
          <cell r="P202" t="str">
            <v>641/L3/TU/KA.11.00/2019</v>
          </cell>
          <cell r="Q202" t="str">
            <v>15 April 2019</v>
          </cell>
          <cell r="R202" t="str">
            <v>ya</v>
          </cell>
          <cell r="S202">
            <v>150000</v>
          </cell>
          <cell r="T202">
            <v>3138400</v>
          </cell>
          <cell r="V202">
            <v>0</v>
          </cell>
          <cell r="W202">
            <v>0</v>
          </cell>
          <cell r="X202">
            <v>0</v>
          </cell>
          <cell r="Z202">
            <v>0</v>
          </cell>
          <cell r="AB202">
            <v>0</v>
          </cell>
          <cell r="AD202">
            <v>0</v>
          </cell>
          <cell r="AE202" t="str">
            <v>ya</v>
          </cell>
          <cell r="AF202">
            <v>210000</v>
          </cell>
          <cell r="AH202" t="str">
            <v xml:space="preserve">Angkutan Umum </v>
          </cell>
          <cell r="AI202" t="str">
            <v>Akademi Kesehatan Swakarsa Jakarta</v>
          </cell>
        </row>
        <row r="203">
          <cell r="A203">
            <v>202</v>
          </cell>
          <cell r="B203" t="str">
            <v>Yan Medya Putri</v>
          </cell>
          <cell r="C203" t="str">
            <v>197101162005012001</v>
          </cell>
          <cell r="D203" t="str">
            <v>Pengelola Keuangan pada Sub. Bagian Keuangan pada Bagian Umum</v>
          </cell>
          <cell r="E203" t="str">
            <v>III/d</v>
          </cell>
          <cell r="F203" t="str">
            <v>594025884432000</v>
          </cell>
          <cell r="G203" t="str">
            <v>Penata Tk. I</v>
          </cell>
          <cell r="H203" t="str">
            <v>Melakukan Monitoring dan Evaluasi ke Akademi Kesehatan Swakarsa Jakarta</v>
          </cell>
          <cell r="I203" t="str">
            <v>DKI Jakarta</v>
          </cell>
          <cell r="J203" t="str">
            <v>DKI Jakarta</v>
          </cell>
          <cell r="K203">
            <v>1</v>
          </cell>
          <cell r="L203" t="str">
            <v>23 April 2019</v>
          </cell>
          <cell r="M203" t="str">
            <v>23 April 2019</v>
          </cell>
          <cell r="N203">
            <v>524114</v>
          </cell>
          <cell r="O203" t="str">
            <v>Belanja Perjalanan Dinas Paket Meeting Dalam Kota</v>
          </cell>
          <cell r="P203" t="str">
            <v>641/L3/TU/KA.11.00/2019</v>
          </cell>
          <cell r="Q203" t="str">
            <v>15 April 2019</v>
          </cell>
          <cell r="R203" t="str">
            <v>ya</v>
          </cell>
          <cell r="S203">
            <v>150000</v>
          </cell>
          <cell r="T203">
            <v>3138400</v>
          </cell>
          <cell r="V203">
            <v>0</v>
          </cell>
          <cell r="W203">
            <v>0</v>
          </cell>
          <cell r="X203">
            <v>0</v>
          </cell>
          <cell r="Z203">
            <v>0</v>
          </cell>
          <cell r="AB203">
            <v>0</v>
          </cell>
          <cell r="AD203">
            <v>0</v>
          </cell>
          <cell r="AE203" t="str">
            <v>ya</v>
          </cell>
          <cell r="AF203">
            <v>210000</v>
          </cell>
          <cell r="AH203" t="str">
            <v xml:space="preserve">Angkutan Umum </v>
          </cell>
          <cell r="AI203" t="str">
            <v>Akademi Kesehatan Swakarsa Jakarta</v>
          </cell>
        </row>
        <row r="204">
          <cell r="A204">
            <v>203</v>
          </cell>
          <cell r="B204" t="str">
            <v>Sri Weningsih</v>
          </cell>
          <cell r="C204" t="str">
            <v>196104251989022001</v>
          </cell>
          <cell r="D204" t="str">
            <v>Penyusun Bahan Publikasi pada Seksi Sistem Informasi pada Bidang Kelembagaan, dan Sistem Informasi</v>
          </cell>
          <cell r="E204" t="str">
            <v>III/d</v>
          </cell>
          <cell r="F204" t="str">
            <v>688766351024000</v>
          </cell>
          <cell r="G204" t="str">
            <v>Penata Tk. I</v>
          </cell>
          <cell r="H204" t="str">
            <v>Melakukan Monitoring dan Evaluasi ke Akademi Kesehatan Swakarsa Jakarta</v>
          </cell>
          <cell r="I204" t="str">
            <v>DKI Jakarta</v>
          </cell>
          <cell r="J204" t="str">
            <v>DKI Jakarta</v>
          </cell>
          <cell r="K204">
            <v>1</v>
          </cell>
          <cell r="L204" t="str">
            <v>23 April 2019</v>
          </cell>
          <cell r="M204" t="str">
            <v>23 April 2019</v>
          </cell>
          <cell r="N204">
            <v>524114</v>
          </cell>
          <cell r="O204" t="str">
            <v>Belanja Perjalanan Dinas Paket Meeting Dalam Kota</v>
          </cell>
          <cell r="P204" t="str">
            <v>641/L3/TU/KA.11.00/2019</v>
          </cell>
          <cell r="Q204" t="str">
            <v>15 April 2019</v>
          </cell>
          <cell r="R204" t="str">
            <v>ya</v>
          </cell>
          <cell r="S204">
            <v>150000</v>
          </cell>
          <cell r="T204">
            <v>3138400</v>
          </cell>
          <cell r="V204">
            <v>0</v>
          </cell>
          <cell r="W204">
            <v>0</v>
          </cell>
          <cell r="X204">
            <v>0</v>
          </cell>
          <cell r="Z204">
            <v>0</v>
          </cell>
          <cell r="AB204">
            <v>0</v>
          </cell>
          <cell r="AD204">
            <v>0</v>
          </cell>
          <cell r="AE204" t="str">
            <v>ya</v>
          </cell>
          <cell r="AF204">
            <v>210000</v>
          </cell>
          <cell r="AH204" t="str">
            <v xml:space="preserve">Angkutan Umum </v>
          </cell>
          <cell r="AI204" t="str">
            <v>Akademi Kesehatan Swakarsa Jakarta</v>
          </cell>
        </row>
        <row r="205">
          <cell r="A205">
            <v>204</v>
          </cell>
          <cell r="B205" t="str">
            <v>Achmadi</v>
          </cell>
          <cell r="C205" t="str">
            <v>196806271989031004</v>
          </cell>
          <cell r="D205" t="str">
            <v>Pengemudi pada Sub. Bagian Tata Usaha pada Bagian Umum</v>
          </cell>
          <cell r="E205" t="str">
            <v>II/c</v>
          </cell>
          <cell r="F205" t="str">
            <v>774280168403000</v>
          </cell>
          <cell r="G205" t="str">
            <v>Pengatur</v>
          </cell>
          <cell r="H205" t="str">
            <v>Melakukan Monitoring dan Evaluasi ke Akademi Kesehatan Swakarsa Jakarta</v>
          </cell>
          <cell r="I205" t="str">
            <v>DKI Jakarta</v>
          </cell>
          <cell r="J205" t="str">
            <v>DKI Jakarta</v>
          </cell>
          <cell r="K205">
            <v>1</v>
          </cell>
          <cell r="L205" t="str">
            <v>23 April 2019</v>
          </cell>
          <cell r="M205" t="str">
            <v>23 April 2019</v>
          </cell>
          <cell r="N205">
            <v>524114</v>
          </cell>
          <cell r="O205" t="str">
            <v>Belanja Perjalanan Dinas Paket Meeting Dalam Kota</v>
          </cell>
          <cell r="P205" t="str">
            <v>641/L3/TU/KA.11.00/2019</v>
          </cell>
          <cell r="Q205" t="str">
            <v>15 April 2019</v>
          </cell>
          <cell r="R205" t="str">
            <v>ya</v>
          </cell>
          <cell r="S205">
            <v>150000</v>
          </cell>
          <cell r="T205">
            <v>3138400</v>
          </cell>
          <cell r="V205">
            <v>0</v>
          </cell>
          <cell r="W205">
            <v>0</v>
          </cell>
          <cell r="X205">
            <v>0</v>
          </cell>
          <cell r="Z205">
            <v>0</v>
          </cell>
          <cell r="AB205">
            <v>0</v>
          </cell>
          <cell r="AD205">
            <v>0</v>
          </cell>
          <cell r="AE205" t="str">
            <v>ya</v>
          </cell>
          <cell r="AF205">
            <v>210000</v>
          </cell>
          <cell r="AH205" t="str">
            <v xml:space="preserve">Angkutan Umum </v>
          </cell>
          <cell r="AI205" t="str">
            <v>Akademi Kesehatan Swakarsa Jakarta</v>
          </cell>
        </row>
        <row r="206">
          <cell r="A206">
            <v>205</v>
          </cell>
          <cell r="B206" t="str">
            <v>Sigit Nugroho</v>
          </cell>
          <cell r="C206" t="str">
            <v>-</v>
          </cell>
          <cell r="D206" t="str">
            <v>PPNPN</v>
          </cell>
          <cell r="E206" t="str">
            <v>-</v>
          </cell>
          <cell r="F206" t="str">
            <v>865743249004000</v>
          </cell>
          <cell r="G206" t="str">
            <v>-</v>
          </cell>
          <cell r="H206" t="str">
            <v>Melakukan Monitoring dan Evaluasi ke Akademi Kesehatan Swakarsa Jakarta</v>
          </cell>
          <cell r="I206" t="str">
            <v>DKI Jakarta</v>
          </cell>
          <cell r="J206" t="str">
            <v>DKI Jakarta</v>
          </cell>
          <cell r="K206">
            <v>1</v>
          </cell>
          <cell r="L206" t="str">
            <v>23 April 2019</v>
          </cell>
          <cell r="M206" t="str">
            <v>23 April 2019</v>
          </cell>
          <cell r="N206">
            <v>524114</v>
          </cell>
          <cell r="O206" t="str">
            <v>Belanja Perjalanan Dinas Paket Meeting Dalam Kota</v>
          </cell>
          <cell r="P206" t="str">
            <v>641/L3/TU/KA.11.00/2019</v>
          </cell>
          <cell r="Q206" t="str">
            <v>15 April 2019</v>
          </cell>
          <cell r="R206" t="str">
            <v>ya</v>
          </cell>
          <cell r="S206">
            <v>150000</v>
          </cell>
          <cell r="T206">
            <v>3138400</v>
          </cell>
          <cell r="V206">
            <v>0</v>
          </cell>
          <cell r="W206">
            <v>0</v>
          </cell>
          <cell r="X206">
            <v>0</v>
          </cell>
          <cell r="Z206">
            <v>0</v>
          </cell>
          <cell r="AB206">
            <v>0</v>
          </cell>
          <cell r="AD206">
            <v>0</v>
          </cell>
          <cell r="AE206" t="str">
            <v>ya</v>
          </cell>
          <cell r="AF206">
            <v>210000</v>
          </cell>
          <cell r="AH206" t="str">
            <v xml:space="preserve">Angkutan Umum </v>
          </cell>
          <cell r="AI206" t="str">
            <v>Akademi Kesehatan Swakarsa Jakarta</v>
          </cell>
        </row>
        <row r="207">
          <cell r="A207">
            <v>206</v>
          </cell>
          <cell r="B207" t="str">
            <v>Sugiarto</v>
          </cell>
          <cell r="C207" t="str">
            <v>196303021985101001</v>
          </cell>
          <cell r="D207" t="str">
            <v>Pengelola Informasi Kerjasama pada Seksi Kelembagaan, dan Kerjasama pada Bidang Kelembagaan, dan Sistem Informasi</v>
          </cell>
          <cell r="E207" t="str">
            <v>III/b</v>
          </cell>
          <cell r="F207" t="str">
            <v>688766377024000</v>
          </cell>
          <cell r="G207" t="str">
            <v>Penata Muda Tk. I</v>
          </cell>
          <cell r="H207" t="str">
            <v>Melakukan Monitoring dan Evaluasi ke Akademi Kebidanan Farama Mulya</v>
          </cell>
          <cell r="I207" t="str">
            <v>DKI Jakarta</v>
          </cell>
          <cell r="J207" t="str">
            <v>Bekasi, Jawa Barat</v>
          </cell>
          <cell r="K207">
            <v>1</v>
          </cell>
          <cell r="L207" t="str">
            <v>24 April 2019</v>
          </cell>
          <cell r="M207" t="str">
            <v>24 April 2019</v>
          </cell>
          <cell r="N207">
            <v>524114</v>
          </cell>
          <cell r="O207" t="str">
            <v>Belanja Perjalanan Dinas Paket Meeting Dalam Kota</v>
          </cell>
          <cell r="P207" t="str">
            <v>641/L3/TU/KA.11.00/2019</v>
          </cell>
          <cell r="Q207" t="str">
            <v>15 April 2019</v>
          </cell>
          <cell r="R207" t="str">
            <v>ya</v>
          </cell>
          <cell r="S207">
            <v>568000</v>
          </cell>
          <cell r="T207">
            <v>3138400</v>
          </cell>
          <cell r="V207">
            <v>0</v>
          </cell>
          <cell r="W207">
            <v>0</v>
          </cell>
          <cell r="X207">
            <v>0</v>
          </cell>
          <cell r="Z207">
            <v>0</v>
          </cell>
          <cell r="AB207">
            <v>0</v>
          </cell>
          <cell r="AD207">
            <v>0</v>
          </cell>
          <cell r="AE207" t="str">
            <v>ya</v>
          </cell>
          <cell r="AF207">
            <v>430000</v>
          </cell>
          <cell r="AH207" t="str">
            <v xml:space="preserve">Angkutan Umum </v>
          </cell>
          <cell r="AI207" t="str">
            <v>Akademi Kebidanan Farama Mulya</v>
          </cell>
        </row>
        <row r="208">
          <cell r="A208">
            <v>207</v>
          </cell>
          <cell r="B208" t="str">
            <v>Taufan Setyo Pranggono</v>
          </cell>
          <cell r="C208" t="str">
            <v>198303162010121006</v>
          </cell>
          <cell r="D208" t="str">
            <v>Analis Organisasi dan Tata Laksana pada Sub. Bagian Kepegawaian pada Bagian Umum</v>
          </cell>
          <cell r="E208" t="str">
            <v>III/b</v>
          </cell>
          <cell r="F208" t="str">
            <v>367289113432000</v>
          </cell>
          <cell r="G208" t="str">
            <v>Penata Muda Tk. I</v>
          </cell>
          <cell r="H208" t="str">
            <v>Melakukan Monitoring dan Evaluasi ke Akademi Kebidanan Farama Mulya</v>
          </cell>
          <cell r="I208" t="str">
            <v>DKI Jakarta</v>
          </cell>
          <cell r="J208" t="str">
            <v>Bekasi, Jawa Barat</v>
          </cell>
          <cell r="K208">
            <v>1</v>
          </cell>
          <cell r="L208" t="str">
            <v>24 April 2019</v>
          </cell>
          <cell r="M208" t="str">
            <v>24 April 2019</v>
          </cell>
          <cell r="N208">
            <v>524114</v>
          </cell>
          <cell r="O208" t="str">
            <v>Belanja Perjalanan Dinas Paket Meeting Dalam Kota</v>
          </cell>
          <cell r="P208" t="str">
            <v>641/L3/TU/KA.11.00/2019</v>
          </cell>
          <cell r="Q208" t="str">
            <v>15 April 2019</v>
          </cell>
          <cell r="R208" t="str">
            <v>ya</v>
          </cell>
          <cell r="S208">
            <v>568000</v>
          </cell>
          <cell r="T208">
            <v>3138400</v>
          </cell>
          <cell r="V208">
            <v>0</v>
          </cell>
          <cell r="W208">
            <v>0</v>
          </cell>
          <cell r="X208">
            <v>0</v>
          </cell>
          <cell r="Z208">
            <v>0</v>
          </cell>
          <cell r="AB208">
            <v>0</v>
          </cell>
          <cell r="AD208">
            <v>0</v>
          </cell>
          <cell r="AE208" t="str">
            <v>ya</v>
          </cell>
          <cell r="AF208">
            <v>430000</v>
          </cell>
          <cell r="AH208" t="str">
            <v xml:space="preserve">Angkutan Umum </v>
          </cell>
          <cell r="AI208" t="str">
            <v>Akademi Kebidanan Farama Mulya</v>
          </cell>
        </row>
        <row r="209">
          <cell r="A209">
            <v>208</v>
          </cell>
          <cell r="B209" t="str">
            <v>Nur Fadillah</v>
          </cell>
          <cell r="C209" t="str">
            <v>198603192009122007</v>
          </cell>
          <cell r="D209" t="str">
            <v>Pengadministrasi Keuangan pada Sub. Bagian Keuangan pada Bagian Umum</v>
          </cell>
          <cell r="E209" t="str">
            <v>III/b</v>
          </cell>
          <cell r="F209" t="str">
            <v>348345349432000</v>
          </cell>
          <cell r="G209" t="str">
            <v>Penata Muda Tk. I</v>
          </cell>
          <cell r="H209" t="str">
            <v>Melakukan Monitoring dan Evaluasi ke Akademi Kebidanan Farama Mulya</v>
          </cell>
          <cell r="I209" t="str">
            <v>DKI Jakarta</v>
          </cell>
          <cell r="J209" t="str">
            <v>Bekasi, Jawa Barat</v>
          </cell>
          <cell r="K209">
            <v>1</v>
          </cell>
          <cell r="L209" t="str">
            <v>24 April 2019</v>
          </cell>
          <cell r="M209" t="str">
            <v>24 April 2019</v>
          </cell>
          <cell r="N209">
            <v>524114</v>
          </cell>
          <cell r="O209" t="str">
            <v>Belanja Perjalanan Dinas Paket Meeting Dalam Kota</v>
          </cell>
          <cell r="P209" t="str">
            <v>641/L3/TU/KA.11.00/2019</v>
          </cell>
          <cell r="Q209" t="str">
            <v>15 April 2019</v>
          </cell>
          <cell r="R209" t="str">
            <v>ya</v>
          </cell>
          <cell r="S209">
            <v>568000</v>
          </cell>
          <cell r="T209">
            <v>3138400</v>
          </cell>
          <cell r="V209">
            <v>0</v>
          </cell>
          <cell r="W209">
            <v>0</v>
          </cell>
          <cell r="X209">
            <v>0</v>
          </cell>
          <cell r="Z209">
            <v>0</v>
          </cell>
          <cell r="AB209">
            <v>0</v>
          </cell>
          <cell r="AD209">
            <v>0</v>
          </cell>
          <cell r="AE209" t="str">
            <v>ya</v>
          </cell>
          <cell r="AF209">
            <v>430000</v>
          </cell>
          <cell r="AH209" t="str">
            <v xml:space="preserve">Angkutan Umum </v>
          </cell>
          <cell r="AI209" t="str">
            <v>Akademi Kebidanan Farama Mulya</v>
          </cell>
        </row>
        <row r="210">
          <cell r="A210">
            <v>209</v>
          </cell>
          <cell r="B210" t="str">
            <v>Mudlikah</v>
          </cell>
          <cell r="C210" t="str">
            <v>196303111987032001</v>
          </cell>
          <cell r="D210" t="str">
            <v xml:space="preserve">Pengadministrasi Persuratan pada Sub. Bagian Tata Usaha pada Bagian Umum        </v>
          </cell>
          <cell r="E210" t="str">
            <v>III/d</v>
          </cell>
          <cell r="F210" t="str">
            <v>688766492017000</v>
          </cell>
          <cell r="G210" t="str">
            <v>Penata Tk. I</v>
          </cell>
          <cell r="H210" t="str">
            <v>Melakukan Monitoring dan Evaluasi ke Akademi Kebidanan Farama Mulya</v>
          </cell>
          <cell r="I210" t="str">
            <v>DKI Jakarta</v>
          </cell>
          <cell r="J210" t="str">
            <v>Bekasi, Jawa Barat</v>
          </cell>
          <cell r="K210">
            <v>1</v>
          </cell>
          <cell r="L210" t="str">
            <v>24 April 2019</v>
          </cell>
          <cell r="M210" t="str">
            <v>24 April 2019</v>
          </cell>
          <cell r="N210">
            <v>524114</v>
          </cell>
          <cell r="O210" t="str">
            <v>Belanja Perjalanan Dinas Paket Meeting Dalam Kota</v>
          </cell>
          <cell r="P210" t="str">
            <v>641/L3/TU/KA.11.00/2019</v>
          </cell>
          <cell r="Q210" t="str">
            <v>15 April 2019</v>
          </cell>
          <cell r="R210" t="str">
            <v>ya</v>
          </cell>
          <cell r="S210">
            <v>568000</v>
          </cell>
          <cell r="T210">
            <v>3138400</v>
          </cell>
          <cell r="V210">
            <v>0</v>
          </cell>
          <cell r="W210">
            <v>0</v>
          </cell>
          <cell r="X210">
            <v>0</v>
          </cell>
          <cell r="Z210">
            <v>0</v>
          </cell>
          <cell r="AB210">
            <v>0</v>
          </cell>
          <cell r="AD210">
            <v>0</v>
          </cell>
          <cell r="AE210" t="str">
            <v>ya</v>
          </cell>
          <cell r="AF210">
            <v>430000</v>
          </cell>
          <cell r="AH210" t="str">
            <v xml:space="preserve">Angkutan Umum </v>
          </cell>
          <cell r="AI210" t="str">
            <v>Akademi Kebidanan Farama Mulya</v>
          </cell>
        </row>
        <row r="211">
          <cell r="A211">
            <v>210</v>
          </cell>
          <cell r="B211" t="str">
            <v>Titah Widihastuti</v>
          </cell>
          <cell r="C211" t="str">
            <v>198312302010122003</v>
          </cell>
          <cell r="D211" t="str">
            <v>Analis Sistem Informasi pada Seksi Sistem Informasi pada Bidang Kelembagaan, dan Sistem Informasi</v>
          </cell>
          <cell r="E211" t="str">
            <v>III/b</v>
          </cell>
          <cell r="F211" t="str">
            <v>678780578009000</v>
          </cell>
          <cell r="G211" t="str">
            <v>Penata Muda Tk. I</v>
          </cell>
          <cell r="H211" t="str">
            <v>Melakukan Monitoring dan Evaluasi ke Akademi Kebidanan Farama Mulya</v>
          </cell>
          <cell r="I211" t="str">
            <v>DKI Jakarta</v>
          </cell>
          <cell r="J211" t="str">
            <v>Bekasi, Jawa Barat</v>
          </cell>
          <cell r="K211">
            <v>1</v>
          </cell>
          <cell r="L211" t="str">
            <v>24 April 2019</v>
          </cell>
          <cell r="M211" t="str">
            <v>24 April 2019</v>
          </cell>
          <cell r="N211">
            <v>524114</v>
          </cell>
          <cell r="O211" t="str">
            <v>Belanja Perjalanan Dinas Paket Meeting Dalam Kota</v>
          </cell>
          <cell r="P211" t="str">
            <v>641/L3/TU/KA.11.00/2019</v>
          </cell>
          <cell r="Q211" t="str">
            <v>15 April 2019</v>
          </cell>
          <cell r="R211" t="str">
            <v>ya</v>
          </cell>
          <cell r="S211">
            <v>568000</v>
          </cell>
          <cell r="T211">
            <v>3138400</v>
          </cell>
          <cell r="V211">
            <v>0</v>
          </cell>
          <cell r="W211">
            <v>0</v>
          </cell>
          <cell r="X211">
            <v>0</v>
          </cell>
          <cell r="Z211">
            <v>0</v>
          </cell>
          <cell r="AB211">
            <v>0</v>
          </cell>
          <cell r="AD211">
            <v>0</v>
          </cell>
          <cell r="AE211" t="str">
            <v>ya</v>
          </cell>
          <cell r="AF211">
            <v>430000</v>
          </cell>
          <cell r="AH211" t="str">
            <v xml:space="preserve">Angkutan Umum </v>
          </cell>
          <cell r="AI211" t="str">
            <v>Akademi Kebidanan Farama Mulya</v>
          </cell>
        </row>
        <row r="212">
          <cell r="A212">
            <v>211</v>
          </cell>
          <cell r="B212" t="str">
            <v>Mulhadi HM</v>
          </cell>
          <cell r="C212" t="str">
            <v>199204072015041001</v>
          </cell>
          <cell r="D212" t="str">
            <v>Analis Kelembagaan pada Seksi Kelembagaan, dan Kerjasama pada Bidang Kelembagaan, dan Sistem Informasi</v>
          </cell>
          <cell r="E212" t="str">
            <v>III/a</v>
          </cell>
          <cell r="F212" t="str">
            <v>737792366005000</v>
          </cell>
          <cell r="G212" t="str">
            <v>Penata Muda</v>
          </cell>
          <cell r="H212" t="str">
            <v>Melakukan Monitoring dan Evaluasi ke Universitas 17 Agustus 1945 Jakarta</v>
          </cell>
          <cell r="I212" t="str">
            <v>DKI Jakarta</v>
          </cell>
          <cell r="J212" t="str">
            <v>DKI Jakarta</v>
          </cell>
          <cell r="K212">
            <v>1</v>
          </cell>
          <cell r="L212" t="str">
            <v>25 April 2019</v>
          </cell>
          <cell r="M212" t="str">
            <v>25 April 2019</v>
          </cell>
          <cell r="N212">
            <v>524114</v>
          </cell>
          <cell r="O212" t="str">
            <v>Belanja Perjalanan Dinas Paket Meeting Dalam Kota</v>
          </cell>
          <cell r="P212" t="str">
            <v>641/L3/TU/KA.11.00/2019</v>
          </cell>
          <cell r="Q212" t="str">
            <v>15 April 2019</v>
          </cell>
          <cell r="R212" t="str">
            <v>ya</v>
          </cell>
          <cell r="S212">
            <v>150000</v>
          </cell>
          <cell r="T212">
            <v>3138400</v>
          </cell>
          <cell r="V212">
            <v>0</v>
          </cell>
          <cell r="W212">
            <v>0</v>
          </cell>
          <cell r="X212">
            <v>0</v>
          </cell>
          <cell r="Z212">
            <v>0</v>
          </cell>
          <cell r="AB212">
            <v>0</v>
          </cell>
          <cell r="AD212">
            <v>0</v>
          </cell>
          <cell r="AE212" t="str">
            <v>ya</v>
          </cell>
          <cell r="AF212">
            <v>210000</v>
          </cell>
          <cell r="AH212" t="str">
            <v xml:space="preserve">Angkutan Umum </v>
          </cell>
          <cell r="AI212" t="str">
            <v>Univ. 17 Agustus 1945</v>
          </cell>
        </row>
        <row r="213">
          <cell r="A213">
            <v>212</v>
          </cell>
          <cell r="B213" t="str">
            <v>Asri Fika Agusti</v>
          </cell>
          <cell r="C213" t="str">
            <v>198708192009122006</v>
          </cell>
          <cell r="D213" t="str">
            <v>Pengelola Keuangan pada Sub. Bagian Keuangan pada Bagian Umum</v>
          </cell>
          <cell r="E213" t="str">
            <v>III/c</v>
          </cell>
          <cell r="F213" t="str">
            <v>348432499201000</v>
          </cell>
          <cell r="G213" t="str">
            <v>Penata</v>
          </cell>
          <cell r="H213" t="str">
            <v>Melakukan Monitoring dan Evaluasi ke Universitas 17 Agustus 1945 Jakarta</v>
          </cell>
          <cell r="I213" t="str">
            <v>DKI Jakarta</v>
          </cell>
          <cell r="J213" t="str">
            <v>DKI Jakarta</v>
          </cell>
          <cell r="K213">
            <v>1</v>
          </cell>
          <cell r="L213" t="str">
            <v>25 April 2019</v>
          </cell>
          <cell r="M213" t="str">
            <v>25 April 2019</v>
          </cell>
          <cell r="N213">
            <v>524114</v>
          </cell>
          <cell r="O213" t="str">
            <v>Belanja Perjalanan Dinas Paket Meeting Dalam Kota</v>
          </cell>
          <cell r="P213" t="str">
            <v>641/L3/TU/KA.11.00/2019</v>
          </cell>
          <cell r="Q213" t="str">
            <v>15 April 2019</v>
          </cell>
          <cell r="R213" t="str">
            <v>ya</v>
          </cell>
          <cell r="S213">
            <v>150000</v>
          </cell>
          <cell r="T213">
            <v>3138400</v>
          </cell>
          <cell r="V213">
            <v>0</v>
          </cell>
          <cell r="W213">
            <v>0</v>
          </cell>
          <cell r="X213">
            <v>0</v>
          </cell>
          <cell r="Z213">
            <v>0</v>
          </cell>
          <cell r="AB213">
            <v>0</v>
          </cell>
          <cell r="AD213">
            <v>0</v>
          </cell>
          <cell r="AE213" t="str">
            <v>ya</v>
          </cell>
          <cell r="AF213">
            <v>210000</v>
          </cell>
          <cell r="AH213" t="str">
            <v xml:space="preserve">Angkutan Umum </v>
          </cell>
          <cell r="AI213" t="str">
            <v>Univ. 17 Agustus 1945</v>
          </cell>
        </row>
        <row r="214">
          <cell r="A214">
            <v>213</v>
          </cell>
          <cell r="B214" t="str">
            <v>Suparman</v>
          </cell>
          <cell r="C214" t="str">
            <v>196705191987031006</v>
          </cell>
          <cell r="D214" t="str">
            <v>Pengadministrasi Kepegawaian pada Sub. Bagian Kepegawaian pada Bagian Umum</v>
          </cell>
          <cell r="E214" t="str">
            <v>III/b</v>
          </cell>
          <cell r="F214" t="str">
            <v>755960788004000</v>
          </cell>
          <cell r="G214" t="str">
            <v>Penata Muda Tk. I</v>
          </cell>
          <cell r="H214" t="str">
            <v>Melakukan Monitoring dan Evaluasi ke Universitas 17 Agustus 1945 Jakarta</v>
          </cell>
          <cell r="I214" t="str">
            <v>DKI Jakarta</v>
          </cell>
          <cell r="J214" t="str">
            <v>DKI Jakarta</v>
          </cell>
          <cell r="K214">
            <v>1</v>
          </cell>
          <cell r="L214" t="str">
            <v>25 April 2019</v>
          </cell>
          <cell r="M214" t="str">
            <v>25 April 2019</v>
          </cell>
          <cell r="N214">
            <v>524114</v>
          </cell>
          <cell r="O214" t="str">
            <v>Belanja Perjalanan Dinas Paket Meeting Dalam Kota</v>
          </cell>
          <cell r="P214" t="str">
            <v>641/L3/TU/KA.11.00/2019</v>
          </cell>
          <cell r="Q214" t="str">
            <v>15 April 2019</v>
          </cell>
          <cell r="R214" t="str">
            <v>ya</v>
          </cell>
          <cell r="S214">
            <v>150000</v>
          </cell>
          <cell r="T214">
            <v>3138400</v>
          </cell>
          <cell r="V214">
            <v>0</v>
          </cell>
          <cell r="W214">
            <v>0</v>
          </cell>
          <cell r="X214">
            <v>0</v>
          </cell>
          <cell r="Z214">
            <v>0</v>
          </cell>
          <cell r="AB214">
            <v>0</v>
          </cell>
          <cell r="AD214">
            <v>0</v>
          </cell>
          <cell r="AE214" t="str">
            <v>ya</v>
          </cell>
          <cell r="AF214">
            <v>210000</v>
          </cell>
          <cell r="AH214" t="str">
            <v xml:space="preserve">Angkutan Umum </v>
          </cell>
          <cell r="AI214" t="str">
            <v>Univ. 17 Agustus 1945</v>
          </cell>
        </row>
        <row r="215">
          <cell r="A215">
            <v>214</v>
          </cell>
          <cell r="B215" t="str">
            <v>Bachrudin</v>
          </cell>
          <cell r="C215" t="str">
            <v>196312181988101001</v>
          </cell>
          <cell r="D215" t="str">
            <v>Analis Kompetensi  pada Seksi Ketenagaan pada Bidang Akademik, Kemahasiswaan, dan Ketenagaan</v>
          </cell>
          <cell r="E215" t="str">
            <v>III/d</v>
          </cell>
          <cell r="F215" t="str">
            <v>688766708403000</v>
          </cell>
          <cell r="G215" t="str">
            <v>Penata Tk. I</v>
          </cell>
          <cell r="H215" t="str">
            <v>Melakukan Monitoring dan Evaluasi ke Universitas Akademik Radiodiagnostik dan Radioterapi Atro Nusantara</v>
          </cell>
          <cell r="I215" t="str">
            <v>DKI Jakarta</v>
          </cell>
          <cell r="J215" t="str">
            <v>DKI Jakarta</v>
          </cell>
          <cell r="K215">
            <v>1</v>
          </cell>
          <cell r="L215" t="str">
            <v>25 April 2019</v>
          </cell>
          <cell r="M215" t="str">
            <v>25 April 2019</v>
          </cell>
          <cell r="N215">
            <v>524114</v>
          </cell>
          <cell r="O215" t="str">
            <v>Belanja Perjalanan Dinas Paket Meeting Dalam Kota</v>
          </cell>
          <cell r="P215" t="str">
            <v>641/L3/TU/KA.11.00/2019</v>
          </cell>
          <cell r="Q215" t="str">
            <v>15 April 2019</v>
          </cell>
          <cell r="R215" t="str">
            <v>ya</v>
          </cell>
          <cell r="S215">
            <v>150000</v>
          </cell>
          <cell r="T215">
            <v>3138400</v>
          </cell>
          <cell r="V215">
            <v>0</v>
          </cell>
          <cell r="W215">
            <v>0</v>
          </cell>
          <cell r="X215">
            <v>0</v>
          </cell>
          <cell r="Z215">
            <v>0</v>
          </cell>
          <cell r="AB215">
            <v>0</v>
          </cell>
          <cell r="AD215">
            <v>0</v>
          </cell>
          <cell r="AE215" t="str">
            <v>ya</v>
          </cell>
          <cell r="AF215">
            <v>210000</v>
          </cell>
          <cell r="AH215" t="str">
            <v xml:space="preserve">Angkutan Umum </v>
          </cell>
          <cell r="AI215" t="str">
            <v>Akademik Radiodiagnostik dan Radioterapi Atro Nusantara</v>
          </cell>
        </row>
        <row r="216">
          <cell r="A216">
            <v>215</v>
          </cell>
          <cell r="B216" t="str">
            <v>Ikhsan Riyanda</v>
          </cell>
          <cell r="C216" t="str">
            <v>198303202010121003</v>
          </cell>
          <cell r="D216" t="str">
            <v>Pengelola Keuangan pada Sub. Bagian Keuangan pada Bagian Umum</v>
          </cell>
          <cell r="E216" t="str">
            <v>III/b</v>
          </cell>
          <cell r="F216" t="str">
            <v>263956575412000</v>
          </cell>
          <cell r="G216" t="str">
            <v>Penata Muda Tk. I</v>
          </cell>
          <cell r="H216" t="str">
            <v>Melakukan Monitoring dan Evaluasi ke Universitas Akademik Radiodiagnostik dan Radioterapi Atro Nusantara</v>
          </cell>
          <cell r="I216" t="str">
            <v>DKI Jakarta</v>
          </cell>
          <cell r="J216" t="str">
            <v>DKI Jakarta</v>
          </cell>
          <cell r="K216">
            <v>1</v>
          </cell>
          <cell r="L216" t="str">
            <v>25 April 2019</v>
          </cell>
          <cell r="M216" t="str">
            <v>25 April 2019</v>
          </cell>
          <cell r="N216">
            <v>524114</v>
          </cell>
          <cell r="O216" t="str">
            <v>Belanja Perjalanan Dinas Paket Meeting Dalam Kota</v>
          </cell>
          <cell r="P216" t="str">
            <v>641/L3/TU/KA.11.00/2019</v>
          </cell>
          <cell r="Q216" t="str">
            <v>15 April 2019</v>
          </cell>
          <cell r="R216" t="str">
            <v>ya</v>
          </cell>
          <cell r="S216">
            <v>150000</v>
          </cell>
          <cell r="T216">
            <v>3138400</v>
          </cell>
          <cell r="V216">
            <v>0</v>
          </cell>
          <cell r="W216">
            <v>0</v>
          </cell>
          <cell r="X216">
            <v>0</v>
          </cell>
          <cell r="Z216">
            <v>0</v>
          </cell>
          <cell r="AB216">
            <v>0</v>
          </cell>
          <cell r="AD216">
            <v>0</v>
          </cell>
          <cell r="AE216" t="str">
            <v>ya</v>
          </cell>
          <cell r="AF216">
            <v>210000</v>
          </cell>
          <cell r="AH216" t="str">
            <v xml:space="preserve">Angkutan Umum </v>
          </cell>
          <cell r="AI216" t="str">
            <v>Akademik Radiodiagnostik dan Radioterapi Atro Nusantara</v>
          </cell>
        </row>
        <row r="217">
          <cell r="A217">
            <v>216</v>
          </cell>
          <cell r="B217" t="str">
            <v>Herlina</v>
          </cell>
          <cell r="C217" t="str">
            <v>197004171992032002</v>
          </cell>
          <cell r="D217" t="str">
            <v>Pengelola Kepegawaian pada Sub. Bagian Kepegawaian pada Bagian Umum</v>
          </cell>
          <cell r="E217" t="str">
            <v>IV/a</v>
          </cell>
          <cell r="F217" t="str">
            <v>688766690005000</v>
          </cell>
          <cell r="G217" t="str">
            <v>Pembina</v>
          </cell>
          <cell r="H217" t="str">
            <v>Melakukan Monitoring dan Evaluasi ke Universitas Akademik Radiodiagnostik dan Radioterapi Atro Nusantara</v>
          </cell>
          <cell r="I217" t="str">
            <v>DKI Jakarta</v>
          </cell>
          <cell r="J217" t="str">
            <v>DKI Jakarta</v>
          </cell>
          <cell r="K217">
            <v>1</v>
          </cell>
          <cell r="L217" t="str">
            <v>25 April 2019</v>
          </cell>
          <cell r="M217" t="str">
            <v>25 April 2019</v>
          </cell>
          <cell r="N217">
            <v>524114</v>
          </cell>
          <cell r="O217" t="str">
            <v>Belanja Perjalanan Dinas Paket Meeting Dalam Kota</v>
          </cell>
          <cell r="P217" t="str">
            <v>641/L3/TU/KA.11.00/2019</v>
          </cell>
          <cell r="Q217" t="str">
            <v>15 April 2019</v>
          </cell>
          <cell r="R217" t="str">
            <v>ya</v>
          </cell>
          <cell r="S217">
            <v>150000</v>
          </cell>
          <cell r="T217">
            <v>3138400</v>
          </cell>
          <cell r="V217">
            <v>0</v>
          </cell>
          <cell r="W217">
            <v>0</v>
          </cell>
          <cell r="X217">
            <v>0</v>
          </cell>
          <cell r="Z217">
            <v>0</v>
          </cell>
          <cell r="AB217">
            <v>0</v>
          </cell>
          <cell r="AD217">
            <v>0</v>
          </cell>
          <cell r="AE217" t="str">
            <v>ya</v>
          </cell>
          <cell r="AF217">
            <v>210000</v>
          </cell>
          <cell r="AH217" t="str">
            <v xml:space="preserve">Angkutan Umum </v>
          </cell>
          <cell r="AI217" t="str">
            <v>Akademik Radiodiagnostik dan Radioterapi Atro Nusantara</v>
          </cell>
        </row>
        <row r="218">
          <cell r="A218">
            <v>217</v>
          </cell>
          <cell r="B218" t="str">
            <v>Putranto</v>
          </cell>
          <cell r="C218" t="str">
            <v>196307051982011001</v>
          </cell>
          <cell r="D218" t="str">
            <v xml:space="preserve">Pengadministrasi Umum pada Sub. Bagian Tata Usaha pada Bagian Umum                               </v>
          </cell>
          <cell r="E218" t="str">
            <v>II/c</v>
          </cell>
          <cell r="F218" t="str">
            <v>250736410412000</v>
          </cell>
          <cell r="G218" t="str">
            <v>Pengatur</v>
          </cell>
          <cell r="H218" t="str">
            <v>Melakukan Monitoring dan Evaluasi ke Universitas Akademik Radiodiagnostik dan Radioterapi Atro Nusantara</v>
          </cell>
          <cell r="I218" t="str">
            <v>DKI Jakarta</v>
          </cell>
          <cell r="J218" t="str">
            <v>DKI Jakarta</v>
          </cell>
          <cell r="K218">
            <v>1</v>
          </cell>
          <cell r="L218" t="str">
            <v>25 April 2019</v>
          </cell>
          <cell r="M218" t="str">
            <v>25 April 2019</v>
          </cell>
          <cell r="N218">
            <v>524114</v>
          </cell>
          <cell r="O218" t="str">
            <v>Belanja Perjalanan Dinas Paket Meeting Dalam Kota</v>
          </cell>
          <cell r="P218" t="str">
            <v>641/L3/TU/KA.11.00/2019</v>
          </cell>
          <cell r="Q218" t="str">
            <v>15 April 2019</v>
          </cell>
          <cell r="R218" t="str">
            <v>ya</v>
          </cell>
          <cell r="S218">
            <v>150000</v>
          </cell>
          <cell r="T218">
            <v>3138400</v>
          </cell>
          <cell r="V218">
            <v>0</v>
          </cell>
          <cell r="W218">
            <v>0</v>
          </cell>
          <cell r="X218">
            <v>0</v>
          </cell>
          <cell r="Z218">
            <v>0</v>
          </cell>
          <cell r="AB218">
            <v>0</v>
          </cell>
          <cell r="AD218">
            <v>0</v>
          </cell>
          <cell r="AE218" t="str">
            <v>ya</v>
          </cell>
          <cell r="AF218">
            <v>210000</v>
          </cell>
          <cell r="AH218" t="str">
            <v xml:space="preserve">Angkutan Umum </v>
          </cell>
          <cell r="AI218" t="str">
            <v>Akademik Radiodiagnostik dan Radioterapi Atro Nusantara</v>
          </cell>
        </row>
        <row r="219">
          <cell r="A219">
            <v>218</v>
          </cell>
          <cell r="B219" t="str">
            <v>Ibnu Syarif</v>
          </cell>
          <cell r="C219" t="str">
            <v>196411271987031002</v>
          </cell>
          <cell r="D219" t="str">
            <v>Petugas Keamanan pada Sub. Bagian Tata Usaha pada Bagian Umum</v>
          </cell>
          <cell r="E219" t="str">
            <v>II/c</v>
          </cell>
          <cell r="F219" t="str">
            <v>688766328024000</v>
          </cell>
          <cell r="G219" t="str">
            <v>Pengatur</v>
          </cell>
          <cell r="H219" t="str">
            <v>Melakukan Monitoring dan Evaluasi ke Universitas Akademik Radiodiagnostik dan Radioterapi Atro Nusantara</v>
          </cell>
          <cell r="I219" t="str">
            <v>DKI Jakarta</v>
          </cell>
          <cell r="J219" t="str">
            <v>DKI Jakarta</v>
          </cell>
          <cell r="K219">
            <v>1</v>
          </cell>
          <cell r="L219" t="str">
            <v>25 April 2019</v>
          </cell>
          <cell r="M219" t="str">
            <v>25 April 2019</v>
          </cell>
          <cell r="N219">
            <v>524114</v>
          </cell>
          <cell r="O219" t="str">
            <v>Belanja Perjalanan Dinas Paket Meeting Dalam Kota</v>
          </cell>
          <cell r="P219" t="str">
            <v>641/L3/TU/KA.11.00/2019</v>
          </cell>
          <cell r="Q219" t="str">
            <v>15 April 2019</v>
          </cell>
          <cell r="R219" t="str">
            <v>ya</v>
          </cell>
          <cell r="S219">
            <v>150000</v>
          </cell>
          <cell r="T219">
            <v>3138400</v>
          </cell>
          <cell r="V219">
            <v>0</v>
          </cell>
          <cell r="W219">
            <v>0</v>
          </cell>
          <cell r="X219">
            <v>0</v>
          </cell>
          <cell r="Z219">
            <v>0</v>
          </cell>
          <cell r="AB219">
            <v>0</v>
          </cell>
          <cell r="AD219">
            <v>0</v>
          </cell>
          <cell r="AE219" t="str">
            <v>ya</v>
          </cell>
          <cell r="AF219">
            <v>210000</v>
          </cell>
          <cell r="AH219" t="str">
            <v xml:space="preserve">Angkutan Umum </v>
          </cell>
          <cell r="AI219" t="str">
            <v>Akademik Radiodiagnostik dan Radioterapi Atro Nusantara</v>
          </cell>
        </row>
        <row r="220">
          <cell r="A220">
            <v>219</v>
          </cell>
          <cell r="B220" t="str">
            <v>Sri Mastuti</v>
          </cell>
          <cell r="C220" t="str">
            <v>196305161989022001</v>
          </cell>
          <cell r="D220" t="str">
            <v>Kepala Bagian Sumber Daya Perguruan Tinggi</v>
          </cell>
          <cell r="E220" t="str">
            <v>IV/a</v>
          </cell>
          <cell r="F220" t="str">
            <v>688754316072000</v>
          </cell>
          <cell r="G220" t="str">
            <v>Pembina</v>
          </cell>
          <cell r="H220" t="str">
            <v>Melakukan Monitoring dan Evaluasi ke Sekolah Tinggi Ilmu Kesehatan Sint Carolus</v>
          </cell>
          <cell r="I220" t="str">
            <v>DKI Jakarta</v>
          </cell>
          <cell r="J220" t="str">
            <v>DKI Jakarta</v>
          </cell>
          <cell r="K220">
            <v>1</v>
          </cell>
          <cell r="L220" t="str">
            <v>25 April 2019</v>
          </cell>
          <cell r="M220" t="str">
            <v>25 April 2019</v>
          </cell>
          <cell r="N220">
            <v>524114</v>
          </cell>
          <cell r="O220" t="str">
            <v>Belanja Perjalanan Dinas Paket Meeting Dalam Kota</v>
          </cell>
          <cell r="P220" t="str">
            <v>641/L3/TU/KA.11.00/2019</v>
          </cell>
          <cell r="Q220" t="str">
            <v>15 April 2019</v>
          </cell>
          <cell r="R220" t="str">
            <v>ya</v>
          </cell>
          <cell r="S220">
            <v>150000</v>
          </cell>
          <cell r="T220">
            <v>3138400</v>
          </cell>
          <cell r="V220">
            <v>0</v>
          </cell>
          <cell r="W220">
            <v>0</v>
          </cell>
          <cell r="X220">
            <v>0</v>
          </cell>
          <cell r="Z220">
            <v>0</v>
          </cell>
          <cell r="AB220">
            <v>0</v>
          </cell>
          <cell r="AD220">
            <v>0</v>
          </cell>
          <cell r="AE220" t="str">
            <v>ya</v>
          </cell>
          <cell r="AF220">
            <v>210000</v>
          </cell>
          <cell r="AH220" t="str">
            <v xml:space="preserve">Angkutan Umum </v>
          </cell>
          <cell r="AI220" t="str">
            <v>STIK Sint Carolus</v>
          </cell>
        </row>
        <row r="221">
          <cell r="A221">
            <v>220</v>
          </cell>
          <cell r="B221" t="str">
            <v>Yeni Handayani</v>
          </cell>
          <cell r="C221" t="str">
            <v>198404022015042002</v>
          </cell>
          <cell r="D221" t="str">
            <v>Pengelola Pendidikan Dan Tenaga Kependidikan pada Seksi Ketenagaan pada Bidang Akademik, Kemahasiswaan, dan Ketenagaan</v>
          </cell>
          <cell r="E221" t="str">
            <v>II/c</v>
          </cell>
          <cell r="F221" t="str">
            <v>472793371001000</v>
          </cell>
          <cell r="G221" t="str">
            <v>Pengatur</v>
          </cell>
          <cell r="H221" t="str">
            <v>Melakukan Monitoring dan Evaluasi ke Sekolah Tinggi Ilmu Kesehatan Sint Carolus</v>
          </cell>
          <cell r="I221" t="str">
            <v>DKI Jakarta</v>
          </cell>
          <cell r="J221" t="str">
            <v>DKI Jakarta</v>
          </cell>
          <cell r="K221">
            <v>1</v>
          </cell>
          <cell r="L221" t="str">
            <v>25 April 2019</v>
          </cell>
          <cell r="M221" t="str">
            <v>25 April 2019</v>
          </cell>
          <cell r="N221">
            <v>524114</v>
          </cell>
          <cell r="O221" t="str">
            <v>Belanja Perjalanan Dinas Paket Meeting Dalam Kota</v>
          </cell>
          <cell r="P221" t="str">
            <v>641/L3/TU/KA.11.00/2019</v>
          </cell>
          <cell r="Q221" t="str">
            <v>15 April 2019</v>
          </cell>
          <cell r="R221" t="str">
            <v>ya</v>
          </cell>
          <cell r="S221">
            <v>150000</v>
          </cell>
          <cell r="T221">
            <v>3138400</v>
          </cell>
          <cell r="V221">
            <v>0</v>
          </cell>
          <cell r="W221">
            <v>0</v>
          </cell>
          <cell r="X221">
            <v>0</v>
          </cell>
          <cell r="Z221">
            <v>0</v>
          </cell>
          <cell r="AB221">
            <v>0</v>
          </cell>
          <cell r="AD221">
            <v>0</v>
          </cell>
          <cell r="AE221" t="str">
            <v>ya</v>
          </cell>
          <cell r="AF221">
            <v>210000</v>
          </cell>
          <cell r="AH221" t="str">
            <v xml:space="preserve">Angkutan Umum </v>
          </cell>
          <cell r="AI221" t="str">
            <v>STIK Sint Carolus</v>
          </cell>
        </row>
        <row r="222">
          <cell r="A222">
            <v>221</v>
          </cell>
          <cell r="B222" t="str">
            <v>Ahmad Mustaadi</v>
          </cell>
          <cell r="C222" t="str">
            <v>196605181989021002</v>
          </cell>
          <cell r="D222" t="str">
            <v>Bendahara  pada Sub. Bagian Keuangan pada Bagian Umum</v>
          </cell>
          <cell r="E222" t="str">
            <v>III/b</v>
          </cell>
          <cell r="F222" t="str">
            <v>688766625432000</v>
          </cell>
          <cell r="G222" t="str">
            <v>Penata Muda Tk. I</v>
          </cell>
          <cell r="H222" t="str">
            <v>Melakukan Monitoring dan Evaluasi ke Sekolah Tinggi Ilmu Kesehatan Sint Carolus</v>
          </cell>
          <cell r="I222" t="str">
            <v>DKI Jakarta</v>
          </cell>
          <cell r="J222" t="str">
            <v>DKI Jakarta</v>
          </cell>
          <cell r="K222">
            <v>1</v>
          </cell>
          <cell r="L222" t="str">
            <v>25 April 2019</v>
          </cell>
          <cell r="M222" t="str">
            <v>25 April 2019</v>
          </cell>
          <cell r="N222">
            <v>524114</v>
          </cell>
          <cell r="O222" t="str">
            <v>Belanja Perjalanan Dinas Paket Meeting Dalam Kota</v>
          </cell>
          <cell r="P222" t="str">
            <v>641/L3/TU/KA.11.00/2019</v>
          </cell>
          <cell r="Q222" t="str">
            <v>15 April 2019</v>
          </cell>
          <cell r="R222" t="str">
            <v>ya</v>
          </cell>
          <cell r="S222">
            <v>150000</v>
          </cell>
          <cell r="T222">
            <v>3138400</v>
          </cell>
          <cell r="V222">
            <v>0</v>
          </cell>
          <cell r="W222">
            <v>0</v>
          </cell>
          <cell r="X222">
            <v>0</v>
          </cell>
          <cell r="Z222">
            <v>0</v>
          </cell>
          <cell r="AB222">
            <v>0</v>
          </cell>
          <cell r="AD222">
            <v>0</v>
          </cell>
          <cell r="AE222" t="str">
            <v>ya</v>
          </cell>
          <cell r="AF222">
            <v>210000</v>
          </cell>
          <cell r="AH222" t="str">
            <v xml:space="preserve">Angkutan Umum </v>
          </cell>
          <cell r="AI222" t="str">
            <v>STIK Sint Carolus</v>
          </cell>
        </row>
        <row r="223">
          <cell r="A223">
            <v>222</v>
          </cell>
          <cell r="B223" t="str">
            <v>Endang Sutisna</v>
          </cell>
          <cell r="C223" t="str">
            <v>197406292005011001</v>
          </cell>
          <cell r="D223" t="str">
            <v>Pengadministrasi Kepegawaian pada Sub. Bagian Kepegawaian pada Bagian Umum</v>
          </cell>
          <cell r="E223" t="str">
            <v>II/d</v>
          </cell>
          <cell r="F223" t="str">
            <v>688754233412000</v>
          </cell>
          <cell r="G223" t="str">
            <v>Pengatur Tk. I</v>
          </cell>
          <cell r="H223" t="str">
            <v>Melakukan Monitoring dan Evaluasi ke Sekolah Tinggi Ilmu Kesehatan Sint Carolus</v>
          </cell>
          <cell r="I223" t="str">
            <v>DKI Jakarta</v>
          </cell>
          <cell r="J223" t="str">
            <v>DKI Jakarta</v>
          </cell>
          <cell r="K223">
            <v>1</v>
          </cell>
          <cell r="L223" t="str">
            <v>25 April 2019</v>
          </cell>
          <cell r="M223" t="str">
            <v>25 April 2019</v>
          </cell>
          <cell r="N223">
            <v>524114</v>
          </cell>
          <cell r="O223" t="str">
            <v>Belanja Perjalanan Dinas Paket Meeting Dalam Kota</v>
          </cell>
          <cell r="P223" t="str">
            <v>641/L3/TU/KA.11.00/2019</v>
          </cell>
          <cell r="Q223" t="str">
            <v>15 April 2019</v>
          </cell>
          <cell r="R223" t="str">
            <v>ya</v>
          </cell>
          <cell r="S223">
            <v>150000</v>
          </cell>
          <cell r="T223">
            <v>3138400</v>
          </cell>
          <cell r="V223">
            <v>0</v>
          </cell>
          <cell r="W223">
            <v>0</v>
          </cell>
          <cell r="X223">
            <v>0</v>
          </cell>
          <cell r="Z223">
            <v>0</v>
          </cell>
          <cell r="AB223">
            <v>0</v>
          </cell>
          <cell r="AD223">
            <v>0</v>
          </cell>
          <cell r="AE223" t="str">
            <v>ya</v>
          </cell>
          <cell r="AF223">
            <v>210000</v>
          </cell>
          <cell r="AH223" t="str">
            <v xml:space="preserve">Angkutan Umum </v>
          </cell>
          <cell r="AI223" t="str">
            <v>STIK Sint Carolus</v>
          </cell>
        </row>
        <row r="224">
          <cell r="A224">
            <v>223</v>
          </cell>
          <cell r="B224" t="str">
            <v>Damayanti</v>
          </cell>
          <cell r="C224" t="str">
            <v>196505291987032001</v>
          </cell>
          <cell r="D224" t="str">
            <v xml:space="preserve">Pengadministrasi Persuratan pada Sub. Bagian Tata Usaha pada Bagian Umum  </v>
          </cell>
          <cell r="E224" t="str">
            <v>III/d</v>
          </cell>
          <cell r="F224" t="str">
            <v>688766682006000</v>
          </cell>
          <cell r="G224" t="str">
            <v>Penata Tk. I</v>
          </cell>
          <cell r="H224" t="str">
            <v>Melakukan Monitoring dan Evaluasi ke Sekolah Tinggi Ilmu Kesehatan Sint Carolus</v>
          </cell>
          <cell r="I224" t="str">
            <v>DKI Jakarta</v>
          </cell>
          <cell r="J224" t="str">
            <v>DKI Jakarta</v>
          </cell>
          <cell r="K224">
            <v>1</v>
          </cell>
          <cell r="L224" t="str">
            <v>25 April 2019</v>
          </cell>
          <cell r="M224" t="str">
            <v>25 April 2019</v>
          </cell>
          <cell r="N224">
            <v>524114</v>
          </cell>
          <cell r="O224" t="str">
            <v>Belanja Perjalanan Dinas Paket Meeting Dalam Kota</v>
          </cell>
          <cell r="P224" t="str">
            <v>641/L3/TU/KA.11.00/2019</v>
          </cell>
          <cell r="Q224" t="str">
            <v>15 April 2019</v>
          </cell>
          <cell r="R224" t="str">
            <v>ya</v>
          </cell>
          <cell r="S224">
            <v>150000</v>
          </cell>
          <cell r="T224">
            <v>3138400</v>
          </cell>
          <cell r="V224">
            <v>0</v>
          </cell>
          <cell r="W224">
            <v>0</v>
          </cell>
          <cell r="X224">
            <v>0</v>
          </cell>
          <cell r="Z224">
            <v>0</v>
          </cell>
          <cell r="AB224">
            <v>0</v>
          </cell>
          <cell r="AD224">
            <v>0</v>
          </cell>
          <cell r="AE224" t="str">
            <v>ya</v>
          </cell>
          <cell r="AF224">
            <v>210000</v>
          </cell>
          <cell r="AH224" t="str">
            <v xml:space="preserve">Angkutan Umum </v>
          </cell>
          <cell r="AI224" t="str">
            <v>STIK Sint Carolus</v>
          </cell>
        </row>
        <row r="225">
          <cell r="A225">
            <v>224</v>
          </cell>
          <cell r="B225" t="str">
            <v>Boy Alexandry</v>
          </cell>
          <cell r="C225" t="str">
            <v>196301091994031002</v>
          </cell>
          <cell r="D225" t="str">
            <v xml:space="preserve">Kepala Sub. Bagian Tata Usaha pada Bagian Umum                                          </v>
          </cell>
          <cell r="E225" t="str">
            <v>IV/a</v>
          </cell>
          <cell r="F225" t="str">
            <v>688766658017000</v>
          </cell>
          <cell r="G225" t="str">
            <v>Pembina</v>
          </cell>
          <cell r="H225" t="str">
            <v>Melakukan Monitoring dan Evaluasi ke Institut Bio Scientia Internasional Indonesia</v>
          </cell>
          <cell r="I225" t="str">
            <v>DKI Jakarta</v>
          </cell>
          <cell r="J225" t="str">
            <v>DKI Jakarta</v>
          </cell>
          <cell r="K225">
            <v>1</v>
          </cell>
          <cell r="L225" t="str">
            <v>26 April 2019</v>
          </cell>
          <cell r="M225" t="str">
            <v>26 April 2019</v>
          </cell>
          <cell r="N225">
            <v>524114</v>
          </cell>
          <cell r="O225" t="str">
            <v>Belanja Perjalanan Dinas Paket Meeting Dalam Kota</v>
          </cell>
          <cell r="P225" t="str">
            <v>641/L3/TU/KA.11.00/2019</v>
          </cell>
          <cell r="Q225" t="str">
            <v>15 April 2019</v>
          </cell>
          <cell r="R225" t="str">
            <v>ya</v>
          </cell>
          <cell r="S225">
            <v>150000</v>
          </cell>
          <cell r="T225">
            <v>3138400</v>
          </cell>
          <cell r="V225">
            <v>0</v>
          </cell>
          <cell r="W225">
            <v>0</v>
          </cell>
          <cell r="X225">
            <v>0</v>
          </cell>
          <cell r="Z225">
            <v>0</v>
          </cell>
          <cell r="AB225">
            <v>0</v>
          </cell>
          <cell r="AD225">
            <v>0</v>
          </cell>
          <cell r="AE225" t="str">
            <v>ya</v>
          </cell>
          <cell r="AF225">
            <v>210000</v>
          </cell>
          <cell r="AH225" t="str">
            <v xml:space="preserve">Angkutan Umum </v>
          </cell>
          <cell r="AI225" t="str">
            <v>Institute Bio Scientia Internasional Indonesia</v>
          </cell>
        </row>
        <row r="226">
          <cell r="A226">
            <v>225</v>
          </cell>
          <cell r="B226" t="str">
            <v>Titah Widihastuti</v>
          </cell>
          <cell r="C226" t="str">
            <v>198312302010122003</v>
          </cell>
          <cell r="D226" t="str">
            <v>Analis Sistem Informasi pada Seksi Sistem Informasi pada Bidang Kelembagaan, dan Sistem Informasi</v>
          </cell>
          <cell r="E226" t="str">
            <v>III/b</v>
          </cell>
          <cell r="F226" t="str">
            <v>678780578009000</v>
          </cell>
          <cell r="G226" t="str">
            <v>Penata Muda Tk. I</v>
          </cell>
          <cell r="H226" t="str">
            <v>Melakukan Monitoring dan Evaluasi ke Institut Bio Scientia Internasional Indonesia</v>
          </cell>
          <cell r="I226" t="str">
            <v>DKI Jakarta</v>
          </cell>
          <cell r="J226" t="str">
            <v>DKI Jakarta</v>
          </cell>
          <cell r="K226">
            <v>1</v>
          </cell>
          <cell r="L226" t="str">
            <v>26 April 2019</v>
          </cell>
          <cell r="M226" t="str">
            <v>26 April 2019</v>
          </cell>
          <cell r="N226">
            <v>524114</v>
          </cell>
          <cell r="O226" t="str">
            <v>Belanja Perjalanan Dinas Paket Meeting Dalam Kota</v>
          </cell>
          <cell r="P226" t="str">
            <v>641/L3/TU/KA.11.00/2019</v>
          </cell>
          <cell r="Q226" t="str">
            <v>15 April 2019</v>
          </cell>
          <cell r="R226" t="str">
            <v>ya</v>
          </cell>
          <cell r="S226">
            <v>150000</v>
          </cell>
          <cell r="T226">
            <v>3138400</v>
          </cell>
          <cell r="V226">
            <v>0</v>
          </cell>
          <cell r="W226">
            <v>0</v>
          </cell>
          <cell r="X226">
            <v>0</v>
          </cell>
          <cell r="Z226">
            <v>0</v>
          </cell>
          <cell r="AB226">
            <v>0</v>
          </cell>
          <cell r="AD226">
            <v>0</v>
          </cell>
          <cell r="AE226" t="str">
            <v>ya</v>
          </cell>
          <cell r="AF226">
            <v>210000</v>
          </cell>
          <cell r="AH226" t="str">
            <v xml:space="preserve">Angkutan Umum </v>
          </cell>
          <cell r="AI226" t="str">
            <v>Institute Bio Scientia Internasional Indonesia</v>
          </cell>
        </row>
        <row r="227">
          <cell r="A227">
            <v>226</v>
          </cell>
          <cell r="B227" t="str">
            <v>Ning Dwi Hastuti</v>
          </cell>
          <cell r="C227" t="str">
            <v>196408091988032001</v>
          </cell>
          <cell r="D227" t="str">
            <v>Pengelola Informasi Akademik pada Seksi Akademik, dan Kemahasiswaan pada Bidang Akademik, Kemahasiswaan, dan Ketenagaan</v>
          </cell>
          <cell r="E227" t="str">
            <v>III/d</v>
          </cell>
          <cell r="F227" t="str">
            <v>245328000412001</v>
          </cell>
          <cell r="G227" t="str">
            <v>Penata Tk. I</v>
          </cell>
          <cell r="H227" t="str">
            <v>Melakukan Monitoring dan Evaluasi ke Institut Bio Scientia Internasional Indonesia</v>
          </cell>
          <cell r="I227" t="str">
            <v>DKI Jakarta</v>
          </cell>
          <cell r="J227" t="str">
            <v>DKI Jakarta</v>
          </cell>
          <cell r="K227">
            <v>1</v>
          </cell>
          <cell r="L227" t="str">
            <v>26 April 2019</v>
          </cell>
          <cell r="M227" t="str">
            <v>26 April 2019</v>
          </cell>
          <cell r="N227">
            <v>524114</v>
          </cell>
          <cell r="O227" t="str">
            <v>Belanja Perjalanan Dinas Paket Meeting Dalam Kota</v>
          </cell>
          <cell r="P227" t="str">
            <v>641/L3/TU/KA.11.00/2019</v>
          </cell>
          <cell r="Q227" t="str">
            <v>15 April 2019</v>
          </cell>
          <cell r="R227" t="str">
            <v>ya</v>
          </cell>
          <cell r="S227">
            <v>150000</v>
          </cell>
          <cell r="T227">
            <v>3138400</v>
          </cell>
          <cell r="V227">
            <v>0</v>
          </cell>
          <cell r="W227">
            <v>0</v>
          </cell>
          <cell r="X227">
            <v>0</v>
          </cell>
          <cell r="Z227">
            <v>0</v>
          </cell>
          <cell r="AB227">
            <v>0</v>
          </cell>
          <cell r="AD227">
            <v>0</v>
          </cell>
          <cell r="AE227" t="str">
            <v>ya</v>
          </cell>
          <cell r="AF227">
            <v>210000</v>
          </cell>
          <cell r="AH227" t="str">
            <v xml:space="preserve">Angkutan Umum </v>
          </cell>
          <cell r="AI227" t="str">
            <v>Institute Bio Scientia Internasional Indonesia</v>
          </cell>
        </row>
        <row r="228">
          <cell r="A228">
            <v>227</v>
          </cell>
          <cell r="B228" t="str">
            <v>Suratmi</v>
          </cell>
          <cell r="C228" t="str">
            <v>196809101986112001</v>
          </cell>
          <cell r="D228" t="str">
            <v>Pengadministrasi Pendidik Dan Tenaga Kependidikan pada Seksi Ketenagaan pada Bidang Akademik, Kemahasiswaan, dan Ketenagaan</v>
          </cell>
          <cell r="E228" t="str">
            <v>III/b</v>
          </cell>
          <cell r="F228" t="str">
            <v>688718410412000</v>
          </cell>
          <cell r="G228" t="str">
            <v>Penata Muda Tk. I</v>
          </cell>
          <cell r="H228" t="str">
            <v>Melakukan Monitoring dan Evaluasi ke Institut Bio Scientia Internasional Indonesia</v>
          </cell>
          <cell r="I228" t="str">
            <v>DKI Jakarta</v>
          </cell>
          <cell r="J228" t="str">
            <v>DKI Jakarta</v>
          </cell>
          <cell r="K228">
            <v>1</v>
          </cell>
          <cell r="L228" t="str">
            <v>26 April 2019</v>
          </cell>
          <cell r="M228" t="str">
            <v>26 April 2019</v>
          </cell>
          <cell r="N228">
            <v>524114</v>
          </cell>
          <cell r="O228" t="str">
            <v>Belanja Perjalanan Dinas Paket Meeting Dalam Kota</v>
          </cell>
          <cell r="P228" t="str">
            <v>641/L3/TU/KA.11.00/2019</v>
          </cell>
          <cell r="Q228" t="str">
            <v>15 April 2019</v>
          </cell>
          <cell r="R228" t="str">
            <v>ya</v>
          </cell>
          <cell r="S228">
            <v>150000</v>
          </cell>
          <cell r="T228">
            <v>3138400</v>
          </cell>
          <cell r="V228">
            <v>0</v>
          </cell>
          <cell r="W228">
            <v>0</v>
          </cell>
          <cell r="X228">
            <v>0</v>
          </cell>
          <cell r="Z228">
            <v>0</v>
          </cell>
          <cell r="AB228">
            <v>0</v>
          </cell>
          <cell r="AD228">
            <v>0</v>
          </cell>
          <cell r="AE228" t="str">
            <v>ya</v>
          </cell>
          <cell r="AF228">
            <v>210000</v>
          </cell>
          <cell r="AH228" t="str">
            <v xml:space="preserve">Angkutan Umum </v>
          </cell>
          <cell r="AI228" t="str">
            <v>Institute Bio Scientia Internasional Indonesia</v>
          </cell>
        </row>
        <row r="229">
          <cell r="A229">
            <v>228</v>
          </cell>
          <cell r="B229" t="str">
            <v>Elih Ermawati</v>
          </cell>
          <cell r="C229" t="str">
            <v>198609152009122006</v>
          </cell>
          <cell r="D229" t="str">
            <v>Pengelola Keuangan pada Sub. Bagian Keuangan pada Bagian Umum</v>
          </cell>
          <cell r="E229" t="str">
            <v>II/d</v>
          </cell>
          <cell r="F229" t="str">
            <v>697161602432000</v>
          </cell>
          <cell r="G229" t="str">
            <v>Pengatur Tk. I</v>
          </cell>
          <cell r="H229" t="str">
            <v>Melakukan Monitoring dan Evaluasi ke Institut Bio Scientia Internasional Indonesia</v>
          </cell>
          <cell r="I229" t="str">
            <v>DKI Jakarta</v>
          </cell>
          <cell r="J229" t="str">
            <v>DKI Jakarta</v>
          </cell>
          <cell r="K229">
            <v>1</v>
          </cell>
          <cell r="L229" t="str">
            <v>26 April 2019</v>
          </cell>
          <cell r="M229" t="str">
            <v>26 April 2019</v>
          </cell>
          <cell r="N229">
            <v>524114</v>
          </cell>
          <cell r="O229" t="str">
            <v>Belanja Perjalanan Dinas Paket Meeting Dalam Kota</v>
          </cell>
          <cell r="P229" t="str">
            <v>641/L3/TU/KA.11.00/2019</v>
          </cell>
          <cell r="Q229" t="str">
            <v>15 April 2019</v>
          </cell>
          <cell r="R229" t="str">
            <v>ya</v>
          </cell>
          <cell r="S229">
            <v>150000</v>
          </cell>
          <cell r="T229">
            <v>3138400</v>
          </cell>
          <cell r="V229">
            <v>0</v>
          </cell>
          <cell r="W229">
            <v>0</v>
          </cell>
          <cell r="X229">
            <v>0</v>
          </cell>
          <cell r="Z229">
            <v>0</v>
          </cell>
          <cell r="AB229">
            <v>0</v>
          </cell>
          <cell r="AD229">
            <v>0</v>
          </cell>
          <cell r="AE229" t="str">
            <v>ya</v>
          </cell>
          <cell r="AF229">
            <v>210000</v>
          </cell>
          <cell r="AH229" t="str">
            <v xml:space="preserve">Angkutan Umum </v>
          </cell>
          <cell r="AI229" t="str">
            <v>Institute Bio Scientia Internasional Indonesia</v>
          </cell>
        </row>
        <row r="230">
          <cell r="A230">
            <v>229</v>
          </cell>
          <cell r="B230" t="str">
            <v>Bachrudin</v>
          </cell>
          <cell r="C230" t="str">
            <v>196312181988101001</v>
          </cell>
          <cell r="D230" t="str">
            <v>Analis Kompetensi  pada Seksi Ketenagaan pada Bidang Akademik, Kemahasiswaan, dan Ketenagaan</v>
          </cell>
          <cell r="E230" t="str">
            <v>III/d</v>
          </cell>
          <cell r="F230" t="str">
            <v>688766708403000</v>
          </cell>
          <cell r="G230" t="str">
            <v>Penata Tk. I</v>
          </cell>
          <cell r="H230" t="str">
            <v>Melakukan Monitoring dan Evaluasi ke Akademi Pariwisata Pertiwi</v>
          </cell>
          <cell r="I230" t="str">
            <v>DKI Jakarta</v>
          </cell>
          <cell r="J230" t="str">
            <v>DKI Jakarta</v>
          </cell>
          <cell r="K230">
            <v>1</v>
          </cell>
          <cell r="L230" t="str">
            <v>2 Mei 2019</v>
          </cell>
          <cell r="M230" t="str">
            <v>2 Mei 2019</v>
          </cell>
          <cell r="N230">
            <v>524114</v>
          </cell>
          <cell r="O230" t="str">
            <v>Belanja Perjalanan Dinas Paket Meeting Dalam Kota</v>
          </cell>
          <cell r="P230" t="str">
            <v>751/L3/TU/KA.11.00/2019</v>
          </cell>
          <cell r="Q230" t="str">
            <v>2 Mei 2019</v>
          </cell>
          <cell r="R230" t="str">
            <v>ya</v>
          </cell>
          <cell r="S230">
            <v>150000</v>
          </cell>
          <cell r="T230">
            <v>3138400</v>
          </cell>
          <cell r="V230">
            <v>0</v>
          </cell>
          <cell r="W230">
            <v>0</v>
          </cell>
          <cell r="X230">
            <v>0</v>
          </cell>
          <cell r="Z230">
            <v>0</v>
          </cell>
          <cell r="AB230">
            <v>0</v>
          </cell>
          <cell r="AD230">
            <v>0</v>
          </cell>
          <cell r="AE230" t="str">
            <v>ya</v>
          </cell>
          <cell r="AF230">
            <v>210000</v>
          </cell>
          <cell r="AH230" t="str">
            <v xml:space="preserve">Angkutan Umum </v>
          </cell>
          <cell r="AI230" t="str">
            <v>Akademi Pariwisata Pertiwi</v>
          </cell>
        </row>
        <row r="231">
          <cell r="A231">
            <v>230</v>
          </cell>
          <cell r="B231" t="str">
            <v>Ikhsan Riyanda</v>
          </cell>
          <cell r="C231" t="str">
            <v>196009021993101001</v>
          </cell>
          <cell r="D231" t="str">
            <v>Pengelola Keuangan pada Sub. Bagian Keuangan pada Bagian Umum</v>
          </cell>
          <cell r="E231" t="str">
            <v>Pembina Tingkat 1</v>
          </cell>
          <cell r="F231" t="str">
            <v>Ketua Tim SPI</v>
          </cell>
          <cell r="G231" t="str">
            <v>Tingkat C</v>
          </cell>
          <cell r="H231" t="str">
            <v>Melakukan Monitoring dan Evaluasi ke Akademi Pariwisata Pertiwi</v>
          </cell>
          <cell r="I231" t="str">
            <v>DKI Jakarta</v>
          </cell>
          <cell r="J231" t="str">
            <v>DKI Jakarta</v>
          </cell>
          <cell r="K231">
            <v>1</v>
          </cell>
          <cell r="L231" t="str">
            <v>2 Mei 2019</v>
          </cell>
          <cell r="M231" t="str">
            <v>2 Mei 2019</v>
          </cell>
          <cell r="N231">
            <v>524114</v>
          </cell>
          <cell r="O231" t="str">
            <v>Belanja Perjalanan Dinas Paket Meeting Dalam Kota</v>
          </cell>
          <cell r="P231" t="str">
            <v>751/L3/TU/KA.11.00/2019</v>
          </cell>
          <cell r="Q231" t="str">
            <v>2 Mei 2019</v>
          </cell>
          <cell r="R231" t="str">
            <v>ya</v>
          </cell>
          <cell r="S231">
            <v>150000</v>
          </cell>
          <cell r="T231">
            <v>3138400</v>
          </cell>
          <cell r="V231">
            <v>0</v>
          </cell>
          <cell r="W231">
            <v>0</v>
          </cell>
          <cell r="X231">
            <v>0</v>
          </cell>
          <cell r="Z231">
            <v>0</v>
          </cell>
          <cell r="AB231">
            <v>0</v>
          </cell>
          <cell r="AD231">
            <v>0</v>
          </cell>
          <cell r="AE231" t="str">
            <v>ya</v>
          </cell>
          <cell r="AF231">
            <v>210000</v>
          </cell>
          <cell r="AH231" t="str">
            <v xml:space="preserve">Angkutan Umum </v>
          </cell>
          <cell r="AI231" t="str">
            <v>Akademi Pariwisata Pertiwi</v>
          </cell>
        </row>
        <row r="232">
          <cell r="A232">
            <v>231</v>
          </cell>
          <cell r="B232" t="str">
            <v>Herlina</v>
          </cell>
          <cell r="C232" t="str">
            <v>197101162005012001</v>
          </cell>
          <cell r="D232" t="str">
            <v>Pengelola Kepegawaian pada Sub. Bagian Kepegawaian pada Bagian Umum</v>
          </cell>
          <cell r="E232" t="str">
            <v>Penata</v>
          </cell>
          <cell r="F232" t="str">
            <v>Anggota Tim SPI</v>
          </cell>
          <cell r="G232" t="str">
            <v>Tingkat C</v>
          </cell>
          <cell r="H232" t="str">
            <v>Melakukan Monitoring dan Evaluasi ke Akademi Pariwisata Pertiwi</v>
          </cell>
          <cell r="I232" t="str">
            <v>DKI Jakarta</v>
          </cell>
          <cell r="J232" t="str">
            <v>DKI Jakarta</v>
          </cell>
          <cell r="K232">
            <v>1</v>
          </cell>
          <cell r="L232" t="str">
            <v>2 Mei 2019</v>
          </cell>
          <cell r="M232" t="str">
            <v>2 Mei 2019</v>
          </cell>
          <cell r="N232">
            <v>524114</v>
          </cell>
          <cell r="O232" t="str">
            <v>Belanja Perjalanan Dinas Paket Meeting Dalam Kota</v>
          </cell>
          <cell r="P232" t="str">
            <v>751/L3/TU/KA.11.00/2019</v>
          </cell>
          <cell r="Q232" t="str">
            <v>2 Mei 2019</v>
          </cell>
          <cell r="R232" t="str">
            <v>ya</v>
          </cell>
          <cell r="S232">
            <v>150000</v>
          </cell>
          <cell r="T232">
            <v>3138400</v>
          </cell>
          <cell r="V232">
            <v>0</v>
          </cell>
          <cell r="W232">
            <v>0</v>
          </cell>
          <cell r="X232">
            <v>0</v>
          </cell>
          <cell r="Z232">
            <v>0</v>
          </cell>
          <cell r="AB232">
            <v>0</v>
          </cell>
          <cell r="AD232">
            <v>0</v>
          </cell>
          <cell r="AE232" t="str">
            <v>ya</v>
          </cell>
          <cell r="AF232">
            <v>210000</v>
          </cell>
          <cell r="AH232" t="str">
            <v xml:space="preserve">Angkutan Umum </v>
          </cell>
          <cell r="AI232" t="str">
            <v>Akademi Pariwisata Pertiwi</v>
          </cell>
        </row>
        <row r="233">
          <cell r="A233">
            <v>232</v>
          </cell>
          <cell r="B233" t="str">
            <v>Putranto</v>
          </cell>
          <cell r="C233" t="str">
            <v>195812141986031001</v>
          </cell>
          <cell r="D233" t="str">
            <v xml:space="preserve">Pengadministrasi Umum pada Sub. Bagian Tata Usaha pada Bagian Umum                               </v>
          </cell>
          <cell r="E233" t="str">
            <v>Pembina</v>
          </cell>
          <cell r="F233" t="str">
            <v>Anggota Tim SPI</v>
          </cell>
          <cell r="G233" t="str">
            <v>Tingkat C</v>
          </cell>
          <cell r="H233" t="str">
            <v>Melakukan Monitoring dan Evaluasi ke Akademi Pariwisata Pertiwi</v>
          </cell>
          <cell r="I233" t="str">
            <v>DKI Jakarta</v>
          </cell>
          <cell r="J233" t="str">
            <v>DKI Jakarta</v>
          </cell>
          <cell r="K233">
            <v>1</v>
          </cell>
          <cell r="L233" t="str">
            <v>2 Mei 2019</v>
          </cell>
          <cell r="M233" t="str">
            <v>2 Mei 2019</v>
          </cell>
          <cell r="N233">
            <v>524114</v>
          </cell>
          <cell r="O233" t="str">
            <v>Belanja Perjalanan Dinas Paket Meeting Dalam Kota</v>
          </cell>
          <cell r="P233" t="str">
            <v>751/L3/TU/KA.11.00/2019</v>
          </cell>
          <cell r="Q233" t="str">
            <v>2 Mei 2019</v>
          </cell>
          <cell r="R233" t="str">
            <v>ya</v>
          </cell>
          <cell r="S233">
            <v>150000</v>
          </cell>
          <cell r="T233">
            <v>3138400</v>
          </cell>
          <cell r="V233">
            <v>0</v>
          </cell>
          <cell r="W233">
            <v>0</v>
          </cell>
          <cell r="X233">
            <v>0</v>
          </cell>
          <cell r="Z233">
            <v>0</v>
          </cell>
          <cell r="AB233">
            <v>0</v>
          </cell>
          <cell r="AD233">
            <v>0</v>
          </cell>
          <cell r="AE233" t="str">
            <v>ya</v>
          </cell>
          <cell r="AF233">
            <v>210000</v>
          </cell>
          <cell r="AH233" t="str">
            <v xml:space="preserve">Angkutan Umum </v>
          </cell>
          <cell r="AI233" t="str">
            <v>Akademi Pariwisata Pertiwi</v>
          </cell>
        </row>
        <row r="234">
          <cell r="A234">
            <v>233</v>
          </cell>
          <cell r="B234" t="str">
            <v>Ibnu Syarif</v>
          </cell>
          <cell r="C234" t="str">
            <v>196411271987031002</v>
          </cell>
          <cell r="D234" t="str">
            <v>Petugas Keamanan pada Sub. Bagian Tata Usaha pada Bagian Umum</v>
          </cell>
          <cell r="E234" t="str">
            <v>II/c</v>
          </cell>
          <cell r="F234" t="str">
            <v>688766328024000</v>
          </cell>
          <cell r="G234" t="str">
            <v>Pengatur</v>
          </cell>
          <cell r="H234" t="str">
            <v>Melakukan Monitoring dan Evaluasi ke Akademi Pariwisata Pertiwi</v>
          </cell>
          <cell r="I234" t="str">
            <v>DKI Jakarta</v>
          </cell>
          <cell r="J234" t="str">
            <v>DKI Jakarta</v>
          </cell>
          <cell r="K234">
            <v>1</v>
          </cell>
          <cell r="L234" t="str">
            <v>2 Mei 2019</v>
          </cell>
          <cell r="M234" t="str">
            <v>2 Mei 2019</v>
          </cell>
          <cell r="N234">
            <v>524114</v>
          </cell>
          <cell r="O234" t="str">
            <v>Belanja Perjalanan Dinas Paket Meeting Dalam Kota</v>
          </cell>
          <cell r="P234" t="str">
            <v>751/L3/TU/KA.11.00/2019</v>
          </cell>
          <cell r="Q234" t="str">
            <v>2 Mei 2019</v>
          </cell>
          <cell r="R234" t="str">
            <v>ya</v>
          </cell>
          <cell r="S234">
            <v>150000</v>
          </cell>
          <cell r="T234">
            <v>3138400</v>
          </cell>
          <cell r="V234">
            <v>0</v>
          </cell>
          <cell r="W234">
            <v>0</v>
          </cell>
          <cell r="X234">
            <v>0</v>
          </cell>
          <cell r="Z234">
            <v>0</v>
          </cell>
          <cell r="AB234">
            <v>0</v>
          </cell>
          <cell r="AD234">
            <v>0</v>
          </cell>
          <cell r="AE234" t="str">
            <v>ya</v>
          </cell>
          <cell r="AF234">
            <v>210000</v>
          </cell>
          <cell r="AH234" t="str">
            <v xml:space="preserve">Angkutan Umum </v>
          </cell>
          <cell r="AI234" t="str">
            <v>Akademi Pariwisata Pertiwi</v>
          </cell>
        </row>
        <row r="235">
          <cell r="A235">
            <v>234</v>
          </cell>
          <cell r="B235" t="str">
            <v>Sugiarto</v>
          </cell>
          <cell r="C235" t="str">
            <v>196303021985101001</v>
          </cell>
          <cell r="D235" t="str">
            <v>Pengelola Informasi Kerjasama pada Seksi Kelembagaan, dan Kerjasama pada Bidang Kelembagaan, dan Sistem Informasi</v>
          </cell>
          <cell r="E235" t="str">
            <v>III/b</v>
          </cell>
          <cell r="F235" t="str">
            <v>688766377024000</v>
          </cell>
          <cell r="G235" t="str">
            <v>Penata Muda Tk. I</v>
          </cell>
          <cell r="H235" t="str">
            <v>Melakukan Monitoring dan Evaluasi ke Akademi Keperawatan RSPAD Gatot Subroto</v>
          </cell>
          <cell r="I235" t="str">
            <v>DKI Jakarta</v>
          </cell>
          <cell r="J235" t="str">
            <v>DKI Jakarta</v>
          </cell>
          <cell r="K235">
            <v>1</v>
          </cell>
          <cell r="L235" t="str">
            <v>2 Mei 2019</v>
          </cell>
          <cell r="M235" t="str">
            <v>2 Mei 2019</v>
          </cell>
          <cell r="N235">
            <v>524114</v>
          </cell>
          <cell r="O235" t="str">
            <v>Belanja Perjalanan Dinas Paket Meeting Dalam Kota</v>
          </cell>
          <cell r="P235" t="str">
            <v>751/L3/TU/KA.11.00/2019</v>
          </cell>
          <cell r="Q235" t="str">
            <v>2 Mei 2019</v>
          </cell>
          <cell r="R235" t="str">
            <v>ya</v>
          </cell>
          <cell r="S235">
            <v>150000</v>
          </cell>
          <cell r="T235">
            <v>3138400</v>
          </cell>
          <cell r="U235" t="str">
            <v>ya</v>
          </cell>
          <cell r="V235">
            <v>0</v>
          </cell>
          <cell r="W235">
            <v>0</v>
          </cell>
          <cell r="X235">
            <v>0</v>
          </cell>
          <cell r="Z235">
            <v>0</v>
          </cell>
          <cell r="AB235">
            <v>0</v>
          </cell>
          <cell r="AD235">
            <v>0</v>
          </cell>
          <cell r="AE235" t="str">
            <v>ya</v>
          </cell>
          <cell r="AF235">
            <v>210000</v>
          </cell>
          <cell r="AH235" t="str">
            <v xml:space="preserve">Angkutan Umum </v>
          </cell>
          <cell r="AI235" t="str">
            <v>Akademi Keperawatan RSPAD Gatot Subroto</v>
          </cell>
        </row>
        <row r="236">
          <cell r="A236">
            <v>235</v>
          </cell>
          <cell r="B236" t="str">
            <v>Yeni Handayani</v>
          </cell>
          <cell r="C236" t="str">
            <v>198404022015042002</v>
          </cell>
          <cell r="D236" t="str">
            <v>Pengelola Pendidikan Dan Tenaga Kependidikan pada Seksi Ketenagaan pada Bidang Akademik, Kemahasiswaan, dan Ketenagaan</v>
          </cell>
          <cell r="E236" t="str">
            <v>II/c</v>
          </cell>
          <cell r="F236" t="str">
            <v>472793371001000</v>
          </cell>
          <cell r="G236" t="str">
            <v>Pengatur</v>
          </cell>
          <cell r="H236" t="str">
            <v>Melakukan Monitoring dan Evaluasi ke Akademi Keperawatan RSPAD Gatot Subroto</v>
          </cell>
          <cell r="I236" t="str">
            <v>DKI Jakarta</v>
          </cell>
          <cell r="J236" t="str">
            <v>DKI Jakarta</v>
          </cell>
          <cell r="K236">
            <v>1</v>
          </cell>
          <cell r="L236" t="str">
            <v>2 Mei 2019</v>
          </cell>
          <cell r="M236" t="str">
            <v>2 Mei 2019</v>
          </cell>
          <cell r="N236">
            <v>524114</v>
          </cell>
          <cell r="O236" t="str">
            <v>Belanja Perjalanan Dinas Paket Meeting Dalam Kota</v>
          </cell>
          <cell r="P236" t="str">
            <v>751/L3/TU/KA.11.00/2019</v>
          </cell>
          <cell r="Q236" t="str">
            <v>2 Mei 2019</v>
          </cell>
          <cell r="R236" t="str">
            <v>ya</v>
          </cell>
          <cell r="S236">
            <v>150000</v>
          </cell>
          <cell r="T236">
            <v>3138400</v>
          </cell>
          <cell r="U236" t="str">
            <v>ya</v>
          </cell>
          <cell r="V236">
            <v>0</v>
          </cell>
          <cell r="W236">
            <v>0</v>
          </cell>
          <cell r="X236">
            <v>0</v>
          </cell>
          <cell r="Z236">
            <v>0</v>
          </cell>
          <cell r="AB236">
            <v>0</v>
          </cell>
          <cell r="AD236">
            <v>0</v>
          </cell>
          <cell r="AE236" t="str">
            <v>ya</v>
          </cell>
          <cell r="AF236">
            <v>210000</v>
          </cell>
          <cell r="AH236" t="str">
            <v xml:space="preserve">Angkutan Umum </v>
          </cell>
          <cell r="AI236" t="str">
            <v>Akademi Keperawatan RSPAD Gatot Subroto</v>
          </cell>
        </row>
        <row r="237">
          <cell r="A237">
            <v>236</v>
          </cell>
          <cell r="B237" t="str">
            <v>Ahmad Mustaadi</v>
          </cell>
          <cell r="C237" t="str">
            <v>196605181989021002</v>
          </cell>
          <cell r="D237" t="str">
            <v>Bendahara  pada Sub. Bagian Keuangan pada Bagian Umum</v>
          </cell>
          <cell r="E237" t="str">
            <v>III/b</v>
          </cell>
          <cell r="F237" t="str">
            <v>688766625432000</v>
          </cell>
          <cell r="G237" t="str">
            <v>Penata Muda Tk. I</v>
          </cell>
          <cell r="H237" t="str">
            <v>Melakukan Monitoring dan Evaluasi ke Akademi Keperawatan RSPAD Gatot Subroto</v>
          </cell>
          <cell r="I237" t="str">
            <v>DKI Jakarta</v>
          </cell>
          <cell r="J237" t="str">
            <v>DKI Jakarta</v>
          </cell>
          <cell r="K237">
            <v>1</v>
          </cell>
          <cell r="L237" t="str">
            <v>2 Mei 2019</v>
          </cell>
          <cell r="M237" t="str">
            <v>2 Mei 2019</v>
          </cell>
          <cell r="N237">
            <v>524114</v>
          </cell>
          <cell r="O237" t="str">
            <v>Belanja Perjalanan Dinas Paket Meeting Dalam Kota</v>
          </cell>
          <cell r="P237" t="str">
            <v>751/L3/TU/KA.11.00/2019</v>
          </cell>
          <cell r="Q237" t="str">
            <v>2 Mei 2019</v>
          </cell>
          <cell r="R237" t="str">
            <v>ya</v>
          </cell>
          <cell r="S237">
            <v>150000</v>
          </cell>
          <cell r="T237">
            <v>3138400</v>
          </cell>
          <cell r="U237" t="str">
            <v>ya</v>
          </cell>
          <cell r="V237">
            <v>0</v>
          </cell>
          <cell r="W237">
            <v>0</v>
          </cell>
          <cell r="X237">
            <v>0</v>
          </cell>
          <cell r="Z237">
            <v>0</v>
          </cell>
          <cell r="AB237">
            <v>0</v>
          </cell>
          <cell r="AD237">
            <v>0</v>
          </cell>
          <cell r="AE237" t="str">
            <v>ya</v>
          </cell>
          <cell r="AF237">
            <v>210000</v>
          </cell>
          <cell r="AH237" t="str">
            <v xml:space="preserve">Angkutan Umum </v>
          </cell>
          <cell r="AI237" t="str">
            <v>Akademi Keperawatan RSPAD Gatot Subroto</v>
          </cell>
        </row>
        <row r="238">
          <cell r="A238">
            <v>237</v>
          </cell>
          <cell r="B238" t="str">
            <v>Endang Sutisna</v>
          </cell>
          <cell r="C238" t="str">
            <v>197406292005011001</v>
          </cell>
          <cell r="D238" t="str">
            <v>Pengadministrasi Kepegawaian pada Sub. Bagian Kepegawaian pada Bagian Umum</v>
          </cell>
          <cell r="E238" t="str">
            <v>II/d</v>
          </cell>
          <cell r="F238" t="str">
            <v>688754233412000</v>
          </cell>
          <cell r="G238" t="str">
            <v>Pengatur Tk. I</v>
          </cell>
          <cell r="H238" t="str">
            <v>Melakukan Monitoring dan Evaluasi ke Akademi Keperawatan RSPAD Gatot Subroto</v>
          </cell>
          <cell r="I238" t="str">
            <v>DKI Jakarta</v>
          </cell>
          <cell r="J238" t="str">
            <v>DKI Jakarta</v>
          </cell>
          <cell r="K238">
            <v>1</v>
          </cell>
          <cell r="L238" t="str">
            <v>2 Mei 2019</v>
          </cell>
          <cell r="M238" t="str">
            <v>2 Mei 2019</v>
          </cell>
          <cell r="N238">
            <v>524114</v>
          </cell>
          <cell r="O238" t="str">
            <v>Belanja Perjalanan Dinas Paket Meeting Dalam Kota</v>
          </cell>
          <cell r="P238" t="str">
            <v>751/L3/TU/KA.11.00/2019</v>
          </cell>
          <cell r="Q238" t="str">
            <v>2 Mei 2019</v>
          </cell>
          <cell r="R238" t="str">
            <v>ya</v>
          </cell>
          <cell r="S238">
            <v>150000</v>
          </cell>
          <cell r="T238">
            <v>3138400</v>
          </cell>
          <cell r="U238" t="str">
            <v>ya</v>
          </cell>
          <cell r="V238">
            <v>0</v>
          </cell>
          <cell r="W238">
            <v>0</v>
          </cell>
          <cell r="X238">
            <v>0</v>
          </cell>
          <cell r="Z238">
            <v>0</v>
          </cell>
          <cell r="AB238">
            <v>0</v>
          </cell>
          <cell r="AD238">
            <v>0</v>
          </cell>
          <cell r="AE238" t="str">
            <v>ya</v>
          </cell>
          <cell r="AF238">
            <v>210000</v>
          </cell>
          <cell r="AH238" t="str">
            <v xml:space="preserve">Angkutan Umum </v>
          </cell>
          <cell r="AI238" t="str">
            <v>Akademi Keperawatan RSPAD Gatot Subroto</v>
          </cell>
        </row>
        <row r="239">
          <cell r="A239">
            <v>238</v>
          </cell>
          <cell r="B239" t="str">
            <v>Mardhiahturrahmy</v>
          </cell>
          <cell r="C239" t="str">
            <v>196205111986032001</v>
          </cell>
          <cell r="D239" t="str">
            <v>Pengadministrasi Pendidik Dan Tenaga Kependidikan pada Seksi Ketenagaan pada Bidang Akademik, Kemahasiswaan, dan Ketenagaan</v>
          </cell>
          <cell r="E239" t="str">
            <v>III/b</v>
          </cell>
          <cell r="F239" t="str">
            <v>688766369432000</v>
          </cell>
          <cell r="G239" t="str">
            <v>Penata Muda Tk. I</v>
          </cell>
          <cell r="H239" t="str">
            <v>Melakukan Monitoring dan Evaluasi ke Akademi Keperawatan RSPAD Gatot Subroto</v>
          </cell>
          <cell r="I239" t="str">
            <v>DKI Jakarta</v>
          </cell>
          <cell r="J239" t="str">
            <v>DKI Jakarta</v>
          </cell>
          <cell r="K239">
            <v>1</v>
          </cell>
          <cell r="L239" t="str">
            <v>2 Mei 2019</v>
          </cell>
          <cell r="M239" t="str">
            <v>2 Mei 2019</v>
          </cell>
          <cell r="N239">
            <v>524114</v>
          </cell>
          <cell r="O239" t="str">
            <v>Belanja Perjalanan Dinas Paket Meeting Dalam Kota</v>
          </cell>
          <cell r="P239" t="str">
            <v>751/L3/TU/KA.11.00/2019</v>
          </cell>
          <cell r="Q239" t="str">
            <v>2 Mei 2019</v>
          </cell>
          <cell r="R239" t="str">
            <v>ya</v>
          </cell>
          <cell r="S239">
            <v>150000</v>
          </cell>
          <cell r="T239">
            <v>3138400</v>
          </cell>
          <cell r="U239" t="str">
            <v>ya</v>
          </cell>
          <cell r="V239">
            <v>0</v>
          </cell>
          <cell r="W239">
            <v>0</v>
          </cell>
          <cell r="X239">
            <v>0</v>
          </cell>
          <cell r="Z239">
            <v>0</v>
          </cell>
          <cell r="AB239">
            <v>0</v>
          </cell>
          <cell r="AD239">
            <v>0</v>
          </cell>
          <cell r="AE239" t="str">
            <v>ya</v>
          </cell>
          <cell r="AF239">
            <v>210000</v>
          </cell>
          <cell r="AH239" t="str">
            <v xml:space="preserve">Angkutan Umum </v>
          </cell>
          <cell r="AI239" t="str">
            <v>Akademi Keperawatan RSPAD Gatot Subroto</v>
          </cell>
        </row>
        <row r="240">
          <cell r="A240">
            <v>239</v>
          </cell>
          <cell r="B240" t="str">
            <v>Agus Muhammad Ali</v>
          </cell>
          <cell r="C240" t="str">
            <v>197610072008121001</v>
          </cell>
          <cell r="D240" t="str">
            <v xml:space="preserve">Analis Kebijakan Barang Milik Negara pada  Sub. Bagian Tata Usaha pada Bagian Umum                               </v>
          </cell>
          <cell r="E240" t="str">
            <v>III/c</v>
          </cell>
          <cell r="F240" t="str">
            <v>253128854416000</v>
          </cell>
          <cell r="G240" t="str">
            <v>Penata</v>
          </cell>
          <cell r="H240" t="str">
            <v>Melakukan Monitoring dan Evaluasi ke Akademi Teknologi Grafika Indonesia</v>
          </cell>
          <cell r="I240" t="str">
            <v>DKI Jakarta</v>
          </cell>
          <cell r="J240" t="str">
            <v>DKI Jakarta</v>
          </cell>
          <cell r="K240">
            <v>1</v>
          </cell>
          <cell r="L240" t="str">
            <v>8 Mei 2019</v>
          </cell>
          <cell r="M240" t="str">
            <v>8 Mei 2019</v>
          </cell>
          <cell r="N240">
            <v>524114</v>
          </cell>
          <cell r="O240" t="str">
            <v>Belanja Perjalanan Dinas Paket Meeting Dalam Kota</v>
          </cell>
          <cell r="P240" t="str">
            <v>751/L3/TU/KA.11.00/2019</v>
          </cell>
          <cell r="Q240" t="str">
            <v>2 Mei 2019</v>
          </cell>
          <cell r="R240" t="str">
            <v>ya</v>
          </cell>
          <cell r="S240">
            <v>150000</v>
          </cell>
          <cell r="T240">
            <v>3138400</v>
          </cell>
          <cell r="U240" t="str">
            <v>ya</v>
          </cell>
          <cell r="V240">
            <v>0</v>
          </cell>
          <cell r="W240">
            <v>0</v>
          </cell>
          <cell r="X240">
            <v>0</v>
          </cell>
          <cell r="Z240">
            <v>0</v>
          </cell>
          <cell r="AB240">
            <v>0</v>
          </cell>
          <cell r="AD240">
            <v>0</v>
          </cell>
          <cell r="AE240" t="str">
            <v>ya</v>
          </cell>
          <cell r="AF240">
            <v>210000</v>
          </cell>
          <cell r="AH240" t="str">
            <v xml:space="preserve">Angkutan Umum </v>
          </cell>
          <cell r="AI240" t="str">
            <v>Akademi Teknologi Grafika Indonesia</v>
          </cell>
        </row>
        <row r="241">
          <cell r="A241">
            <v>240</v>
          </cell>
          <cell r="B241" t="str">
            <v>Prita Ekasari</v>
          </cell>
          <cell r="C241" t="str">
            <v>198410142009122008</v>
          </cell>
          <cell r="D241" t="str">
            <v>Analis Sistem Informasi pada Seksi Sistem Informasi pada Bidang Kelembagaan, dan Sistem Informasi</v>
          </cell>
          <cell r="E241" t="str">
            <v>III/b</v>
          </cell>
          <cell r="F241" t="str">
            <v>599515301407000</v>
          </cell>
          <cell r="G241" t="str">
            <v>Penata Muda Tk. I</v>
          </cell>
          <cell r="H241" t="str">
            <v>Melakukan Monitoring dan Evaluasi ke Akademi Teknologi Grafika Indonesia</v>
          </cell>
          <cell r="I241" t="str">
            <v>DKI Jakarta</v>
          </cell>
          <cell r="J241" t="str">
            <v>DKI Jakarta</v>
          </cell>
          <cell r="K241">
            <v>1</v>
          </cell>
          <cell r="L241" t="str">
            <v>8 Mei 2019</v>
          </cell>
          <cell r="M241" t="str">
            <v>8 Mei 2019</v>
          </cell>
          <cell r="N241">
            <v>524114</v>
          </cell>
          <cell r="O241" t="str">
            <v>Belanja Perjalanan Dinas Paket Meeting Dalam Kota</v>
          </cell>
          <cell r="P241" t="str">
            <v>751/L3/TU/KA.11.00/2019</v>
          </cell>
          <cell r="Q241" t="str">
            <v>2 Mei 2019</v>
          </cell>
          <cell r="R241" t="str">
            <v>ya</v>
          </cell>
          <cell r="S241">
            <v>150000</v>
          </cell>
          <cell r="T241">
            <v>3138400</v>
          </cell>
          <cell r="U241" t="str">
            <v>ya</v>
          </cell>
          <cell r="V241">
            <v>0</v>
          </cell>
          <cell r="W241">
            <v>0</v>
          </cell>
          <cell r="X241">
            <v>0</v>
          </cell>
          <cell r="Z241">
            <v>0</v>
          </cell>
          <cell r="AB241">
            <v>0</v>
          </cell>
          <cell r="AD241">
            <v>0</v>
          </cell>
          <cell r="AE241" t="str">
            <v>ya</v>
          </cell>
          <cell r="AF241">
            <v>210000</v>
          </cell>
          <cell r="AH241" t="str">
            <v xml:space="preserve">Angkutan Umum </v>
          </cell>
          <cell r="AI241" t="str">
            <v>Akademi Teknologi Grafika Indonesia</v>
          </cell>
        </row>
        <row r="242">
          <cell r="A242">
            <v>241</v>
          </cell>
          <cell r="B242" t="str">
            <v>Mudlikah</v>
          </cell>
          <cell r="C242" t="str">
            <v>196303111987032001</v>
          </cell>
          <cell r="D242" t="str">
            <v xml:space="preserve">Pengadministrasi Persuratan pada Sub. Bagian Tata Usaha pada Bagian Umum        </v>
          </cell>
          <cell r="E242" t="str">
            <v>III/d</v>
          </cell>
          <cell r="F242" t="str">
            <v>688766492017000</v>
          </cell>
          <cell r="G242" t="str">
            <v>Penata Tk. I</v>
          </cell>
          <cell r="H242" t="str">
            <v>Melakukan Monitoring dan Evaluasi ke Akademi Teknologi Grafika Indonesia</v>
          </cell>
          <cell r="I242" t="str">
            <v>DKI Jakarta</v>
          </cell>
          <cell r="J242" t="str">
            <v>DKI Jakarta</v>
          </cell>
          <cell r="K242">
            <v>1</v>
          </cell>
          <cell r="L242" t="str">
            <v>8 Mei 2019</v>
          </cell>
          <cell r="M242" t="str">
            <v>8 Mei 2019</v>
          </cell>
          <cell r="N242">
            <v>524114</v>
          </cell>
          <cell r="O242" t="str">
            <v>Belanja Perjalanan Dinas Paket Meeting Dalam Kota</v>
          </cell>
          <cell r="P242" t="str">
            <v>751/L3/TU/KA.11.00/2019</v>
          </cell>
          <cell r="Q242" t="str">
            <v>2 Mei 2019</v>
          </cell>
          <cell r="R242" t="str">
            <v>ya</v>
          </cell>
          <cell r="S242">
            <v>150000</v>
          </cell>
          <cell r="T242">
            <v>3138400</v>
          </cell>
          <cell r="U242" t="str">
            <v>ya</v>
          </cell>
          <cell r="V242">
            <v>0</v>
          </cell>
          <cell r="W242">
            <v>0</v>
          </cell>
          <cell r="X242">
            <v>0</v>
          </cell>
          <cell r="Z242">
            <v>0</v>
          </cell>
          <cell r="AB242">
            <v>0</v>
          </cell>
          <cell r="AD242">
            <v>0</v>
          </cell>
          <cell r="AE242" t="str">
            <v>ya</v>
          </cell>
          <cell r="AF242">
            <v>210000</v>
          </cell>
          <cell r="AH242" t="str">
            <v xml:space="preserve">Angkutan Umum </v>
          </cell>
          <cell r="AI242" t="str">
            <v>Akademi Teknologi Grafika Indonesia</v>
          </cell>
        </row>
        <row r="243">
          <cell r="A243">
            <v>242</v>
          </cell>
          <cell r="B243" t="str">
            <v>Alfikri Mirza Rosadi</v>
          </cell>
          <cell r="C243" t="str">
            <v>198902202015041001</v>
          </cell>
          <cell r="D243" t="str">
            <v>Pengelola Pendidikan Dan Tenaga Kependidikan pada Seksi Ketenagaan pada Bidang Akademik, Kemahasiswaan, dan Ketenagaan</v>
          </cell>
          <cell r="E243" t="str">
            <v>II/c</v>
          </cell>
          <cell r="F243" t="str">
            <v>664170735204000</v>
          </cell>
          <cell r="G243" t="str">
            <v>Pengatur</v>
          </cell>
          <cell r="H243" t="str">
            <v>Melakukan Monitoring dan Evaluasi ke Akademi Teknologi Grafika Indonesia</v>
          </cell>
          <cell r="I243" t="str">
            <v>DKI Jakarta</v>
          </cell>
          <cell r="J243" t="str">
            <v>DKI Jakarta</v>
          </cell>
          <cell r="K243">
            <v>1</v>
          </cell>
          <cell r="L243" t="str">
            <v>8 Mei 2019</v>
          </cell>
          <cell r="M243" t="str">
            <v>8 Mei 2019</v>
          </cell>
          <cell r="N243">
            <v>524114</v>
          </cell>
          <cell r="O243" t="str">
            <v>Belanja Perjalanan Dinas Paket Meeting Dalam Kota</v>
          </cell>
          <cell r="P243" t="str">
            <v>751/L3/TU/KA.11.00/2019</v>
          </cell>
          <cell r="Q243" t="str">
            <v>2 Mei 2019</v>
          </cell>
          <cell r="R243" t="str">
            <v>ya</v>
          </cell>
          <cell r="S243">
            <v>150000</v>
          </cell>
          <cell r="T243">
            <v>3138400</v>
          </cell>
          <cell r="U243" t="str">
            <v>ya</v>
          </cell>
          <cell r="V243">
            <v>0</v>
          </cell>
          <cell r="W243">
            <v>0</v>
          </cell>
          <cell r="X243">
            <v>0</v>
          </cell>
          <cell r="Z243">
            <v>0</v>
          </cell>
          <cell r="AB243">
            <v>0</v>
          </cell>
          <cell r="AD243">
            <v>0</v>
          </cell>
          <cell r="AE243" t="str">
            <v>ya</v>
          </cell>
          <cell r="AF243">
            <v>210000</v>
          </cell>
          <cell r="AH243" t="str">
            <v xml:space="preserve">Angkutan Umum </v>
          </cell>
          <cell r="AI243" t="str">
            <v>Akademi Teknologi Grafika Indonesia</v>
          </cell>
        </row>
        <row r="244">
          <cell r="A244">
            <v>243</v>
          </cell>
          <cell r="B244" t="str">
            <v>Adhy Purnama</v>
          </cell>
          <cell r="C244" t="str">
            <v>198104182010121002</v>
          </cell>
          <cell r="D244" t="str">
            <v>Pengadministrasi Akademik pada Seksi Akademik, dan Kemahasiswaan pada Bidang Akademik, Kemahasiswaan, dan Ketenagaan</v>
          </cell>
          <cell r="E244" t="str">
            <v>III/b</v>
          </cell>
          <cell r="F244" t="str">
            <v>594386401426000</v>
          </cell>
          <cell r="G244" t="str">
            <v>Penata Muda Tk. I</v>
          </cell>
          <cell r="H244" t="str">
            <v>Melakukan Monitoring dan Evaluasi ke Akademi Teknologi Grafika Indonesia</v>
          </cell>
          <cell r="I244" t="str">
            <v>DKI Jakarta</v>
          </cell>
          <cell r="J244" t="str">
            <v>DKI Jakarta</v>
          </cell>
          <cell r="K244">
            <v>1</v>
          </cell>
          <cell r="L244" t="str">
            <v>8 Mei 2019</v>
          </cell>
          <cell r="M244" t="str">
            <v>8 Mei 2019</v>
          </cell>
          <cell r="N244">
            <v>524114</v>
          </cell>
          <cell r="O244" t="str">
            <v>Belanja Perjalanan Dinas Paket Meeting Dalam Kota</v>
          </cell>
          <cell r="P244" t="str">
            <v>751/L3/TU/KA.11.00/2019</v>
          </cell>
          <cell r="Q244" t="str">
            <v>2 Mei 2019</v>
          </cell>
          <cell r="R244" t="str">
            <v>ya</v>
          </cell>
          <cell r="S244">
            <v>150000</v>
          </cell>
          <cell r="T244">
            <v>3138400</v>
          </cell>
          <cell r="U244" t="str">
            <v>ya</v>
          </cell>
          <cell r="V244">
            <v>0</v>
          </cell>
          <cell r="W244">
            <v>0</v>
          </cell>
          <cell r="X244">
            <v>0</v>
          </cell>
          <cell r="Z244">
            <v>0</v>
          </cell>
          <cell r="AB244">
            <v>0</v>
          </cell>
          <cell r="AD244">
            <v>0</v>
          </cell>
          <cell r="AE244" t="str">
            <v>ya</v>
          </cell>
          <cell r="AF244">
            <v>210000</v>
          </cell>
          <cell r="AH244" t="str">
            <v xml:space="preserve">Angkutan Umum </v>
          </cell>
          <cell r="AI244" t="str">
            <v>Akademi Teknologi Grafika Indonesia</v>
          </cell>
        </row>
        <row r="245">
          <cell r="A245">
            <v>244</v>
          </cell>
          <cell r="B245" t="str">
            <v>M. Samsuri</v>
          </cell>
          <cell r="C245" t="str">
            <v>197901142003121001</v>
          </cell>
          <cell r="D245" t="str">
            <v>Sekretaris Lembaga</v>
          </cell>
          <cell r="E245" t="str">
            <v>IV/a</v>
          </cell>
          <cell r="F245" t="str">
            <v>594227142432000</v>
          </cell>
          <cell r="G245" t="str">
            <v>Pembina</v>
          </cell>
          <cell r="H245" t="str">
            <v>Melakukan Monitoring dan Evaluasi ke Universitas Bina Sarana Informatika</v>
          </cell>
          <cell r="I245" t="str">
            <v>DKI Jakarta</v>
          </cell>
          <cell r="J245" t="str">
            <v>DKI Jakarta</v>
          </cell>
          <cell r="K245">
            <v>1</v>
          </cell>
          <cell r="L245" t="str">
            <v>9 Mei 2019</v>
          </cell>
          <cell r="M245" t="str">
            <v>9 Mei 2019</v>
          </cell>
          <cell r="N245">
            <v>524114</v>
          </cell>
          <cell r="O245" t="str">
            <v>Belanja Perjalanan Dinas Paket Meeting Dalam Kota</v>
          </cell>
          <cell r="P245" t="str">
            <v>751/L3/TU/KA.11.00/2019</v>
          </cell>
          <cell r="Q245" t="str">
            <v>2 Mei 2019</v>
          </cell>
          <cell r="S245">
            <v>0</v>
          </cell>
          <cell r="T245">
            <v>3138400</v>
          </cell>
          <cell r="AE245" t="str">
            <v>ya</v>
          </cell>
          <cell r="AF245">
            <v>210000</v>
          </cell>
          <cell r="AH245" t="str">
            <v xml:space="preserve">Angkutan Umum </v>
          </cell>
          <cell r="AI245" t="str">
            <v>Universitas Bina Sarana Informatika</v>
          </cell>
        </row>
        <row r="246">
          <cell r="A246">
            <v>245</v>
          </cell>
          <cell r="B246" t="str">
            <v>Sri Mastuti</v>
          </cell>
          <cell r="C246" t="str">
            <v>196305161989022001</v>
          </cell>
          <cell r="D246" t="str">
            <v>Kepala Bagian Sumber Daya Perguruan Tinggi</v>
          </cell>
          <cell r="E246" t="str">
            <v>IV/a</v>
          </cell>
          <cell r="F246" t="str">
            <v>688754316072000</v>
          </cell>
          <cell r="G246" t="str">
            <v>Pembina</v>
          </cell>
          <cell r="H246" t="str">
            <v>Melakukan Monitoring dan Evaluasi ke Universitas Bina Sarana Informatika</v>
          </cell>
          <cell r="I246" t="str">
            <v>DKI Jakarta</v>
          </cell>
          <cell r="J246" t="str">
            <v>DKI Jakarta</v>
          </cell>
          <cell r="K246">
            <v>1</v>
          </cell>
          <cell r="L246" t="str">
            <v>9 Mei 2019</v>
          </cell>
          <cell r="M246" t="str">
            <v>9 Mei 2019</v>
          </cell>
          <cell r="N246">
            <v>524114</v>
          </cell>
          <cell r="O246" t="str">
            <v>Belanja Perjalanan Dinas Paket Meeting Dalam Kota</v>
          </cell>
          <cell r="P246" t="str">
            <v>751/L3/TU/KA.11.00/2019</v>
          </cell>
          <cell r="Q246" t="str">
            <v>2 Mei 2019</v>
          </cell>
          <cell r="R246" t="str">
            <v>ya</v>
          </cell>
          <cell r="S246">
            <v>150000</v>
          </cell>
          <cell r="T246">
            <v>3138400</v>
          </cell>
          <cell r="U246" t="str">
            <v>ya</v>
          </cell>
          <cell r="V246">
            <v>0</v>
          </cell>
          <cell r="W246">
            <v>0</v>
          </cell>
          <cell r="X246">
            <v>0</v>
          </cell>
          <cell r="Z246">
            <v>0</v>
          </cell>
          <cell r="AB246">
            <v>0</v>
          </cell>
          <cell r="AD246">
            <v>0</v>
          </cell>
          <cell r="AE246" t="str">
            <v>ya</v>
          </cell>
          <cell r="AF246">
            <v>210000</v>
          </cell>
          <cell r="AH246" t="str">
            <v xml:space="preserve">Angkutan Umum </v>
          </cell>
          <cell r="AI246" t="str">
            <v>Universitas Bina Sarana Informatika</v>
          </cell>
        </row>
        <row r="247">
          <cell r="A247">
            <v>246</v>
          </cell>
          <cell r="B247" t="str">
            <v>Yeni Handayani</v>
          </cell>
          <cell r="C247" t="str">
            <v>198404022015042002</v>
          </cell>
          <cell r="D247" t="str">
            <v>Pengelola Pendidikan Dan Tenaga Kependidikan pada Seksi Ketenagaan pada Bidang Akademik, Kemahasiswaan, dan Ketenagaan</v>
          </cell>
          <cell r="E247" t="str">
            <v>II/c</v>
          </cell>
          <cell r="F247" t="str">
            <v>472793371001000</v>
          </cell>
          <cell r="G247" t="str">
            <v>Pengatur</v>
          </cell>
          <cell r="H247" t="str">
            <v>Melakukan Monitoring dan Evaluasi ke Universitas Bina Sarana Informatika</v>
          </cell>
          <cell r="I247" t="str">
            <v>DKI Jakarta</v>
          </cell>
          <cell r="J247" t="str">
            <v>DKI Jakarta</v>
          </cell>
          <cell r="K247">
            <v>1</v>
          </cell>
          <cell r="L247" t="str">
            <v>9 Mei 2019</v>
          </cell>
          <cell r="M247" t="str">
            <v>9 Mei 2019</v>
          </cell>
          <cell r="N247">
            <v>524114</v>
          </cell>
          <cell r="O247" t="str">
            <v>Belanja Perjalanan Dinas Paket Meeting Dalam Kota</v>
          </cell>
          <cell r="P247" t="str">
            <v>751/L3/TU/KA.11.00/2019</v>
          </cell>
          <cell r="Q247" t="str">
            <v>2 Mei 2019</v>
          </cell>
          <cell r="R247" t="str">
            <v>ya</v>
          </cell>
          <cell r="S247">
            <v>150000</v>
          </cell>
          <cell r="T247">
            <v>3138400</v>
          </cell>
          <cell r="U247" t="str">
            <v>ya</v>
          </cell>
          <cell r="V247">
            <v>0</v>
          </cell>
          <cell r="W247">
            <v>0</v>
          </cell>
          <cell r="X247">
            <v>0</v>
          </cell>
          <cell r="Z247">
            <v>0</v>
          </cell>
          <cell r="AB247">
            <v>0</v>
          </cell>
          <cell r="AD247">
            <v>0</v>
          </cell>
          <cell r="AE247" t="str">
            <v>ya</v>
          </cell>
          <cell r="AF247">
            <v>210000</v>
          </cell>
          <cell r="AH247" t="str">
            <v xml:space="preserve">Angkutan Umum </v>
          </cell>
          <cell r="AI247" t="str">
            <v>Universitas Bina Sarana Informatika</v>
          </cell>
        </row>
        <row r="248">
          <cell r="A248">
            <v>247</v>
          </cell>
          <cell r="B248" t="str">
            <v>Ahmad Mustaadi</v>
          </cell>
          <cell r="C248" t="str">
            <v>196605181989021002</v>
          </cell>
          <cell r="D248" t="str">
            <v>Bendahara  pada Sub. Bagian Keuangan pada Bagian Umum</v>
          </cell>
          <cell r="E248" t="str">
            <v>III/b</v>
          </cell>
          <cell r="F248" t="str">
            <v>688766625432000</v>
          </cell>
          <cell r="G248" t="str">
            <v>Penata Muda Tk. I</v>
          </cell>
          <cell r="H248" t="str">
            <v>Melakukan Monitoring dan Evaluasi ke Universitas Bina Sarana Informatika</v>
          </cell>
          <cell r="I248" t="str">
            <v>DKI Jakarta</v>
          </cell>
          <cell r="J248" t="str">
            <v>DKI Jakarta</v>
          </cell>
          <cell r="K248">
            <v>1</v>
          </cell>
          <cell r="L248" t="str">
            <v>9 Mei 2019</v>
          </cell>
          <cell r="M248" t="str">
            <v>9 Mei 2019</v>
          </cell>
          <cell r="N248">
            <v>524114</v>
          </cell>
          <cell r="O248" t="str">
            <v>Belanja Perjalanan Dinas Paket Meeting Dalam Kota</v>
          </cell>
          <cell r="P248" t="str">
            <v>751/L3/TU/KA.11.00/2019</v>
          </cell>
          <cell r="Q248" t="str">
            <v>2 Mei 2019</v>
          </cell>
          <cell r="R248" t="str">
            <v>ya</v>
          </cell>
          <cell r="S248">
            <v>150000</v>
          </cell>
          <cell r="T248">
            <v>3138400</v>
          </cell>
          <cell r="U248" t="str">
            <v>ya</v>
          </cell>
          <cell r="V248">
            <v>0</v>
          </cell>
          <cell r="W248">
            <v>0</v>
          </cell>
          <cell r="X248">
            <v>0</v>
          </cell>
          <cell r="Z248">
            <v>0</v>
          </cell>
          <cell r="AB248">
            <v>0</v>
          </cell>
          <cell r="AD248">
            <v>0</v>
          </cell>
          <cell r="AE248" t="str">
            <v>ya</v>
          </cell>
          <cell r="AF248">
            <v>210000</v>
          </cell>
          <cell r="AH248" t="str">
            <v xml:space="preserve">Angkutan Umum </v>
          </cell>
          <cell r="AI248" t="str">
            <v>Universitas Bina Sarana Informatika</v>
          </cell>
        </row>
        <row r="249">
          <cell r="A249">
            <v>248</v>
          </cell>
          <cell r="B249" t="str">
            <v>Endang Sutisna</v>
          </cell>
          <cell r="C249" t="str">
            <v>197406292005011001</v>
          </cell>
          <cell r="D249" t="str">
            <v>Pengadministrasi Kepegawaian pada Sub. Bagian Kepegawaian pada Bagian Umum</v>
          </cell>
          <cell r="E249" t="str">
            <v>II/d</v>
          </cell>
          <cell r="F249" t="str">
            <v>688754233412000</v>
          </cell>
          <cell r="G249" t="str">
            <v>Pengatur Tk. I</v>
          </cell>
          <cell r="H249" t="str">
            <v>Melakukan Monitoring dan Evaluasi ke Universitas Bina Sarana Informatika</v>
          </cell>
          <cell r="I249" t="str">
            <v>DKI Jakarta</v>
          </cell>
          <cell r="J249" t="str">
            <v>DKI Jakarta</v>
          </cell>
          <cell r="K249">
            <v>1</v>
          </cell>
          <cell r="L249" t="str">
            <v>9 Mei 2019</v>
          </cell>
          <cell r="M249" t="str">
            <v>9 Mei 2019</v>
          </cell>
          <cell r="N249">
            <v>524114</v>
          </cell>
          <cell r="O249" t="str">
            <v>Belanja Perjalanan Dinas Paket Meeting Dalam Kota</v>
          </cell>
          <cell r="P249" t="str">
            <v>751/L3/TU/KA.11.00/2019</v>
          </cell>
          <cell r="Q249" t="str">
            <v>2 Mei 2019</v>
          </cell>
          <cell r="R249" t="str">
            <v>ya</v>
          </cell>
          <cell r="S249">
            <v>150000</v>
          </cell>
          <cell r="T249">
            <v>3138400</v>
          </cell>
          <cell r="U249" t="str">
            <v>ya</v>
          </cell>
          <cell r="V249">
            <v>0</v>
          </cell>
          <cell r="W249">
            <v>0</v>
          </cell>
          <cell r="X249">
            <v>0</v>
          </cell>
          <cell r="Z249">
            <v>0</v>
          </cell>
          <cell r="AB249">
            <v>0</v>
          </cell>
          <cell r="AD249">
            <v>0</v>
          </cell>
          <cell r="AE249" t="str">
            <v>ya</v>
          </cell>
          <cell r="AF249">
            <v>210000</v>
          </cell>
          <cell r="AH249" t="str">
            <v xml:space="preserve">Angkutan Umum </v>
          </cell>
          <cell r="AI249" t="str">
            <v>Universitas Bina Sarana Informatika</v>
          </cell>
        </row>
        <row r="250">
          <cell r="A250">
            <v>249</v>
          </cell>
          <cell r="B250" t="str">
            <v>Hidayat</v>
          </cell>
          <cell r="C250" t="str">
            <v>198608012015041003</v>
          </cell>
          <cell r="D250" t="str">
            <v>Analis Kelembagaan pada Seksi Kelembagaan, dan Kerjasama pada Bidang Kelembagaan, dan Sistem Informasi</v>
          </cell>
          <cell r="E250" t="str">
            <v>III/a</v>
          </cell>
          <cell r="F250" t="str">
            <v>678348889009000</v>
          </cell>
          <cell r="G250" t="str">
            <v>Penata Muda</v>
          </cell>
          <cell r="H250" t="str">
            <v>Melakukan Monitoring dan Evaluasi ke Universitas Bina Sarana Informatika</v>
          </cell>
          <cell r="I250" t="str">
            <v>DKI Jakarta</v>
          </cell>
          <cell r="J250" t="str">
            <v>DKI Jakarta</v>
          </cell>
          <cell r="K250">
            <v>1</v>
          </cell>
          <cell r="L250" t="str">
            <v>9 Mei 2019</v>
          </cell>
          <cell r="M250" t="str">
            <v>9 Mei 2019</v>
          </cell>
          <cell r="N250">
            <v>524114</v>
          </cell>
          <cell r="O250" t="str">
            <v>Belanja Perjalanan Dinas Paket Meeting Dalam Kota</v>
          </cell>
          <cell r="P250" t="str">
            <v>751/L3/TU/KA.11.00/2019</v>
          </cell>
          <cell r="Q250" t="str">
            <v>2 Mei 2019</v>
          </cell>
          <cell r="R250" t="str">
            <v>ya</v>
          </cell>
          <cell r="S250">
            <v>150000</v>
          </cell>
          <cell r="T250">
            <v>3138400</v>
          </cell>
          <cell r="U250" t="str">
            <v>ya</v>
          </cell>
          <cell r="V250">
            <v>0</v>
          </cell>
          <cell r="W250">
            <v>0</v>
          </cell>
          <cell r="X250">
            <v>0</v>
          </cell>
          <cell r="Z250">
            <v>0</v>
          </cell>
          <cell r="AB250">
            <v>0</v>
          </cell>
          <cell r="AD250">
            <v>0</v>
          </cell>
          <cell r="AE250" t="str">
            <v>ya</v>
          </cell>
          <cell r="AF250">
            <v>210000</v>
          </cell>
          <cell r="AH250" t="str">
            <v xml:space="preserve">Angkutan Umum </v>
          </cell>
          <cell r="AI250" t="str">
            <v>Universitas Bina Sarana Informatika</v>
          </cell>
        </row>
        <row r="251">
          <cell r="A251">
            <v>250</v>
          </cell>
          <cell r="B251" t="str">
            <v>Sugiarto</v>
          </cell>
          <cell r="C251" t="str">
            <v>196303021985101001</v>
          </cell>
          <cell r="D251" t="str">
            <v>Pengelola Informasi Kerjasama pada Seksi Kelembagaan, dan Kerjasama pada Bidang Kelembagaan, dan Sistem Informasi</v>
          </cell>
          <cell r="E251" t="str">
            <v>III/b</v>
          </cell>
          <cell r="F251" t="str">
            <v>688766377024000</v>
          </cell>
          <cell r="G251" t="str">
            <v>Penata Muda Tk. I</v>
          </cell>
          <cell r="H251" t="str">
            <v>Melakukan Monitoring dan Evaluasi ke Sekolah Tinggi Ilmu Komunikasi Profesi Indonesia</v>
          </cell>
          <cell r="I251" t="str">
            <v>DKI Jakarta</v>
          </cell>
          <cell r="J251" t="str">
            <v>DKI Jakarta</v>
          </cell>
          <cell r="K251">
            <v>1</v>
          </cell>
          <cell r="L251" t="str">
            <v>13 Mei 2019</v>
          </cell>
          <cell r="M251" t="str">
            <v>13 Mei 2019</v>
          </cell>
          <cell r="N251">
            <v>524114</v>
          </cell>
          <cell r="O251" t="str">
            <v>Belanja Perjalanan Dinas Paket Meeting Dalam Kota</v>
          </cell>
          <cell r="P251" t="str">
            <v>751/L3/TU/KA.11.00/2019</v>
          </cell>
          <cell r="Q251" t="str">
            <v>2 Mei 2019</v>
          </cell>
          <cell r="R251" t="str">
            <v>ya</v>
          </cell>
          <cell r="S251">
            <v>150000</v>
          </cell>
          <cell r="T251">
            <v>3138400</v>
          </cell>
          <cell r="U251" t="str">
            <v>ya</v>
          </cell>
          <cell r="V251">
            <v>0</v>
          </cell>
          <cell r="W251">
            <v>0</v>
          </cell>
          <cell r="X251">
            <v>0</v>
          </cell>
          <cell r="Z251">
            <v>0</v>
          </cell>
          <cell r="AB251">
            <v>0</v>
          </cell>
          <cell r="AD251">
            <v>0</v>
          </cell>
          <cell r="AE251" t="str">
            <v>ya</v>
          </cell>
          <cell r="AF251">
            <v>210000</v>
          </cell>
          <cell r="AH251" t="str">
            <v xml:space="preserve">Angkutan Umum </v>
          </cell>
          <cell r="AI251" t="str">
            <v>Sekolah Tinggi Ilmu Komunikasi Profesi Indonesia</v>
          </cell>
        </row>
        <row r="252">
          <cell r="A252">
            <v>251</v>
          </cell>
          <cell r="B252" t="str">
            <v>Prita Ekasari</v>
          </cell>
          <cell r="C252" t="str">
            <v>198410142009122008</v>
          </cell>
          <cell r="D252" t="str">
            <v>Analis Sistem Informasi pada Seksi Sistem Informasi pada Bidang Kelembagaan, dan Sistem Informasi</v>
          </cell>
          <cell r="E252" t="str">
            <v>III/b</v>
          </cell>
          <cell r="F252" t="str">
            <v>599515301407000</v>
          </cell>
          <cell r="G252" t="str">
            <v>Penata Muda Tk. I</v>
          </cell>
          <cell r="H252" t="str">
            <v>Melakukan Monitoring dan Evaluasi ke Sekolah Tinggi Ilmu Komunikasi Profesi Indonesia</v>
          </cell>
          <cell r="I252" t="str">
            <v>DKI Jakarta</v>
          </cell>
          <cell r="J252" t="str">
            <v>DKI Jakarta</v>
          </cell>
          <cell r="K252">
            <v>1</v>
          </cell>
          <cell r="L252" t="str">
            <v>13 Mei 2019</v>
          </cell>
          <cell r="M252" t="str">
            <v>13 Mei 2019</v>
          </cell>
          <cell r="N252">
            <v>524114</v>
          </cell>
          <cell r="O252" t="str">
            <v>Belanja Perjalanan Dinas Paket Meeting Dalam Kota</v>
          </cell>
          <cell r="P252" t="str">
            <v>751/L3/TU/KA.11.00/2019</v>
          </cell>
          <cell r="Q252" t="str">
            <v>2 Mei 2019</v>
          </cell>
          <cell r="R252" t="str">
            <v>ya</v>
          </cell>
          <cell r="S252">
            <v>150000</v>
          </cell>
          <cell r="T252">
            <v>3138400</v>
          </cell>
          <cell r="U252" t="str">
            <v>ya</v>
          </cell>
          <cell r="V252">
            <v>0</v>
          </cell>
          <cell r="W252">
            <v>0</v>
          </cell>
          <cell r="X252">
            <v>0</v>
          </cell>
          <cell r="Z252">
            <v>0</v>
          </cell>
          <cell r="AB252">
            <v>0</v>
          </cell>
          <cell r="AD252">
            <v>0</v>
          </cell>
          <cell r="AE252" t="str">
            <v>ya</v>
          </cell>
          <cell r="AF252">
            <v>210000</v>
          </cell>
          <cell r="AH252" t="str">
            <v xml:space="preserve">Angkutan Umum </v>
          </cell>
          <cell r="AI252" t="str">
            <v>Sekolah Tinggi Ilmu Komunikasi Profesi Indonesia</v>
          </cell>
        </row>
        <row r="253">
          <cell r="A253">
            <v>252</v>
          </cell>
          <cell r="B253" t="str">
            <v>Mudlikah</v>
          </cell>
          <cell r="C253" t="str">
            <v>196303111987032001</v>
          </cell>
          <cell r="D253" t="str">
            <v xml:space="preserve">Pengadministrasi Persuratan pada Sub. Bagian Tata Usaha pada Bagian Umum        </v>
          </cell>
          <cell r="E253" t="str">
            <v>III/d</v>
          </cell>
          <cell r="F253" t="str">
            <v>688766492017000</v>
          </cell>
          <cell r="G253" t="str">
            <v>Penata Tk. I</v>
          </cell>
          <cell r="H253" t="str">
            <v>Melakukan Monitoring dan Evaluasi ke Sekolah Tinggi Ilmu Komunikasi Profesi Indonesia</v>
          </cell>
          <cell r="I253" t="str">
            <v>DKI Jakarta</v>
          </cell>
          <cell r="J253" t="str">
            <v>DKI Jakarta</v>
          </cell>
          <cell r="K253">
            <v>1</v>
          </cell>
          <cell r="L253" t="str">
            <v>13 Mei 2019</v>
          </cell>
          <cell r="M253" t="str">
            <v>13 Mei 2019</v>
          </cell>
          <cell r="N253">
            <v>524114</v>
          </cell>
          <cell r="O253" t="str">
            <v>Belanja Perjalanan Dinas Paket Meeting Dalam Kota</v>
          </cell>
          <cell r="P253" t="str">
            <v>751/L3/TU/KA.11.00/2019</v>
          </cell>
          <cell r="Q253" t="str">
            <v>2 Mei 2019</v>
          </cell>
          <cell r="R253" t="str">
            <v>ya</v>
          </cell>
          <cell r="S253">
            <v>150000</v>
          </cell>
          <cell r="T253">
            <v>3138400</v>
          </cell>
          <cell r="U253" t="str">
            <v>ya</v>
          </cell>
          <cell r="V253">
            <v>0</v>
          </cell>
          <cell r="W253">
            <v>0</v>
          </cell>
          <cell r="X253">
            <v>0</v>
          </cell>
          <cell r="Z253">
            <v>0</v>
          </cell>
          <cell r="AB253">
            <v>0</v>
          </cell>
          <cell r="AD253">
            <v>0</v>
          </cell>
          <cell r="AE253" t="str">
            <v>ya</v>
          </cell>
          <cell r="AF253">
            <v>210000</v>
          </cell>
          <cell r="AH253" t="str">
            <v xml:space="preserve">Angkutan Umum </v>
          </cell>
          <cell r="AI253" t="str">
            <v>Sekolah Tinggi Ilmu Komunikasi Profesi Indonesia</v>
          </cell>
        </row>
        <row r="254">
          <cell r="A254">
            <v>253</v>
          </cell>
          <cell r="B254" t="str">
            <v>Putranto</v>
          </cell>
          <cell r="C254" t="str">
            <v>196307051982011001</v>
          </cell>
          <cell r="D254" t="str">
            <v xml:space="preserve">Pengadministrasi Umum pada Sub. Bagian Tata Usaha pada Bagian Umum                               </v>
          </cell>
          <cell r="E254" t="str">
            <v>II/c</v>
          </cell>
          <cell r="F254" t="str">
            <v>250736410412000</v>
          </cell>
          <cell r="G254" t="str">
            <v>Pengatur</v>
          </cell>
          <cell r="H254" t="str">
            <v>Melakukan Monitoring dan Evaluasi ke Sekolah Tinggi Ilmu Komunikasi Profesi Indonesia</v>
          </cell>
          <cell r="I254" t="str">
            <v>DKI Jakarta</v>
          </cell>
          <cell r="J254" t="str">
            <v>DKI Jakarta</v>
          </cell>
          <cell r="K254">
            <v>1</v>
          </cell>
          <cell r="L254" t="str">
            <v>13 Mei 2019</v>
          </cell>
          <cell r="M254" t="str">
            <v>13 Mei 2019</v>
          </cell>
          <cell r="N254">
            <v>524114</v>
          </cell>
          <cell r="O254" t="str">
            <v>Belanja Perjalanan Dinas Paket Meeting Dalam Kota</v>
          </cell>
          <cell r="P254" t="str">
            <v>751/L3/TU/KA.11.00/2019</v>
          </cell>
          <cell r="Q254" t="str">
            <v>2 Mei 2019</v>
          </cell>
          <cell r="R254" t="str">
            <v>ya</v>
          </cell>
          <cell r="S254">
            <v>150000</v>
          </cell>
          <cell r="T254">
            <v>3138400</v>
          </cell>
          <cell r="U254" t="str">
            <v>ya</v>
          </cell>
          <cell r="V254">
            <v>0</v>
          </cell>
          <cell r="W254">
            <v>0</v>
          </cell>
          <cell r="X254">
            <v>0</v>
          </cell>
          <cell r="Z254">
            <v>0</v>
          </cell>
          <cell r="AB254">
            <v>0</v>
          </cell>
          <cell r="AD254">
            <v>0</v>
          </cell>
          <cell r="AE254" t="str">
            <v>ya</v>
          </cell>
          <cell r="AF254">
            <v>210000</v>
          </cell>
          <cell r="AH254" t="str">
            <v xml:space="preserve">Angkutan Umum </v>
          </cell>
          <cell r="AI254" t="str">
            <v>Sekolah Tinggi Ilmu Komunikasi Profesi Indonesia</v>
          </cell>
        </row>
        <row r="255">
          <cell r="A255">
            <v>254</v>
          </cell>
          <cell r="B255" t="str">
            <v>Sunarti</v>
          </cell>
          <cell r="C255" t="str">
            <v>196312021983032001</v>
          </cell>
          <cell r="D255" t="str">
            <v>Pengelola Kepegawaian pada Sub. Bagian Kepegawaian pada Bagian Umum</v>
          </cell>
          <cell r="E255" t="str">
            <v>III/d</v>
          </cell>
          <cell r="F255" t="str">
            <v>688766468017000</v>
          </cell>
          <cell r="G255" t="str">
            <v>Penata Tk. I</v>
          </cell>
          <cell r="H255" t="str">
            <v>Melakukan Monitoring dan Evaluasi ke Sekolah Tinggi Ilmu Komunikasi Profesi Indonesia</v>
          </cell>
          <cell r="I255" t="str">
            <v>DKI Jakarta</v>
          </cell>
          <cell r="J255" t="str">
            <v>DKI Jakarta</v>
          </cell>
          <cell r="K255">
            <v>1</v>
          </cell>
          <cell r="L255" t="str">
            <v>13 Mei 2019</v>
          </cell>
          <cell r="M255" t="str">
            <v>13 Mei 2019</v>
          </cell>
          <cell r="N255">
            <v>524114</v>
          </cell>
          <cell r="O255" t="str">
            <v>Belanja Perjalanan Dinas Paket Meeting Dalam Kota</v>
          </cell>
          <cell r="P255" t="str">
            <v>751/L3/TU/KA.11.00/2019</v>
          </cell>
          <cell r="Q255" t="str">
            <v>2 Mei 2019</v>
          </cell>
          <cell r="R255" t="str">
            <v>ya</v>
          </cell>
          <cell r="S255">
            <v>150000</v>
          </cell>
          <cell r="T255">
            <v>3138400</v>
          </cell>
          <cell r="U255" t="str">
            <v>ya</v>
          </cell>
          <cell r="V255">
            <v>0</v>
          </cell>
          <cell r="W255">
            <v>0</v>
          </cell>
          <cell r="X255">
            <v>0</v>
          </cell>
          <cell r="Z255">
            <v>0</v>
          </cell>
          <cell r="AB255">
            <v>0</v>
          </cell>
          <cell r="AD255">
            <v>0</v>
          </cell>
          <cell r="AE255" t="str">
            <v>ya</v>
          </cell>
          <cell r="AF255">
            <v>210000</v>
          </cell>
          <cell r="AH255" t="str">
            <v xml:space="preserve">Angkutan Umum </v>
          </cell>
          <cell r="AI255" t="str">
            <v>Sekolah Tinggi Ilmu Komunikasi Profesi Indonesia</v>
          </cell>
        </row>
        <row r="256">
          <cell r="A256">
            <v>255</v>
          </cell>
          <cell r="B256" t="str">
            <v>Taufiq Alamsyah</v>
          </cell>
          <cell r="C256" t="str">
            <v>196507121988101001</v>
          </cell>
          <cell r="D256" t="str">
            <v>Analis Pelaksanaan Akademik Dan Kemahasiswaan pada Seksi Akademik, dan Kemahasiswaan pada Bidang Akademik, Kemahasiswaan, dan Ketenagaan</v>
          </cell>
          <cell r="E256" t="str">
            <v>III/d</v>
          </cell>
          <cell r="F256" t="str">
            <v>688766278403000</v>
          </cell>
          <cell r="G256" t="str">
            <v>Penata Tk. I</v>
          </cell>
          <cell r="H256" t="str">
            <v>Melakukan Monitoring dan Evaluasi ke Akademi Pariwisata Nusantara Jaya</v>
          </cell>
          <cell r="I256" t="str">
            <v>Depok Kota, Jawa Barat</v>
          </cell>
          <cell r="J256" t="str">
            <v>Depok Kota, Jawa Barat</v>
          </cell>
          <cell r="K256">
            <v>1</v>
          </cell>
          <cell r="L256" t="str">
            <v>15 Mei 2019</v>
          </cell>
          <cell r="M256" t="str">
            <v>15 Mei 2019</v>
          </cell>
          <cell r="N256">
            <v>524114</v>
          </cell>
          <cell r="O256" t="str">
            <v>Belanja Perjalanan Dinas Paket Meeting Dalam Kota</v>
          </cell>
          <cell r="P256" t="str">
            <v>751/L3/TU/KA.11.00/2019</v>
          </cell>
          <cell r="Q256" t="str">
            <v>2 Mei 2019</v>
          </cell>
          <cell r="R256" t="str">
            <v>ya</v>
          </cell>
          <cell r="S256">
            <v>568000</v>
          </cell>
          <cell r="T256">
            <v>3138400</v>
          </cell>
          <cell r="U256" t="str">
            <v>ya</v>
          </cell>
          <cell r="V256">
            <v>0</v>
          </cell>
          <cell r="W256">
            <v>0</v>
          </cell>
          <cell r="X256">
            <v>0</v>
          </cell>
          <cell r="Z256">
            <v>0</v>
          </cell>
          <cell r="AB256">
            <v>0</v>
          </cell>
          <cell r="AD256">
            <v>0</v>
          </cell>
          <cell r="AE256" t="str">
            <v>ya</v>
          </cell>
          <cell r="AF256">
            <v>430000</v>
          </cell>
          <cell r="AH256" t="str">
            <v xml:space="preserve">Angkutan Umum </v>
          </cell>
          <cell r="AI256" t="str">
            <v>Akademi Pariwisata Nusantara Jaya</v>
          </cell>
        </row>
        <row r="257">
          <cell r="A257">
            <v>256</v>
          </cell>
          <cell r="B257" t="str">
            <v>Hidayat</v>
          </cell>
          <cell r="C257" t="str">
            <v>198608012015041003</v>
          </cell>
          <cell r="D257" t="str">
            <v>Analis Kelembagaan pada Seksi Kelembagaan, dan Kerjasama pada Bidang Kelembagaan, dan Sistem Informasi</v>
          </cell>
          <cell r="E257" t="str">
            <v>III/a</v>
          </cell>
          <cell r="F257" t="str">
            <v>678348889009000</v>
          </cell>
          <cell r="G257" t="str">
            <v>Penata Muda</v>
          </cell>
          <cell r="H257" t="str">
            <v>Melakukan Monitoring dan Evaluasi ke Akademi Pariwisata Nusantara Jaya</v>
          </cell>
          <cell r="I257" t="str">
            <v>Depok Kota, Jawa Barat</v>
          </cell>
          <cell r="J257" t="str">
            <v>Depok Kota, Jawa Barat</v>
          </cell>
          <cell r="K257">
            <v>1</v>
          </cell>
          <cell r="L257" t="str">
            <v>15 Mei 2019</v>
          </cell>
          <cell r="M257" t="str">
            <v>15 Mei 2019</v>
          </cell>
          <cell r="N257">
            <v>524114</v>
          </cell>
          <cell r="O257" t="str">
            <v>Belanja Perjalanan Dinas Paket Meeting Dalam Kota</v>
          </cell>
          <cell r="P257" t="str">
            <v>751/L3/TU/KA.11.00/2019</v>
          </cell>
          <cell r="Q257" t="str">
            <v>2 Mei 2019</v>
          </cell>
          <cell r="R257" t="str">
            <v>ya</v>
          </cell>
          <cell r="S257">
            <v>568000</v>
          </cell>
          <cell r="T257">
            <v>3138400</v>
          </cell>
          <cell r="U257" t="str">
            <v>ya</v>
          </cell>
          <cell r="V257">
            <v>0</v>
          </cell>
          <cell r="W257">
            <v>0</v>
          </cell>
          <cell r="X257">
            <v>0</v>
          </cell>
          <cell r="Z257">
            <v>0</v>
          </cell>
          <cell r="AB257">
            <v>0</v>
          </cell>
          <cell r="AD257">
            <v>0</v>
          </cell>
          <cell r="AE257" t="str">
            <v>ya</v>
          </cell>
          <cell r="AF257">
            <v>430000</v>
          </cell>
          <cell r="AH257" t="str">
            <v xml:space="preserve">Angkutan Umum </v>
          </cell>
          <cell r="AI257" t="str">
            <v>Akademi Pariwisata Nusantara Jaya</v>
          </cell>
        </row>
        <row r="258">
          <cell r="A258">
            <v>257</v>
          </cell>
          <cell r="B258" t="str">
            <v>Sunarti</v>
          </cell>
          <cell r="C258" t="str">
            <v>196312021983032001</v>
          </cell>
          <cell r="D258" t="str">
            <v>Pengelola Kepegawaian pada Sub. Bagian Kepegawaian pada Bagian Umum</v>
          </cell>
          <cell r="E258" t="str">
            <v>III/d</v>
          </cell>
          <cell r="F258" t="str">
            <v>688766468017000</v>
          </cell>
          <cell r="G258" t="str">
            <v>Penata Tk. I</v>
          </cell>
          <cell r="H258" t="str">
            <v>Melakukan Monitoring dan Evaluasi ke Akademi Pariwisata Nusantara Jaya</v>
          </cell>
          <cell r="I258" t="str">
            <v>Depok Kota, Jawa Barat</v>
          </cell>
          <cell r="J258" t="str">
            <v>Depok Kota, Jawa Barat</v>
          </cell>
          <cell r="K258">
            <v>1</v>
          </cell>
          <cell r="L258" t="str">
            <v>15 Mei 2019</v>
          </cell>
          <cell r="M258" t="str">
            <v>15 Mei 2019</v>
          </cell>
          <cell r="N258">
            <v>524114</v>
          </cell>
          <cell r="O258" t="str">
            <v>Belanja Perjalanan Dinas Paket Meeting Dalam Kota</v>
          </cell>
          <cell r="P258" t="str">
            <v>751/L3/TU/KA.11.00/2019</v>
          </cell>
          <cell r="Q258" t="str">
            <v>2 Mei 2019</v>
          </cell>
          <cell r="R258" t="str">
            <v>ya</v>
          </cell>
          <cell r="S258">
            <v>568000</v>
          </cell>
          <cell r="T258">
            <v>3138400</v>
          </cell>
          <cell r="U258" t="str">
            <v>ya</v>
          </cell>
          <cell r="V258">
            <v>0</v>
          </cell>
          <cell r="W258">
            <v>0</v>
          </cell>
          <cell r="X258">
            <v>0</v>
          </cell>
          <cell r="Z258">
            <v>0</v>
          </cell>
          <cell r="AB258">
            <v>0</v>
          </cell>
          <cell r="AD258">
            <v>0</v>
          </cell>
          <cell r="AE258" t="str">
            <v>ya</v>
          </cell>
          <cell r="AF258">
            <v>430000</v>
          </cell>
          <cell r="AH258" t="str">
            <v xml:space="preserve">Angkutan Umum </v>
          </cell>
          <cell r="AI258" t="str">
            <v>Akademi Pariwisata Nusantara Jaya</v>
          </cell>
        </row>
        <row r="259">
          <cell r="A259">
            <v>258</v>
          </cell>
          <cell r="B259" t="str">
            <v>Triena Singatwati</v>
          </cell>
          <cell r="C259" t="str">
            <v>196305051985032003</v>
          </cell>
          <cell r="D259" t="str">
            <v>Pengadministrasi Kepegawaian pada Sub. Bagian Kepegawaian pada Bagian Umum</v>
          </cell>
          <cell r="E259" t="str">
            <v>III/d</v>
          </cell>
          <cell r="F259" t="str">
            <v>688766575403000</v>
          </cell>
          <cell r="G259" t="str">
            <v>Penata Tk. I</v>
          </cell>
          <cell r="H259" t="str">
            <v>Melakukan Monitoring dan Evaluasi ke Akademi Pariwisata Nusantara Jaya</v>
          </cell>
          <cell r="I259" t="str">
            <v>Depok Kota, Jawa Barat</v>
          </cell>
          <cell r="J259" t="str">
            <v>Depok Kota, Jawa Barat</v>
          </cell>
          <cell r="K259">
            <v>1</v>
          </cell>
          <cell r="L259" t="str">
            <v>15 Mei 2019</v>
          </cell>
          <cell r="M259" t="str">
            <v>15 Mei 2019</v>
          </cell>
          <cell r="N259">
            <v>524114</v>
          </cell>
          <cell r="O259" t="str">
            <v>Belanja Perjalanan Dinas Paket Meeting Dalam Kota</v>
          </cell>
          <cell r="P259" t="str">
            <v>751/L3/TU/KA.11.00/2019</v>
          </cell>
          <cell r="Q259" t="str">
            <v>2 Mei 2019</v>
          </cell>
          <cell r="R259" t="str">
            <v>ya</v>
          </cell>
          <cell r="S259">
            <v>568000</v>
          </cell>
          <cell r="T259">
            <v>3138400</v>
          </cell>
          <cell r="U259" t="str">
            <v>ya</v>
          </cell>
          <cell r="V259">
            <v>0</v>
          </cell>
          <cell r="W259">
            <v>0</v>
          </cell>
          <cell r="X259">
            <v>0</v>
          </cell>
          <cell r="Z259">
            <v>0</v>
          </cell>
          <cell r="AB259">
            <v>0</v>
          </cell>
          <cell r="AD259">
            <v>0</v>
          </cell>
          <cell r="AE259" t="str">
            <v>ya</v>
          </cell>
          <cell r="AF259">
            <v>430000</v>
          </cell>
          <cell r="AH259" t="str">
            <v xml:space="preserve">Angkutan Umum </v>
          </cell>
          <cell r="AI259" t="str">
            <v>Akademi Pariwisata Nusantara Jaya</v>
          </cell>
        </row>
        <row r="260">
          <cell r="A260">
            <v>259</v>
          </cell>
          <cell r="B260" t="str">
            <v>Sukiyana</v>
          </cell>
          <cell r="C260" t="str">
            <v>196812081989021001</v>
          </cell>
          <cell r="D260" t="str">
            <v>Petugas Keamanan pada Sub. Bagian Tata Usaha pada Bagian Umum</v>
          </cell>
          <cell r="E260" t="str">
            <v>II/c</v>
          </cell>
          <cell r="F260" t="str">
            <v>688766344005000</v>
          </cell>
          <cell r="G260" t="str">
            <v>Pengatur</v>
          </cell>
          <cell r="H260" t="str">
            <v>Melakukan Monitoring dan Evaluasi ke Akademi Pariwisata Nusantara Jaya</v>
          </cell>
          <cell r="I260" t="str">
            <v>Depok Kota, Jawa Barat</v>
          </cell>
          <cell r="J260" t="str">
            <v>Depok Kota, Jawa Barat</v>
          </cell>
          <cell r="K260">
            <v>1</v>
          </cell>
          <cell r="L260" t="str">
            <v>15 Mei 2019</v>
          </cell>
          <cell r="M260" t="str">
            <v>15 Mei 2019</v>
          </cell>
          <cell r="N260">
            <v>524114</v>
          </cell>
          <cell r="O260" t="str">
            <v>Belanja Perjalanan Dinas Paket Meeting Dalam Kota</v>
          </cell>
          <cell r="P260" t="str">
            <v>751/L3/TU/KA.11.00/2019</v>
          </cell>
          <cell r="Q260" t="str">
            <v>2 Mei 2019</v>
          </cell>
          <cell r="R260" t="str">
            <v>ya</v>
          </cell>
          <cell r="S260">
            <v>568000</v>
          </cell>
          <cell r="T260">
            <v>3138400</v>
          </cell>
          <cell r="U260" t="str">
            <v>ya</v>
          </cell>
          <cell r="V260">
            <v>0</v>
          </cell>
          <cell r="W260">
            <v>0</v>
          </cell>
          <cell r="X260">
            <v>0</v>
          </cell>
          <cell r="Z260">
            <v>0</v>
          </cell>
          <cell r="AB260">
            <v>0</v>
          </cell>
          <cell r="AD260">
            <v>0</v>
          </cell>
          <cell r="AE260" t="str">
            <v>ya</v>
          </cell>
          <cell r="AF260">
            <v>430000</v>
          </cell>
          <cell r="AH260" t="str">
            <v xml:space="preserve">Angkutan Umum </v>
          </cell>
          <cell r="AI260" t="str">
            <v>Akademi Pariwisata Nusantara Jaya</v>
          </cell>
        </row>
        <row r="261">
          <cell r="A261">
            <v>260</v>
          </cell>
          <cell r="B261" t="str">
            <v>Imam yuwono</v>
          </cell>
          <cell r="C261" t="str">
            <v>196204011985031006</v>
          </cell>
          <cell r="D261" t="str">
            <v>Kepala Seksi Akademik, dan Kemahasiswaan pada Bidang Akademik, Kemahasiswaan, dan Ketenagaan</v>
          </cell>
          <cell r="E261" t="str">
            <v>IV/a</v>
          </cell>
          <cell r="F261" t="str">
            <v>683172936412000</v>
          </cell>
          <cell r="G261" t="str">
            <v>Pembina</v>
          </cell>
          <cell r="H261" t="str">
            <v>Melakukan Monitoring dan Evaluasi ke Akademi Refraksi Optisi Leprindo Jakarta</v>
          </cell>
          <cell r="I261" t="str">
            <v>Tangerang/Tangsel, Banten</v>
          </cell>
          <cell r="J261" t="str">
            <v>Tangerang/Tangsel, Banten</v>
          </cell>
          <cell r="K261">
            <v>1</v>
          </cell>
          <cell r="L261" t="str">
            <v>15 Mei 2019</v>
          </cell>
          <cell r="M261" t="str">
            <v>15 Mei 2019</v>
          </cell>
          <cell r="N261">
            <v>524114</v>
          </cell>
          <cell r="O261" t="str">
            <v>Belanja Perjalanan Dinas Paket Meeting Dalam Kota</v>
          </cell>
          <cell r="P261" t="str">
            <v>751/L3/TU/KA.11.00/2019</v>
          </cell>
          <cell r="Q261" t="str">
            <v>2 Mei 2019</v>
          </cell>
          <cell r="R261" t="str">
            <v>ya</v>
          </cell>
          <cell r="S261">
            <v>568000</v>
          </cell>
          <cell r="T261">
            <v>3138400</v>
          </cell>
          <cell r="U261" t="str">
            <v>ya</v>
          </cell>
          <cell r="V261">
            <v>0</v>
          </cell>
          <cell r="W261">
            <v>0</v>
          </cell>
          <cell r="X261">
            <v>0</v>
          </cell>
          <cell r="Z261">
            <v>0</v>
          </cell>
          <cell r="AB261">
            <v>0</v>
          </cell>
          <cell r="AD261">
            <v>0</v>
          </cell>
          <cell r="AE261" t="str">
            <v>ya</v>
          </cell>
          <cell r="AF261">
            <v>430000</v>
          </cell>
          <cell r="AH261" t="str">
            <v xml:space="preserve">Angkutan Umum </v>
          </cell>
          <cell r="AI261" t="str">
            <v>Akademi Refraksi Optisi Leprindo Jakarta</v>
          </cell>
        </row>
        <row r="262">
          <cell r="A262">
            <v>261</v>
          </cell>
          <cell r="B262" t="str">
            <v>Mulhadi HM</v>
          </cell>
          <cell r="C262" t="str">
            <v>199204072015041001</v>
          </cell>
          <cell r="D262" t="str">
            <v>Analis Kelembagaan pada Seksi Kelembagaan, dan Kerjasama pada Bidang Kelembagaan, dan Sistem Informasi</v>
          </cell>
          <cell r="E262" t="str">
            <v>III/a</v>
          </cell>
          <cell r="F262" t="str">
            <v>737792366005000</v>
          </cell>
          <cell r="G262" t="str">
            <v>Penata Muda</v>
          </cell>
          <cell r="H262" t="str">
            <v>Melakukan Monitoring dan Evaluasi ke Akademi Refraksi Optisi Leprindo Jakarta</v>
          </cell>
          <cell r="I262" t="str">
            <v>Tangerang/Tangsel, Banten</v>
          </cell>
          <cell r="J262" t="str">
            <v>Tangerang/Tangsel, Banten</v>
          </cell>
          <cell r="K262">
            <v>1</v>
          </cell>
          <cell r="L262" t="str">
            <v>15 Mei 2019</v>
          </cell>
          <cell r="M262" t="str">
            <v>15 Mei 2019</v>
          </cell>
          <cell r="N262">
            <v>524114</v>
          </cell>
          <cell r="O262" t="str">
            <v>Belanja Perjalanan Dinas Paket Meeting Dalam Kota</v>
          </cell>
          <cell r="P262" t="str">
            <v>751/L3/TU/KA.11.00/2019</v>
          </cell>
          <cell r="Q262" t="str">
            <v>2 Mei 2019</v>
          </cell>
          <cell r="R262" t="str">
            <v>ya</v>
          </cell>
          <cell r="S262">
            <v>568000</v>
          </cell>
          <cell r="T262">
            <v>3138400</v>
          </cell>
          <cell r="U262" t="str">
            <v>ya</v>
          </cell>
          <cell r="V262">
            <v>0</v>
          </cell>
          <cell r="W262">
            <v>0</v>
          </cell>
          <cell r="X262">
            <v>0</v>
          </cell>
          <cell r="Z262">
            <v>0</v>
          </cell>
          <cell r="AB262">
            <v>0</v>
          </cell>
          <cell r="AD262">
            <v>0</v>
          </cell>
          <cell r="AE262" t="str">
            <v>ya</v>
          </cell>
          <cell r="AF262">
            <v>430000</v>
          </cell>
          <cell r="AH262" t="str">
            <v xml:space="preserve">Angkutan Umum </v>
          </cell>
          <cell r="AI262" t="str">
            <v>Akademi Refraksi Optisi Leprindo Jakarta</v>
          </cell>
        </row>
        <row r="263">
          <cell r="A263">
            <v>262</v>
          </cell>
          <cell r="B263" t="str">
            <v>Asri Fika Agusti</v>
          </cell>
          <cell r="C263" t="str">
            <v>198708192009122006</v>
          </cell>
          <cell r="D263" t="str">
            <v>Pengelola Keuangan pada Sub. Bagian Keuangan pada Bagian Umum</v>
          </cell>
          <cell r="E263" t="str">
            <v>III/c</v>
          </cell>
          <cell r="F263" t="str">
            <v>348432499201000</v>
          </cell>
          <cell r="G263" t="str">
            <v>Penata</v>
          </cell>
          <cell r="H263" t="str">
            <v>Melakukan Monitoring dan Evaluasi ke Akademi Refraksi Optisi Leprindo Jakarta</v>
          </cell>
          <cell r="I263" t="str">
            <v>Tangerang/Tangsel, Banten</v>
          </cell>
          <cell r="J263" t="str">
            <v>Tangerang/Tangsel, Banten</v>
          </cell>
          <cell r="K263">
            <v>1</v>
          </cell>
          <cell r="L263" t="str">
            <v>15 Mei 2019</v>
          </cell>
          <cell r="M263" t="str">
            <v>15 Mei 2019</v>
          </cell>
          <cell r="N263">
            <v>524114</v>
          </cell>
          <cell r="O263" t="str">
            <v>Belanja Perjalanan Dinas Paket Meeting Dalam Kota</v>
          </cell>
          <cell r="P263" t="str">
            <v>751/L3/TU/KA.11.00/2019</v>
          </cell>
          <cell r="Q263" t="str">
            <v>2 Mei 2019</v>
          </cell>
          <cell r="R263" t="str">
            <v>ya</v>
          </cell>
          <cell r="S263">
            <v>568000</v>
          </cell>
          <cell r="T263">
            <v>3138400</v>
          </cell>
          <cell r="U263" t="str">
            <v>ya</v>
          </cell>
          <cell r="V263">
            <v>0</v>
          </cell>
          <cell r="W263">
            <v>0</v>
          </cell>
          <cell r="X263">
            <v>0</v>
          </cell>
          <cell r="Z263">
            <v>0</v>
          </cell>
          <cell r="AB263">
            <v>0</v>
          </cell>
          <cell r="AD263">
            <v>0</v>
          </cell>
          <cell r="AE263" t="str">
            <v>ya</v>
          </cell>
          <cell r="AF263">
            <v>430000</v>
          </cell>
          <cell r="AH263" t="str">
            <v xml:space="preserve">Angkutan Umum </v>
          </cell>
          <cell r="AI263" t="str">
            <v>Akademi Refraksi Optisi Leprindo Jakarta</v>
          </cell>
        </row>
        <row r="264">
          <cell r="A264">
            <v>263</v>
          </cell>
          <cell r="B264" t="str">
            <v>Suparman</v>
          </cell>
          <cell r="C264" t="str">
            <v>196705191987031006</v>
          </cell>
          <cell r="D264" t="str">
            <v>Pengadministrasi Kepegawaian pada Sub. Bagian Kepegawaian pada Bagian Umum</v>
          </cell>
          <cell r="E264" t="str">
            <v>III/b</v>
          </cell>
          <cell r="F264" t="str">
            <v>755960788004000</v>
          </cell>
          <cell r="G264" t="str">
            <v>Penata Muda Tk. I</v>
          </cell>
          <cell r="H264" t="str">
            <v>Melakukan Monitoring dan Evaluasi ke Akademi Refraksi Optisi Leprindo Jakarta</v>
          </cell>
          <cell r="I264" t="str">
            <v>Tangerang/Tangsel, Banten</v>
          </cell>
          <cell r="J264" t="str">
            <v>Tangerang/Tangsel, Banten</v>
          </cell>
          <cell r="K264">
            <v>1</v>
          </cell>
          <cell r="L264" t="str">
            <v>16 Mei 2019</v>
          </cell>
          <cell r="M264" t="str">
            <v>16 Mei 2019</v>
          </cell>
          <cell r="N264">
            <v>524114</v>
          </cell>
          <cell r="O264" t="str">
            <v>Belanja Perjalanan Dinas Paket Meeting Dalam Kota</v>
          </cell>
          <cell r="P264" t="str">
            <v>751/L3/TU/KA.11.00/2019</v>
          </cell>
          <cell r="Q264" t="str">
            <v>2 Mei 2019</v>
          </cell>
          <cell r="R264" t="str">
            <v>ya</v>
          </cell>
          <cell r="S264">
            <v>568000</v>
          </cell>
          <cell r="T264">
            <v>3138400</v>
          </cell>
          <cell r="U264" t="str">
            <v>ya</v>
          </cell>
          <cell r="V264">
            <v>0</v>
          </cell>
          <cell r="W264">
            <v>0</v>
          </cell>
          <cell r="X264">
            <v>0</v>
          </cell>
          <cell r="Z264">
            <v>0</v>
          </cell>
          <cell r="AB264">
            <v>0</v>
          </cell>
          <cell r="AD264">
            <v>0</v>
          </cell>
          <cell r="AE264" t="str">
            <v>ya</v>
          </cell>
          <cell r="AF264">
            <v>430000</v>
          </cell>
          <cell r="AH264" t="str">
            <v xml:space="preserve">Angkutan Umum </v>
          </cell>
          <cell r="AI264" t="str">
            <v>Akademi Refraksi Optisi Leprindo Jakarta</v>
          </cell>
        </row>
        <row r="265">
          <cell r="A265">
            <v>264</v>
          </cell>
          <cell r="B265" t="str">
            <v>Yulianti AS</v>
          </cell>
          <cell r="C265" t="str">
            <v>196507041987032001</v>
          </cell>
          <cell r="D265" t="str">
            <v>Kepala Sub. Bagian Keuangan pada Bagian Umum</v>
          </cell>
          <cell r="E265" t="str">
            <v>III/d</v>
          </cell>
          <cell r="F265" t="str">
            <v>184018083009000</v>
          </cell>
          <cell r="G265" t="str">
            <v>Penata Tk. I</v>
          </cell>
          <cell r="H265" t="str">
            <v>Melakukan Monitoring dan Evaluasi ke STMIK Jakarta STI&amp;K</v>
          </cell>
          <cell r="I265" t="str">
            <v>DKI Jakarta</v>
          </cell>
          <cell r="J265" t="str">
            <v>DKI Jakarta</v>
          </cell>
          <cell r="K265">
            <v>1</v>
          </cell>
          <cell r="L265" t="str">
            <v>16 Mei 2019</v>
          </cell>
          <cell r="M265" t="str">
            <v>16 Mei 2019</v>
          </cell>
          <cell r="N265">
            <v>524114</v>
          </cell>
          <cell r="O265" t="str">
            <v>Belanja Perjalanan Dinas Paket Meeting Dalam Kota</v>
          </cell>
          <cell r="P265" t="str">
            <v>841/L3/TU/KA.11.00/2019</v>
          </cell>
          <cell r="Q265" t="str">
            <v>15 Mei 2019</v>
          </cell>
          <cell r="R265" t="str">
            <v>ya</v>
          </cell>
          <cell r="S265">
            <v>150000</v>
          </cell>
          <cell r="T265">
            <v>3138400</v>
          </cell>
          <cell r="U265" t="str">
            <v>ya</v>
          </cell>
          <cell r="V265">
            <v>0</v>
          </cell>
          <cell r="W265">
            <v>0</v>
          </cell>
          <cell r="X265">
            <v>0</v>
          </cell>
          <cell r="Z265">
            <v>0</v>
          </cell>
          <cell r="AB265">
            <v>0</v>
          </cell>
          <cell r="AD265">
            <v>0</v>
          </cell>
          <cell r="AE265" t="str">
            <v>ya</v>
          </cell>
          <cell r="AF265">
            <v>210000</v>
          </cell>
          <cell r="AH265" t="str">
            <v xml:space="preserve">Angkutan Umum </v>
          </cell>
          <cell r="AI265" t="str">
            <v>STMIK Jakarta STI&amp;K</v>
          </cell>
        </row>
        <row r="266">
          <cell r="A266">
            <v>265</v>
          </cell>
          <cell r="B266" t="str">
            <v>Tri Munanto</v>
          </cell>
          <cell r="C266" t="str">
            <v>198601212010121003</v>
          </cell>
          <cell r="D266" t="str">
            <v>Analis Kelembagaan pada Seksi Kelembagaan, dan Kerjasama pada Bidang Kelembagaan, dan Sistem Informasi</v>
          </cell>
          <cell r="E266" t="str">
            <v>III/b</v>
          </cell>
          <cell r="F266" t="str">
            <v>248877086013000</v>
          </cell>
          <cell r="G266" t="str">
            <v>Penata Muda Tk. I</v>
          </cell>
          <cell r="H266" t="str">
            <v>Melakukan Monitoring dan Evaluasi ke STMIK Jakarta STI&amp;K</v>
          </cell>
          <cell r="I266" t="str">
            <v>DKI Jakarta</v>
          </cell>
          <cell r="J266" t="str">
            <v>DKI Jakarta</v>
          </cell>
          <cell r="K266">
            <v>1</v>
          </cell>
          <cell r="L266" t="str">
            <v>16 Mei 2019</v>
          </cell>
          <cell r="M266" t="str">
            <v>16 Mei 2019</v>
          </cell>
          <cell r="N266">
            <v>524114</v>
          </cell>
          <cell r="O266" t="str">
            <v>Belanja Perjalanan Dinas Paket Meeting Dalam Kota</v>
          </cell>
          <cell r="P266" t="str">
            <v>841/L3/TU/KA.11.00/2019</v>
          </cell>
          <cell r="Q266" t="str">
            <v>15 Mei 2019</v>
          </cell>
          <cell r="R266" t="str">
            <v>ya</v>
          </cell>
          <cell r="S266">
            <v>150000</v>
          </cell>
          <cell r="T266">
            <v>3138400</v>
          </cell>
          <cell r="U266" t="str">
            <v>ya</v>
          </cell>
          <cell r="V266">
            <v>0</v>
          </cell>
          <cell r="W266">
            <v>0</v>
          </cell>
          <cell r="X266">
            <v>0</v>
          </cell>
          <cell r="Z266">
            <v>0</v>
          </cell>
          <cell r="AB266">
            <v>0</v>
          </cell>
          <cell r="AD266">
            <v>0</v>
          </cell>
          <cell r="AE266" t="str">
            <v>ya</v>
          </cell>
          <cell r="AF266">
            <v>210000</v>
          </cell>
          <cell r="AH266" t="str">
            <v xml:space="preserve">Angkutan Umum </v>
          </cell>
          <cell r="AI266" t="str">
            <v>STMIK Jakarta STI&amp;K</v>
          </cell>
        </row>
        <row r="267">
          <cell r="A267">
            <v>266</v>
          </cell>
          <cell r="B267" t="str">
            <v>Adhy Purnama</v>
          </cell>
          <cell r="C267" t="str">
            <v>198104182010121002</v>
          </cell>
          <cell r="D267" t="str">
            <v>Pengadministrasi Akademik pada Seksi Akademik, dan Kemahasiswaan pada Bidang Akademik, Kemahasiswaan, dan Ketenagaan</v>
          </cell>
          <cell r="E267" t="str">
            <v>III/b</v>
          </cell>
          <cell r="F267" t="str">
            <v>594386401426000</v>
          </cell>
          <cell r="G267" t="str">
            <v>Penata Muda Tk. I</v>
          </cell>
          <cell r="H267" t="str">
            <v>Melakukan Monitoring dan Evaluasi ke STMIK Jakarta STI&amp;K</v>
          </cell>
          <cell r="I267" t="str">
            <v>DKI Jakarta</v>
          </cell>
          <cell r="J267" t="str">
            <v>DKI Jakarta</v>
          </cell>
          <cell r="K267">
            <v>1</v>
          </cell>
          <cell r="L267" t="str">
            <v>16 Mei 2019</v>
          </cell>
          <cell r="M267" t="str">
            <v>16 Mei 2019</v>
          </cell>
          <cell r="N267">
            <v>524114</v>
          </cell>
          <cell r="O267" t="str">
            <v>Belanja Perjalanan Dinas Paket Meeting Dalam Kota</v>
          </cell>
          <cell r="P267" t="str">
            <v>841/L3/TU/KA.11.00/2019</v>
          </cell>
          <cell r="Q267" t="str">
            <v>15 Mei 2019</v>
          </cell>
          <cell r="R267" t="str">
            <v>ya</v>
          </cell>
          <cell r="S267">
            <v>150000</v>
          </cell>
          <cell r="T267">
            <v>3138400</v>
          </cell>
          <cell r="U267" t="str">
            <v>ya</v>
          </cell>
          <cell r="V267">
            <v>0</v>
          </cell>
          <cell r="W267">
            <v>0</v>
          </cell>
          <cell r="X267">
            <v>0</v>
          </cell>
          <cell r="Z267">
            <v>0</v>
          </cell>
          <cell r="AB267">
            <v>0</v>
          </cell>
          <cell r="AD267">
            <v>0</v>
          </cell>
          <cell r="AE267" t="str">
            <v>ya</v>
          </cell>
          <cell r="AF267">
            <v>210000</v>
          </cell>
          <cell r="AH267" t="str">
            <v xml:space="preserve">Angkutan Umum </v>
          </cell>
          <cell r="AI267" t="str">
            <v>STMIK Jakarta STI&amp;K</v>
          </cell>
        </row>
        <row r="268">
          <cell r="A268">
            <v>267</v>
          </cell>
          <cell r="B268" t="str">
            <v>Sujono</v>
          </cell>
          <cell r="C268" t="str">
            <v>196312131987031003</v>
          </cell>
          <cell r="D268" t="str">
            <v xml:space="preserve">Pengadministrasi Persuratan pada Sub. Bagian Tata Usaha pada Bagian Umum  </v>
          </cell>
          <cell r="E268" t="str">
            <v>III/b</v>
          </cell>
          <cell r="F268" t="str">
            <v>688766245412000</v>
          </cell>
          <cell r="G268" t="str">
            <v>Penata Muda Tk. I</v>
          </cell>
          <cell r="H268" t="str">
            <v>Melakukan Monitoring dan Evaluasi ke STMIK Jakarta STI&amp;K</v>
          </cell>
          <cell r="I268" t="str">
            <v>DKI Jakarta</v>
          </cell>
          <cell r="J268" t="str">
            <v>DKI Jakarta</v>
          </cell>
          <cell r="K268">
            <v>1</v>
          </cell>
          <cell r="L268" t="str">
            <v>16 Mei 2019</v>
          </cell>
          <cell r="M268" t="str">
            <v>16 Mei 2019</v>
          </cell>
          <cell r="N268">
            <v>524114</v>
          </cell>
          <cell r="O268" t="str">
            <v>Belanja Perjalanan Dinas Paket Meeting Dalam Kota</v>
          </cell>
          <cell r="P268" t="str">
            <v>841/L3/TU/KA.11.00/2019</v>
          </cell>
          <cell r="Q268" t="str">
            <v>15 Mei 2019</v>
          </cell>
          <cell r="R268" t="str">
            <v>ya</v>
          </cell>
          <cell r="S268">
            <v>150000</v>
          </cell>
          <cell r="T268">
            <v>3138400</v>
          </cell>
          <cell r="U268" t="str">
            <v>ya</v>
          </cell>
          <cell r="V268">
            <v>0</v>
          </cell>
          <cell r="W268">
            <v>0</v>
          </cell>
          <cell r="X268">
            <v>0</v>
          </cell>
          <cell r="Z268">
            <v>0</v>
          </cell>
          <cell r="AB268">
            <v>0</v>
          </cell>
          <cell r="AD268">
            <v>0</v>
          </cell>
          <cell r="AE268" t="str">
            <v>ya</v>
          </cell>
          <cell r="AF268">
            <v>210000</v>
          </cell>
          <cell r="AH268" t="str">
            <v xml:space="preserve">Angkutan Umum </v>
          </cell>
          <cell r="AI268" t="str">
            <v>STMIK Jakarta STI&amp;K</v>
          </cell>
        </row>
        <row r="269">
          <cell r="A269">
            <v>268</v>
          </cell>
          <cell r="B269" t="str">
            <v>Prayitno</v>
          </cell>
          <cell r="C269" t="str">
            <v>-</v>
          </cell>
          <cell r="D269" t="str">
            <v>PPNPN</v>
          </cell>
          <cell r="E269" t="str">
            <v>-</v>
          </cell>
          <cell r="F269" t="str">
            <v>695075515061000</v>
          </cell>
          <cell r="G269" t="str">
            <v>-</v>
          </cell>
          <cell r="H269" t="str">
            <v>Melakukan Monitoring dan Evaluasi ke STMIK Jakarta STI&amp;K</v>
          </cell>
          <cell r="I269" t="str">
            <v>DKI Jakarta</v>
          </cell>
          <cell r="J269" t="str">
            <v>DKI Jakarta</v>
          </cell>
          <cell r="K269">
            <v>1</v>
          </cell>
          <cell r="L269" t="str">
            <v>16 Mei 2019</v>
          </cell>
          <cell r="M269" t="str">
            <v>16 Mei 2019</v>
          </cell>
          <cell r="N269">
            <v>524114</v>
          </cell>
          <cell r="O269" t="str">
            <v>Belanja Perjalanan Dinas Paket Meeting Dalam Kota</v>
          </cell>
          <cell r="P269" t="str">
            <v>841/L3/TU/KA.11.00/2019</v>
          </cell>
          <cell r="Q269" t="str">
            <v>15 Mei 2019</v>
          </cell>
          <cell r="R269" t="str">
            <v>ya</v>
          </cell>
          <cell r="S269">
            <v>150000</v>
          </cell>
          <cell r="T269">
            <v>3138400</v>
          </cell>
          <cell r="U269" t="str">
            <v>ya</v>
          </cell>
          <cell r="V269">
            <v>0</v>
          </cell>
          <cell r="W269">
            <v>0</v>
          </cell>
          <cell r="X269">
            <v>0</v>
          </cell>
          <cell r="Z269">
            <v>0</v>
          </cell>
          <cell r="AB269">
            <v>0</v>
          </cell>
          <cell r="AD269">
            <v>0</v>
          </cell>
          <cell r="AE269" t="str">
            <v>ya</v>
          </cell>
          <cell r="AF269">
            <v>210000</v>
          </cell>
          <cell r="AH269" t="str">
            <v xml:space="preserve">Angkutan Umum </v>
          </cell>
          <cell r="AI269" t="str">
            <v>STMIK Jakarta STI&amp;K</v>
          </cell>
        </row>
        <row r="270">
          <cell r="A270">
            <v>269</v>
          </cell>
          <cell r="B270" t="str">
            <v>Taufiq Alamsyah</v>
          </cell>
          <cell r="C270" t="str">
            <v>196507121988101001</v>
          </cell>
          <cell r="D270" t="str">
            <v>Analis Pelaksanaan Akademik Dan Kemahasiswaan pada Seksi Akademik, dan Kemahasiswaan pada Bidang Akademik, Kemahasiswaan, dan Ketenagaan</v>
          </cell>
          <cell r="E270" t="str">
            <v>III/d</v>
          </cell>
          <cell r="F270" t="str">
            <v>688766278403000</v>
          </cell>
          <cell r="G270" t="str">
            <v>Penata Tk. I</v>
          </cell>
          <cell r="H270" t="str">
            <v>Melakukan Monitoring dan Evaluasi ke STIKES Persada Husada Indonesia</v>
          </cell>
          <cell r="I270" t="str">
            <v>DKI Jakarta</v>
          </cell>
          <cell r="J270" t="str">
            <v>Bekasi Kota, Jawa Barat</v>
          </cell>
          <cell r="K270">
            <v>1</v>
          </cell>
          <cell r="L270" t="str">
            <v>16 Mei 2019</v>
          </cell>
          <cell r="M270" t="str">
            <v>16 Mei 2019</v>
          </cell>
          <cell r="N270">
            <v>524114</v>
          </cell>
          <cell r="O270" t="str">
            <v>Belanja Perjalanan Dinas Paket Meeting Dalam Kota</v>
          </cell>
          <cell r="P270" t="str">
            <v>841/L3/TU/KA.11.00/2019</v>
          </cell>
          <cell r="Q270" t="str">
            <v>15 Mei 2019</v>
          </cell>
          <cell r="R270" t="str">
            <v>ya</v>
          </cell>
          <cell r="S270">
            <v>568000</v>
          </cell>
          <cell r="T270">
            <v>3138400</v>
          </cell>
          <cell r="U270" t="str">
            <v>ya</v>
          </cell>
          <cell r="V270">
            <v>0</v>
          </cell>
          <cell r="W270">
            <v>0</v>
          </cell>
          <cell r="X270">
            <v>0</v>
          </cell>
          <cell r="Z270">
            <v>0</v>
          </cell>
          <cell r="AB270">
            <v>0</v>
          </cell>
          <cell r="AD270">
            <v>0</v>
          </cell>
          <cell r="AE270" t="str">
            <v>ya</v>
          </cell>
          <cell r="AF270">
            <v>430000</v>
          </cell>
          <cell r="AH270" t="str">
            <v xml:space="preserve">Angkutan Umum </v>
          </cell>
          <cell r="AI270" t="str">
            <v>STIKES Persada Husada Indonesia</v>
          </cell>
        </row>
        <row r="271">
          <cell r="A271">
            <v>270</v>
          </cell>
          <cell r="B271" t="str">
            <v>Hidayat</v>
          </cell>
          <cell r="C271" t="str">
            <v>198608012015041003</v>
          </cell>
          <cell r="D271" t="str">
            <v>Analis Kelembagaan pada Seksi Kelembagaan, dan Kerjasama pada Bidang Kelembagaan, dan Sistem Informasi</v>
          </cell>
          <cell r="E271" t="str">
            <v>III/a</v>
          </cell>
          <cell r="F271" t="str">
            <v>678348889009000</v>
          </cell>
          <cell r="G271" t="str">
            <v>Penata Muda</v>
          </cell>
          <cell r="H271" t="str">
            <v>Melakukan Monitoring dan Evaluasi ke STIKES Persada Husada Indonesia</v>
          </cell>
          <cell r="I271" t="str">
            <v>DKI Jakarta</v>
          </cell>
          <cell r="J271" t="str">
            <v>Bekasi Kota, Jawa Barat</v>
          </cell>
          <cell r="K271">
            <v>1</v>
          </cell>
          <cell r="L271" t="str">
            <v>16 Mei 2019</v>
          </cell>
          <cell r="M271" t="str">
            <v>16 Mei 2019</v>
          </cell>
          <cell r="N271">
            <v>524114</v>
          </cell>
          <cell r="O271" t="str">
            <v>Belanja Perjalanan Dinas Paket Meeting Dalam Kota</v>
          </cell>
          <cell r="P271" t="str">
            <v>841/L3/TU/KA.11.00/2019</v>
          </cell>
          <cell r="Q271" t="str">
            <v>15 Mei 2019</v>
          </cell>
          <cell r="R271" t="str">
            <v>ya</v>
          </cell>
          <cell r="S271">
            <v>568000</v>
          </cell>
          <cell r="T271">
            <v>3138400</v>
          </cell>
          <cell r="U271" t="str">
            <v>ya</v>
          </cell>
          <cell r="V271">
            <v>0</v>
          </cell>
          <cell r="W271">
            <v>0</v>
          </cell>
          <cell r="X271">
            <v>0</v>
          </cell>
          <cell r="Z271">
            <v>0</v>
          </cell>
          <cell r="AB271">
            <v>0</v>
          </cell>
          <cell r="AD271">
            <v>0</v>
          </cell>
          <cell r="AE271" t="str">
            <v>ya</v>
          </cell>
          <cell r="AF271">
            <v>430000</v>
          </cell>
          <cell r="AH271" t="str">
            <v xml:space="preserve">Angkutan Umum </v>
          </cell>
          <cell r="AI271" t="str">
            <v>STIKES Persada Husada Indonesia</v>
          </cell>
        </row>
        <row r="272">
          <cell r="A272">
            <v>271</v>
          </cell>
          <cell r="B272" t="str">
            <v>Sunarti</v>
          </cell>
          <cell r="C272" t="str">
            <v>196312021983032001</v>
          </cell>
          <cell r="D272" t="str">
            <v>Pengelola Kepegawaian pada Sub. Bagian Kepegawaian pada Bagian Umum</v>
          </cell>
          <cell r="E272" t="str">
            <v>III/d</v>
          </cell>
          <cell r="F272" t="str">
            <v>688766468017000</v>
          </cell>
          <cell r="G272" t="str">
            <v>Penata Tk. I</v>
          </cell>
          <cell r="H272" t="str">
            <v>Melakukan Monitoring dan Evaluasi ke STIKES Persada Husada Indonesia</v>
          </cell>
          <cell r="I272" t="str">
            <v>DKI Jakarta</v>
          </cell>
          <cell r="J272" t="str">
            <v>Bekasi Kota, Jawa Barat</v>
          </cell>
          <cell r="K272">
            <v>1</v>
          </cell>
          <cell r="L272" t="str">
            <v>16 Mei 2019</v>
          </cell>
          <cell r="M272" t="str">
            <v>16 Mei 2019</v>
          </cell>
          <cell r="N272">
            <v>524114</v>
          </cell>
          <cell r="O272" t="str">
            <v>Belanja Perjalanan Dinas Paket Meeting Dalam Kota</v>
          </cell>
          <cell r="P272" t="str">
            <v>841/L3/TU/KA.11.00/2019</v>
          </cell>
          <cell r="Q272" t="str">
            <v>15 Mei 2019</v>
          </cell>
          <cell r="R272" t="str">
            <v>ya</v>
          </cell>
          <cell r="S272">
            <v>568000</v>
          </cell>
          <cell r="T272">
            <v>3138400</v>
          </cell>
          <cell r="U272" t="str">
            <v>ya</v>
          </cell>
          <cell r="V272">
            <v>0</v>
          </cell>
          <cell r="W272">
            <v>0</v>
          </cell>
          <cell r="X272">
            <v>0</v>
          </cell>
          <cell r="Z272">
            <v>0</v>
          </cell>
          <cell r="AB272">
            <v>0</v>
          </cell>
          <cell r="AD272">
            <v>0</v>
          </cell>
          <cell r="AE272" t="str">
            <v>ya</v>
          </cell>
          <cell r="AF272">
            <v>430000</v>
          </cell>
          <cell r="AH272" t="str">
            <v xml:space="preserve">Angkutan Umum </v>
          </cell>
          <cell r="AI272" t="str">
            <v>STIKES Persada Husada Indonesia</v>
          </cell>
        </row>
        <row r="273">
          <cell r="A273">
            <v>272</v>
          </cell>
          <cell r="B273" t="str">
            <v>Triena Singatwati</v>
          </cell>
          <cell r="C273" t="str">
            <v>196305051985032003</v>
          </cell>
          <cell r="D273" t="str">
            <v>Pengadministrasi Kepegawaian pada Sub. Bagian Kepegawaian pada Bagian Umum</v>
          </cell>
          <cell r="E273" t="str">
            <v>III/d</v>
          </cell>
          <cell r="F273" t="str">
            <v>688766575403000</v>
          </cell>
          <cell r="G273" t="str">
            <v>Penata Tk. I</v>
          </cell>
          <cell r="H273" t="str">
            <v>Melakukan Monitoring dan Evaluasi ke STIKES Persada Husada Indonesia</v>
          </cell>
          <cell r="I273" t="str">
            <v>DKI Jakarta</v>
          </cell>
          <cell r="J273" t="str">
            <v>Bekasi Kota, Jawa Barat</v>
          </cell>
          <cell r="K273">
            <v>1</v>
          </cell>
          <cell r="L273" t="str">
            <v>16 Mei 2019</v>
          </cell>
          <cell r="M273" t="str">
            <v>16 Mei 2019</v>
          </cell>
          <cell r="N273">
            <v>524114</v>
          </cell>
          <cell r="O273" t="str">
            <v>Belanja Perjalanan Dinas Paket Meeting Dalam Kota</v>
          </cell>
          <cell r="P273" t="str">
            <v>841/L3/TU/KA.11.00/2019</v>
          </cell>
          <cell r="Q273" t="str">
            <v>15 Mei 2019</v>
          </cell>
          <cell r="R273" t="str">
            <v>ya</v>
          </cell>
          <cell r="S273">
            <v>568000</v>
          </cell>
          <cell r="T273">
            <v>3138400</v>
          </cell>
          <cell r="U273" t="str">
            <v>ya</v>
          </cell>
          <cell r="V273">
            <v>0</v>
          </cell>
          <cell r="W273">
            <v>0</v>
          </cell>
          <cell r="X273">
            <v>0</v>
          </cell>
          <cell r="Z273">
            <v>0</v>
          </cell>
          <cell r="AB273">
            <v>0</v>
          </cell>
          <cell r="AD273">
            <v>0</v>
          </cell>
          <cell r="AE273" t="str">
            <v>ya</v>
          </cell>
          <cell r="AF273">
            <v>430000</v>
          </cell>
          <cell r="AH273" t="str">
            <v xml:space="preserve">Angkutan Umum </v>
          </cell>
          <cell r="AI273" t="str">
            <v>STIKES Persada Husada Indonesia</v>
          </cell>
        </row>
        <row r="274">
          <cell r="A274">
            <v>273</v>
          </cell>
          <cell r="B274" t="str">
            <v>Sukiyana</v>
          </cell>
          <cell r="C274" t="str">
            <v>196812081989021001</v>
          </cell>
          <cell r="D274" t="str">
            <v>Petugas Keamanan pada Sub. Bagian Tata Usaha pada Bagian Umum</v>
          </cell>
          <cell r="E274" t="str">
            <v>II/c</v>
          </cell>
          <cell r="F274" t="str">
            <v>688766344005000</v>
          </cell>
          <cell r="G274" t="str">
            <v>Pengatur</v>
          </cell>
          <cell r="H274" t="str">
            <v>Melakukan Monitoring dan Evaluasi ke STIKES Persada Husada Indonesia</v>
          </cell>
          <cell r="I274" t="str">
            <v>DKI Jakarta</v>
          </cell>
          <cell r="J274" t="str">
            <v>Bekasi Kota, Jawa Barat</v>
          </cell>
          <cell r="K274">
            <v>1</v>
          </cell>
          <cell r="L274" t="str">
            <v>16 Mei 2019</v>
          </cell>
          <cell r="M274" t="str">
            <v>16 Mei 2019</v>
          </cell>
          <cell r="N274">
            <v>524114</v>
          </cell>
          <cell r="O274" t="str">
            <v>Belanja Perjalanan Dinas Paket Meeting Dalam Kota</v>
          </cell>
          <cell r="P274" t="str">
            <v>841/L3/TU/KA.11.00/2019</v>
          </cell>
          <cell r="Q274" t="str">
            <v>15 Mei 2019</v>
          </cell>
          <cell r="R274" t="str">
            <v>ya</v>
          </cell>
          <cell r="S274">
            <v>568000</v>
          </cell>
          <cell r="T274">
            <v>3138400</v>
          </cell>
          <cell r="U274" t="str">
            <v>ya</v>
          </cell>
          <cell r="V274">
            <v>0</v>
          </cell>
          <cell r="W274">
            <v>0</v>
          </cell>
          <cell r="X274">
            <v>0</v>
          </cell>
          <cell r="Z274">
            <v>0</v>
          </cell>
          <cell r="AB274">
            <v>0</v>
          </cell>
          <cell r="AD274">
            <v>0</v>
          </cell>
          <cell r="AE274" t="str">
            <v>ya</v>
          </cell>
          <cell r="AF274">
            <v>430000</v>
          </cell>
          <cell r="AH274" t="str">
            <v xml:space="preserve">Angkutan Umum </v>
          </cell>
          <cell r="AI274" t="str">
            <v>STIKES Persada Husada Indonesia</v>
          </cell>
        </row>
        <row r="275">
          <cell r="A275">
            <v>274</v>
          </cell>
          <cell r="B275" t="str">
            <v>Mulhadi HM</v>
          </cell>
          <cell r="C275" t="str">
            <v>199204072015041001</v>
          </cell>
          <cell r="D275" t="str">
            <v>Analis Kelembagaan pada Seksi Kelembagaan, dan Kerjasama pada Bidang Kelembagaan, dan Sistem Informasi</v>
          </cell>
          <cell r="E275" t="str">
            <v>III/a</v>
          </cell>
          <cell r="F275" t="str">
            <v>737792366005000</v>
          </cell>
          <cell r="G275" t="str">
            <v>Penata Muda</v>
          </cell>
          <cell r="H275" t="str">
            <v>Melakukan Monitoring dan Evaluasi ke Akademi Kebidanan Prestasi Agung</v>
          </cell>
          <cell r="I275" t="str">
            <v>DKI Jakarta</v>
          </cell>
          <cell r="J275" t="str">
            <v>DKI Jakarta</v>
          </cell>
          <cell r="K275">
            <v>1</v>
          </cell>
          <cell r="L275" t="str">
            <v>17 Mei 2019</v>
          </cell>
          <cell r="M275" t="str">
            <v>17 Mei 2019</v>
          </cell>
          <cell r="N275">
            <v>524114</v>
          </cell>
          <cell r="O275" t="str">
            <v>Belanja Perjalanan Dinas Paket Meeting Dalam Kota</v>
          </cell>
          <cell r="P275" t="str">
            <v>841/L3/TU/KA.11.00/2019</v>
          </cell>
          <cell r="Q275" t="str">
            <v>15 Mei 2019</v>
          </cell>
          <cell r="R275" t="str">
            <v>ya</v>
          </cell>
          <cell r="S275">
            <v>150000</v>
          </cell>
          <cell r="T275">
            <v>3138400</v>
          </cell>
          <cell r="U275" t="str">
            <v>ya</v>
          </cell>
          <cell r="V275">
            <v>0</v>
          </cell>
          <cell r="W275">
            <v>0</v>
          </cell>
          <cell r="X275">
            <v>0</v>
          </cell>
          <cell r="Z275">
            <v>0</v>
          </cell>
          <cell r="AB275">
            <v>0</v>
          </cell>
          <cell r="AD275">
            <v>0</v>
          </cell>
          <cell r="AE275" t="str">
            <v>ya</v>
          </cell>
          <cell r="AF275">
            <v>210000</v>
          </cell>
          <cell r="AH275" t="str">
            <v xml:space="preserve">Angkutan Umum </v>
          </cell>
          <cell r="AI275" t="str">
            <v>Akademi Kebidanan Prestasi Agung</v>
          </cell>
        </row>
        <row r="276">
          <cell r="A276">
            <v>275</v>
          </cell>
          <cell r="B276" t="str">
            <v>Asri Fika Agusti</v>
          </cell>
          <cell r="C276" t="str">
            <v>198708192009122006</v>
          </cell>
          <cell r="D276" t="str">
            <v>Pengelola Keuangan pada Sub. Bagian Keuangan pada Bagian Umum</v>
          </cell>
          <cell r="E276" t="str">
            <v>III/c</v>
          </cell>
          <cell r="F276" t="str">
            <v>348432499201000</v>
          </cell>
          <cell r="G276" t="str">
            <v>Penata</v>
          </cell>
          <cell r="H276" t="str">
            <v>Melakukan Monitoring dan Evaluasi ke Akademi Kebidanan Prestasi Agung</v>
          </cell>
          <cell r="I276" t="str">
            <v>DKI Jakarta</v>
          </cell>
          <cell r="J276" t="str">
            <v>DKI Jakarta</v>
          </cell>
          <cell r="K276">
            <v>1</v>
          </cell>
          <cell r="L276" t="str">
            <v>17 Mei 2019</v>
          </cell>
          <cell r="M276" t="str">
            <v>17 Mei 2019</v>
          </cell>
          <cell r="N276">
            <v>524114</v>
          </cell>
          <cell r="O276" t="str">
            <v>Belanja Perjalanan Dinas Paket Meeting Dalam Kota</v>
          </cell>
          <cell r="P276" t="str">
            <v>841/L3/TU/KA.11.00/2019</v>
          </cell>
          <cell r="Q276" t="str">
            <v>15 Mei 2019</v>
          </cell>
          <cell r="R276" t="str">
            <v>ya</v>
          </cell>
          <cell r="S276">
            <v>150000</v>
          </cell>
          <cell r="T276">
            <v>3138400</v>
          </cell>
          <cell r="U276" t="str">
            <v>ya</v>
          </cell>
          <cell r="V276">
            <v>0</v>
          </cell>
          <cell r="W276">
            <v>0</v>
          </cell>
          <cell r="X276">
            <v>0</v>
          </cell>
          <cell r="Z276">
            <v>0</v>
          </cell>
          <cell r="AB276">
            <v>0</v>
          </cell>
          <cell r="AD276">
            <v>0</v>
          </cell>
          <cell r="AE276" t="str">
            <v>ya</v>
          </cell>
          <cell r="AF276">
            <v>210000</v>
          </cell>
          <cell r="AH276" t="str">
            <v xml:space="preserve">Angkutan Umum </v>
          </cell>
          <cell r="AI276" t="str">
            <v>Akademi Kebidanan Prestasi Agung</v>
          </cell>
        </row>
        <row r="277">
          <cell r="A277">
            <v>276</v>
          </cell>
          <cell r="B277" t="str">
            <v>Suparman</v>
          </cell>
          <cell r="C277" t="str">
            <v>196705191987031006</v>
          </cell>
          <cell r="D277" t="str">
            <v>Pengadministrasi Kepegawaian pada Sub. Bagian Kepegawaian pada Bagian Umum</v>
          </cell>
          <cell r="E277" t="str">
            <v>III/b</v>
          </cell>
          <cell r="F277" t="str">
            <v>755960788004000</v>
          </cell>
          <cell r="G277" t="str">
            <v>Penata Muda Tk. I</v>
          </cell>
          <cell r="H277" t="str">
            <v>Melakukan Monitoring dan Evaluasi ke Akademi Kebidanan Prestasi Agung</v>
          </cell>
          <cell r="I277" t="str">
            <v>DKI Jakarta</v>
          </cell>
          <cell r="J277" t="str">
            <v>DKI Jakarta</v>
          </cell>
          <cell r="K277">
            <v>1</v>
          </cell>
          <cell r="L277" t="str">
            <v>17 Mei 2019</v>
          </cell>
          <cell r="M277" t="str">
            <v>17 Mei 2019</v>
          </cell>
          <cell r="N277">
            <v>524114</v>
          </cell>
          <cell r="O277" t="str">
            <v>Belanja Perjalanan Dinas Paket Meeting Dalam Kota</v>
          </cell>
          <cell r="P277" t="str">
            <v>841/L3/TU/KA.11.00/2019</v>
          </cell>
          <cell r="Q277" t="str">
            <v>15 Mei 2019</v>
          </cell>
          <cell r="R277" t="str">
            <v>ya</v>
          </cell>
          <cell r="S277">
            <v>150000</v>
          </cell>
          <cell r="T277">
            <v>3138400</v>
          </cell>
          <cell r="U277" t="str">
            <v>ya</v>
          </cell>
          <cell r="V277">
            <v>0</v>
          </cell>
          <cell r="W277">
            <v>0</v>
          </cell>
          <cell r="X277">
            <v>0</v>
          </cell>
          <cell r="Z277">
            <v>0</v>
          </cell>
          <cell r="AB277">
            <v>0</v>
          </cell>
          <cell r="AD277">
            <v>0</v>
          </cell>
          <cell r="AE277" t="str">
            <v>ya</v>
          </cell>
          <cell r="AF277">
            <v>210000</v>
          </cell>
          <cell r="AH277" t="str">
            <v xml:space="preserve">Angkutan Umum </v>
          </cell>
          <cell r="AI277" t="str">
            <v>Akademi Kebidanan Prestasi Agung</v>
          </cell>
        </row>
        <row r="278">
          <cell r="A278">
            <v>277</v>
          </cell>
          <cell r="B278" t="str">
            <v>Sugiarto</v>
          </cell>
          <cell r="C278" t="str">
            <v>196303021985101001</v>
          </cell>
          <cell r="D278" t="str">
            <v>Pengelola Informasi Kerjasama pada Seksi Kelembagaan, dan Kerjasama pada Bidang Kelembagaan, dan Sistem Informasi</v>
          </cell>
          <cell r="E278" t="str">
            <v>III/b</v>
          </cell>
          <cell r="F278" t="str">
            <v>688766377024000</v>
          </cell>
          <cell r="G278" t="str">
            <v>Penata Muda Tk. I</v>
          </cell>
          <cell r="H278" t="str">
            <v>Melakukan Monitoring dan Evaluasi ke Institut Ilmu Sosial dan Manajemen STIAMI</v>
          </cell>
          <cell r="I278" t="str">
            <v>DKI Jakarta</v>
          </cell>
          <cell r="J278" t="str">
            <v>DKI Jakarta</v>
          </cell>
          <cell r="K278">
            <v>1</v>
          </cell>
          <cell r="L278" t="str">
            <v>20 Mei 2019</v>
          </cell>
          <cell r="M278" t="str">
            <v>20 Mei 2019</v>
          </cell>
          <cell r="N278">
            <v>524114</v>
          </cell>
          <cell r="O278" t="str">
            <v>Belanja Perjalanan Dinas Paket Meeting Dalam Kota</v>
          </cell>
          <cell r="P278" t="str">
            <v>841/L3/TU/KA.11.00/2019</v>
          </cell>
          <cell r="Q278" t="str">
            <v>15 Mei 2019</v>
          </cell>
          <cell r="R278" t="str">
            <v>ya</v>
          </cell>
          <cell r="S278">
            <v>150000</v>
          </cell>
          <cell r="T278">
            <v>3138400</v>
          </cell>
          <cell r="U278" t="str">
            <v>ya</v>
          </cell>
          <cell r="V278">
            <v>0</v>
          </cell>
          <cell r="W278">
            <v>0</v>
          </cell>
          <cell r="X278">
            <v>0</v>
          </cell>
          <cell r="Z278">
            <v>0</v>
          </cell>
          <cell r="AB278">
            <v>0</v>
          </cell>
          <cell r="AD278">
            <v>0</v>
          </cell>
          <cell r="AE278" t="str">
            <v>ya</v>
          </cell>
          <cell r="AF278">
            <v>210000</v>
          </cell>
          <cell r="AH278" t="str">
            <v xml:space="preserve">Angkutan Umum </v>
          </cell>
          <cell r="AI278" t="str">
            <v>Institut Ilmu Sosial dan Manajemen STIAMI</v>
          </cell>
        </row>
        <row r="279">
          <cell r="A279">
            <v>278</v>
          </cell>
          <cell r="B279" t="str">
            <v>Tri Munanto</v>
          </cell>
          <cell r="C279" t="str">
            <v>198601212010121003</v>
          </cell>
          <cell r="D279" t="str">
            <v>Analis Kelembagaan pada Seksi Kelembagaan, dan Kerjasama pada Bidang Kelembagaan, dan Sistem Informasi</v>
          </cell>
          <cell r="E279" t="str">
            <v>III/b</v>
          </cell>
          <cell r="F279" t="str">
            <v>248877086013000</v>
          </cell>
          <cell r="G279" t="str">
            <v>Penata Muda Tk. I</v>
          </cell>
          <cell r="H279" t="str">
            <v>Melakukan Monitoring dan Evaluasi ke Institut Ilmu Sosial dan Manajemen STIAMI</v>
          </cell>
          <cell r="I279" t="str">
            <v>DKI Jakarta</v>
          </cell>
          <cell r="J279" t="str">
            <v>DKI Jakarta</v>
          </cell>
          <cell r="K279">
            <v>1</v>
          </cell>
          <cell r="L279" t="str">
            <v>20 Mei 2019</v>
          </cell>
          <cell r="M279" t="str">
            <v>20 Mei 2019</v>
          </cell>
          <cell r="N279">
            <v>524114</v>
          </cell>
          <cell r="O279" t="str">
            <v>Belanja Perjalanan Dinas Paket Meeting Dalam Kota</v>
          </cell>
          <cell r="P279" t="str">
            <v>841/L3/TU/KA.11.00/2019</v>
          </cell>
          <cell r="Q279" t="str">
            <v>15 Mei 2019</v>
          </cell>
          <cell r="R279" t="str">
            <v>ya</v>
          </cell>
          <cell r="S279">
            <v>150000</v>
          </cell>
          <cell r="T279">
            <v>3138400</v>
          </cell>
          <cell r="U279" t="str">
            <v>ya</v>
          </cell>
          <cell r="V279">
            <v>0</v>
          </cell>
          <cell r="W279">
            <v>0</v>
          </cell>
          <cell r="X279">
            <v>0</v>
          </cell>
          <cell r="Z279">
            <v>0</v>
          </cell>
          <cell r="AB279">
            <v>0</v>
          </cell>
          <cell r="AD279">
            <v>0</v>
          </cell>
          <cell r="AE279" t="str">
            <v>ya</v>
          </cell>
          <cell r="AF279">
            <v>210000</v>
          </cell>
          <cell r="AH279" t="str">
            <v xml:space="preserve">Angkutan Umum </v>
          </cell>
          <cell r="AI279" t="str">
            <v>Institut Ilmu Sosial dan Manajemen STIAMI</v>
          </cell>
        </row>
        <row r="280">
          <cell r="A280">
            <v>279</v>
          </cell>
          <cell r="B280" t="str">
            <v>Adhy Purnama</v>
          </cell>
          <cell r="C280" t="str">
            <v>198104182010121002</v>
          </cell>
          <cell r="D280" t="str">
            <v>Pengadministrasi Akademik pada Seksi Akademik, dan Kemahasiswaan pada Bidang Akademik, Kemahasiswaan, dan Ketenagaan</v>
          </cell>
          <cell r="E280" t="str">
            <v>III/b</v>
          </cell>
          <cell r="F280" t="str">
            <v>594386401426000</v>
          </cell>
          <cell r="G280" t="str">
            <v>Penata Muda Tk. I</v>
          </cell>
          <cell r="H280" t="str">
            <v>Melakukan Monitoring dan Evaluasi ke Institut Ilmu Sosial dan Manajemen STIAMI</v>
          </cell>
          <cell r="I280" t="str">
            <v>DKI Jakarta</v>
          </cell>
          <cell r="J280" t="str">
            <v>DKI Jakarta</v>
          </cell>
          <cell r="K280">
            <v>1</v>
          </cell>
          <cell r="L280" t="str">
            <v>20 Mei 2019</v>
          </cell>
          <cell r="M280" t="str">
            <v>20 Mei 2019</v>
          </cell>
          <cell r="N280">
            <v>524114</v>
          </cell>
          <cell r="O280" t="str">
            <v>Belanja Perjalanan Dinas Paket Meeting Dalam Kota</v>
          </cell>
          <cell r="P280" t="str">
            <v>841/L3/TU/KA.11.00/2019</v>
          </cell>
          <cell r="Q280" t="str">
            <v>15 Mei 2019</v>
          </cell>
          <cell r="R280" t="str">
            <v>ya</v>
          </cell>
          <cell r="S280">
            <v>150000</v>
          </cell>
          <cell r="T280">
            <v>3138400</v>
          </cell>
          <cell r="U280" t="str">
            <v>ya</v>
          </cell>
          <cell r="V280">
            <v>0</v>
          </cell>
          <cell r="W280">
            <v>0</v>
          </cell>
          <cell r="X280">
            <v>0</v>
          </cell>
          <cell r="Z280">
            <v>0</v>
          </cell>
          <cell r="AB280">
            <v>0</v>
          </cell>
          <cell r="AD280">
            <v>0</v>
          </cell>
          <cell r="AE280" t="str">
            <v>ya</v>
          </cell>
          <cell r="AF280">
            <v>210000</v>
          </cell>
          <cell r="AH280" t="str">
            <v xml:space="preserve">Angkutan Umum </v>
          </cell>
          <cell r="AI280" t="str">
            <v>Institut Ilmu Sosial dan Manajemen STIAMI</v>
          </cell>
        </row>
        <row r="281">
          <cell r="A281">
            <v>280</v>
          </cell>
          <cell r="B281" t="str">
            <v>Azwar</v>
          </cell>
          <cell r="C281" t="str">
            <v>196204091988031002</v>
          </cell>
          <cell r="D281" t="str">
            <v xml:space="preserve">Pengadministrasi Persuratan pada Sub. Bagian Tata Usaha pada Bagian Umum  </v>
          </cell>
          <cell r="E281" t="str">
            <v>III/b</v>
          </cell>
          <cell r="F281" t="str">
            <v>688766237002000</v>
          </cell>
          <cell r="G281" t="str">
            <v>Penata Muda Tk. I</v>
          </cell>
          <cell r="H281" t="str">
            <v>Melakukan Monitoring dan Evaluasi ke Institut Ilmu Sosial dan Manajemen STIAMI</v>
          </cell>
          <cell r="I281" t="str">
            <v>DKI Jakarta</v>
          </cell>
          <cell r="J281" t="str">
            <v>DKI Jakarta</v>
          </cell>
          <cell r="K281">
            <v>1</v>
          </cell>
          <cell r="L281" t="str">
            <v>20 Mei 2019</v>
          </cell>
          <cell r="M281" t="str">
            <v>20 Mei 2019</v>
          </cell>
          <cell r="N281">
            <v>524114</v>
          </cell>
          <cell r="O281" t="str">
            <v>Belanja Perjalanan Dinas Paket Meeting Dalam Kota</v>
          </cell>
          <cell r="P281" t="str">
            <v>841/L3/TU/KA.11.00/2019</v>
          </cell>
          <cell r="Q281" t="str">
            <v>15 Mei 2019</v>
          </cell>
          <cell r="R281" t="str">
            <v>ya</v>
          </cell>
          <cell r="S281">
            <v>150000</v>
          </cell>
          <cell r="T281">
            <v>3138400</v>
          </cell>
          <cell r="U281" t="str">
            <v>ya</v>
          </cell>
          <cell r="V281">
            <v>0</v>
          </cell>
          <cell r="W281">
            <v>0</v>
          </cell>
          <cell r="X281">
            <v>0</v>
          </cell>
          <cell r="Z281">
            <v>0</v>
          </cell>
          <cell r="AB281">
            <v>0</v>
          </cell>
          <cell r="AD281">
            <v>0</v>
          </cell>
          <cell r="AE281" t="str">
            <v>ya</v>
          </cell>
          <cell r="AF281">
            <v>210000</v>
          </cell>
          <cell r="AH281" t="str">
            <v xml:space="preserve">Angkutan Umum </v>
          </cell>
          <cell r="AI281" t="str">
            <v>Institut Ilmu Sosial dan Manajemen STIAMI</v>
          </cell>
        </row>
        <row r="282">
          <cell r="A282">
            <v>281</v>
          </cell>
          <cell r="B282" t="str">
            <v>Prayitno</v>
          </cell>
          <cell r="C282" t="str">
            <v>-</v>
          </cell>
          <cell r="D282" t="str">
            <v>PPNPN</v>
          </cell>
          <cell r="E282" t="str">
            <v>-</v>
          </cell>
          <cell r="F282" t="str">
            <v>695075515061000</v>
          </cell>
          <cell r="G282" t="str">
            <v>-</v>
          </cell>
          <cell r="H282" t="str">
            <v>Melakukan Monitoring dan Evaluasi ke Institut Ilmu Sosial dan Manajemen STIAMI</v>
          </cell>
          <cell r="I282" t="str">
            <v>DKI Jakarta</v>
          </cell>
          <cell r="J282" t="str">
            <v>DKI Jakarta</v>
          </cell>
          <cell r="K282">
            <v>1</v>
          </cell>
          <cell r="L282" t="str">
            <v>20 Mei 2019</v>
          </cell>
          <cell r="M282" t="str">
            <v>20 Mei 2019</v>
          </cell>
          <cell r="N282">
            <v>524114</v>
          </cell>
          <cell r="O282" t="str">
            <v>Belanja Perjalanan Dinas Paket Meeting Dalam Kota</v>
          </cell>
          <cell r="P282" t="str">
            <v>841/L3/TU/KA.11.00/2019</v>
          </cell>
          <cell r="Q282" t="str">
            <v>15 Mei 2019</v>
          </cell>
          <cell r="R282" t="str">
            <v>ya</v>
          </cell>
          <cell r="S282">
            <v>150000</v>
          </cell>
          <cell r="T282">
            <v>3138400</v>
          </cell>
          <cell r="U282" t="str">
            <v>ya</v>
          </cell>
          <cell r="V282">
            <v>0</v>
          </cell>
          <cell r="W282">
            <v>0</v>
          </cell>
          <cell r="X282">
            <v>0</v>
          </cell>
          <cell r="Z282">
            <v>0</v>
          </cell>
          <cell r="AB282">
            <v>0</v>
          </cell>
          <cell r="AD282">
            <v>0</v>
          </cell>
          <cell r="AE282" t="str">
            <v>ya</v>
          </cell>
          <cell r="AF282">
            <v>210000</v>
          </cell>
          <cell r="AH282" t="str">
            <v xml:space="preserve">Angkutan Umum </v>
          </cell>
          <cell r="AI282" t="str">
            <v>Institut Ilmu Sosial dan Manajemen STIAMI</v>
          </cell>
        </row>
        <row r="283">
          <cell r="A283">
            <v>282</v>
          </cell>
          <cell r="B283" t="str">
            <v>Taufiq Alamsyah</v>
          </cell>
          <cell r="C283" t="str">
            <v>196507121988101001</v>
          </cell>
          <cell r="D283" t="str">
            <v>Analis Pelaksanaan Akademik Dan Kemahasiswaan pada Seksi Akademik, dan Kemahasiswaan pada Bidang Akademik, Kemahasiswaan, dan Ketenagaan</v>
          </cell>
          <cell r="E283" t="str">
            <v>III/d</v>
          </cell>
          <cell r="F283" t="str">
            <v>688766278403000</v>
          </cell>
          <cell r="G283" t="str">
            <v>Penata Tk. I</v>
          </cell>
          <cell r="H283" t="str">
            <v>Melakukan Monitoring dan Evaluasi ke Universitas Yarsi</v>
          </cell>
          <cell r="I283" t="str">
            <v>DKI Jakarta</v>
          </cell>
          <cell r="J283" t="str">
            <v>DKI Jakarta</v>
          </cell>
          <cell r="K283">
            <v>1</v>
          </cell>
          <cell r="L283" t="str">
            <v>20 Mei 2019</v>
          </cell>
          <cell r="M283" t="str">
            <v>20 Mei 2019</v>
          </cell>
          <cell r="N283">
            <v>524114</v>
          </cell>
          <cell r="O283" t="str">
            <v>Belanja Perjalanan Dinas Paket Meeting Dalam Kota</v>
          </cell>
          <cell r="P283" t="str">
            <v>841/L3/TU/KA.11.00/2019</v>
          </cell>
          <cell r="Q283" t="str">
            <v>15 Mei 2019</v>
          </cell>
          <cell r="R283" t="str">
            <v>ya</v>
          </cell>
          <cell r="S283">
            <v>150000</v>
          </cell>
          <cell r="T283">
            <v>3138400</v>
          </cell>
          <cell r="U283" t="str">
            <v>ya</v>
          </cell>
          <cell r="V283">
            <v>0</v>
          </cell>
          <cell r="W283">
            <v>0</v>
          </cell>
          <cell r="X283">
            <v>0</v>
          </cell>
          <cell r="Z283">
            <v>0</v>
          </cell>
          <cell r="AB283">
            <v>0</v>
          </cell>
          <cell r="AD283">
            <v>0</v>
          </cell>
          <cell r="AE283" t="str">
            <v>ya</v>
          </cell>
          <cell r="AF283">
            <v>210000</v>
          </cell>
          <cell r="AH283" t="str">
            <v xml:space="preserve">Angkutan Umum </v>
          </cell>
          <cell r="AI283" t="str">
            <v>Universitas Yarsi</v>
          </cell>
        </row>
        <row r="284">
          <cell r="A284">
            <v>283</v>
          </cell>
          <cell r="B284" t="str">
            <v>Hidayat</v>
          </cell>
          <cell r="C284" t="str">
            <v>198608012015041003</v>
          </cell>
          <cell r="D284" t="str">
            <v>Analis Kelembagaan pada Seksi Kelembagaan, dan Kerjasama pada Bidang Kelembagaan, dan Sistem Informasi</v>
          </cell>
          <cell r="E284" t="str">
            <v>III/a</v>
          </cell>
          <cell r="F284" t="str">
            <v>678348889009000</v>
          </cell>
          <cell r="G284" t="str">
            <v>Penata Muda</v>
          </cell>
          <cell r="H284" t="str">
            <v>Melakukan Monitoring dan Evaluasi ke Universitas Yarsi</v>
          </cell>
          <cell r="I284" t="str">
            <v>DKI Jakarta</v>
          </cell>
          <cell r="J284" t="str">
            <v>DKI Jakarta</v>
          </cell>
          <cell r="K284">
            <v>1</v>
          </cell>
          <cell r="L284" t="str">
            <v>20 Mei 2019</v>
          </cell>
          <cell r="M284" t="str">
            <v>20 Mei 2019</v>
          </cell>
          <cell r="N284">
            <v>524114</v>
          </cell>
          <cell r="O284" t="str">
            <v>Belanja Perjalanan Dinas Paket Meeting Dalam Kota</v>
          </cell>
          <cell r="P284" t="str">
            <v>841/L3/TU/KA.11.00/2019</v>
          </cell>
          <cell r="Q284" t="str">
            <v>15 Mei 2019</v>
          </cell>
          <cell r="R284" t="str">
            <v>ya</v>
          </cell>
          <cell r="S284">
            <v>150000</v>
          </cell>
          <cell r="T284">
            <v>3138400</v>
          </cell>
          <cell r="U284" t="str">
            <v>ya</v>
          </cell>
          <cell r="V284">
            <v>0</v>
          </cell>
          <cell r="W284">
            <v>0</v>
          </cell>
          <cell r="X284">
            <v>0</v>
          </cell>
          <cell r="Z284">
            <v>0</v>
          </cell>
          <cell r="AB284">
            <v>0</v>
          </cell>
          <cell r="AD284">
            <v>0</v>
          </cell>
          <cell r="AE284" t="str">
            <v>ya</v>
          </cell>
          <cell r="AF284">
            <v>210000</v>
          </cell>
          <cell r="AH284" t="str">
            <v xml:space="preserve">Angkutan Umum </v>
          </cell>
          <cell r="AI284" t="str">
            <v>Universitas Yarsi</v>
          </cell>
        </row>
        <row r="285">
          <cell r="A285">
            <v>284</v>
          </cell>
          <cell r="B285" t="str">
            <v>Sunarti</v>
          </cell>
          <cell r="C285" t="str">
            <v>196312021983032001</v>
          </cell>
          <cell r="D285" t="str">
            <v>Pengelola Kepegawaian pada Sub. Bagian Kepegawaian pada Bagian Umum</v>
          </cell>
          <cell r="E285" t="str">
            <v>III/d</v>
          </cell>
          <cell r="F285" t="str">
            <v>688766468017000</v>
          </cell>
          <cell r="G285" t="str">
            <v>Penata Tk. I</v>
          </cell>
          <cell r="H285" t="str">
            <v>Melakukan Monitoring dan Evaluasi ke Universitas Yarsi</v>
          </cell>
          <cell r="I285" t="str">
            <v>DKI Jakarta</v>
          </cell>
          <cell r="J285" t="str">
            <v>DKI Jakarta</v>
          </cell>
          <cell r="K285">
            <v>1</v>
          </cell>
          <cell r="L285" t="str">
            <v>20 Mei 2019</v>
          </cell>
          <cell r="M285" t="str">
            <v>20 Mei 2019</v>
          </cell>
          <cell r="N285">
            <v>524114</v>
          </cell>
          <cell r="O285" t="str">
            <v>Belanja Perjalanan Dinas Paket Meeting Dalam Kota</v>
          </cell>
          <cell r="P285" t="str">
            <v>841/L3/TU/KA.11.00/2019</v>
          </cell>
          <cell r="Q285" t="str">
            <v>15 Mei 2019</v>
          </cell>
          <cell r="R285" t="str">
            <v>ya</v>
          </cell>
          <cell r="S285">
            <v>150000</v>
          </cell>
          <cell r="T285">
            <v>3138400</v>
          </cell>
          <cell r="U285" t="str">
            <v>ya</v>
          </cell>
          <cell r="V285">
            <v>0</v>
          </cell>
          <cell r="W285">
            <v>0</v>
          </cell>
          <cell r="X285">
            <v>0</v>
          </cell>
          <cell r="Z285">
            <v>0</v>
          </cell>
          <cell r="AB285">
            <v>0</v>
          </cell>
          <cell r="AD285">
            <v>0</v>
          </cell>
          <cell r="AE285" t="str">
            <v>ya</v>
          </cell>
          <cell r="AF285">
            <v>210000</v>
          </cell>
          <cell r="AH285" t="str">
            <v xml:space="preserve">Angkutan Umum </v>
          </cell>
          <cell r="AI285" t="str">
            <v>Universitas Yarsi</v>
          </cell>
        </row>
        <row r="286">
          <cell r="A286">
            <v>285</v>
          </cell>
          <cell r="B286" t="str">
            <v>Triena Singatwati</v>
          </cell>
          <cell r="C286" t="str">
            <v>196305051985032003</v>
          </cell>
          <cell r="D286" t="str">
            <v>Pengadministrasi Kepegawaian pada Sub. Bagian Kepegawaian pada Bagian Umum</v>
          </cell>
          <cell r="E286" t="str">
            <v>III/d</v>
          </cell>
          <cell r="F286" t="str">
            <v>688766575403000</v>
          </cell>
          <cell r="G286" t="str">
            <v>Penata Tk. I</v>
          </cell>
          <cell r="H286" t="str">
            <v>Melakukan Monitoring dan Evaluasi ke Universitas Yarsi</v>
          </cell>
          <cell r="I286" t="str">
            <v>DKI Jakarta</v>
          </cell>
          <cell r="J286" t="str">
            <v>DKI Jakarta</v>
          </cell>
          <cell r="K286">
            <v>1</v>
          </cell>
          <cell r="L286" t="str">
            <v>20 Mei 2019</v>
          </cell>
          <cell r="M286" t="str">
            <v>20 Mei 2019</v>
          </cell>
          <cell r="N286">
            <v>524114</v>
          </cell>
          <cell r="O286" t="str">
            <v>Belanja Perjalanan Dinas Paket Meeting Dalam Kota</v>
          </cell>
          <cell r="P286" t="str">
            <v>841/L3/TU/KA.11.00/2019</v>
          </cell>
          <cell r="Q286" t="str">
            <v>15 Mei 2019</v>
          </cell>
          <cell r="R286" t="str">
            <v>ya</v>
          </cell>
          <cell r="S286">
            <v>150000</v>
          </cell>
          <cell r="T286">
            <v>3138400</v>
          </cell>
          <cell r="U286" t="str">
            <v>ya</v>
          </cell>
          <cell r="V286">
            <v>0</v>
          </cell>
          <cell r="W286">
            <v>0</v>
          </cell>
          <cell r="X286">
            <v>0</v>
          </cell>
          <cell r="Z286">
            <v>0</v>
          </cell>
          <cell r="AB286">
            <v>0</v>
          </cell>
          <cell r="AD286">
            <v>0</v>
          </cell>
          <cell r="AE286" t="str">
            <v>ya</v>
          </cell>
          <cell r="AF286">
            <v>210000</v>
          </cell>
          <cell r="AH286" t="str">
            <v xml:space="preserve">Angkutan Umum </v>
          </cell>
          <cell r="AI286" t="str">
            <v>Universitas Yarsi</v>
          </cell>
        </row>
        <row r="287">
          <cell r="A287">
            <v>286</v>
          </cell>
          <cell r="B287" t="str">
            <v>Sukiyana</v>
          </cell>
          <cell r="C287" t="str">
            <v>196812081989021001</v>
          </cell>
          <cell r="D287" t="str">
            <v>Petugas Keamanan pada Sub. Bagian Tata Usaha pada Bagian Umum</v>
          </cell>
          <cell r="E287" t="str">
            <v>II/c</v>
          </cell>
          <cell r="F287" t="str">
            <v>688766344005000</v>
          </cell>
          <cell r="G287" t="str">
            <v>Pengatur</v>
          </cell>
          <cell r="H287" t="str">
            <v>Melakukan Monitoring dan Evaluasi ke Universitas Yarsi</v>
          </cell>
          <cell r="I287" t="str">
            <v>DKI Jakarta</v>
          </cell>
          <cell r="J287" t="str">
            <v>DKI Jakarta</v>
          </cell>
          <cell r="K287">
            <v>1</v>
          </cell>
          <cell r="L287" t="str">
            <v>20 Mei 2019</v>
          </cell>
          <cell r="M287" t="str">
            <v>20 Mei 2019</v>
          </cell>
          <cell r="N287">
            <v>524114</v>
          </cell>
          <cell r="O287" t="str">
            <v>Belanja Perjalanan Dinas Paket Meeting Dalam Kota</v>
          </cell>
          <cell r="P287" t="str">
            <v>841/L3/TU/KA.11.00/2019</v>
          </cell>
          <cell r="Q287" t="str">
            <v>15 Mei 2019</v>
          </cell>
          <cell r="R287" t="str">
            <v>ya</v>
          </cell>
          <cell r="S287">
            <v>150000</v>
          </cell>
          <cell r="T287">
            <v>3138400</v>
          </cell>
          <cell r="U287" t="str">
            <v>ya</v>
          </cell>
          <cell r="V287">
            <v>0</v>
          </cell>
          <cell r="W287">
            <v>0</v>
          </cell>
          <cell r="X287">
            <v>0</v>
          </cell>
          <cell r="Z287">
            <v>0</v>
          </cell>
          <cell r="AB287">
            <v>0</v>
          </cell>
          <cell r="AD287">
            <v>0</v>
          </cell>
          <cell r="AE287" t="str">
            <v>ya</v>
          </cell>
          <cell r="AF287">
            <v>210000</v>
          </cell>
          <cell r="AH287" t="str">
            <v xml:space="preserve">Angkutan Umum </v>
          </cell>
          <cell r="AI287" t="str">
            <v>Universitas Yarsi</v>
          </cell>
        </row>
        <row r="288">
          <cell r="A288">
            <v>287</v>
          </cell>
          <cell r="B288" t="str">
            <v>Norsanty</v>
          </cell>
          <cell r="C288" t="str">
            <v>196411031992032001</v>
          </cell>
          <cell r="D288" t="str">
            <v>Kepala Bagian Kelembagaan dan Sistem Informasi</v>
          </cell>
          <cell r="E288" t="str">
            <v>III/d</v>
          </cell>
          <cell r="F288" t="str">
            <v>686766484412000</v>
          </cell>
          <cell r="G288" t="str">
            <v>Penata Tk. I</v>
          </cell>
          <cell r="H288" t="str">
            <v>Melakukan Monitoring dan Evaluasi ke Sekolah Tinggi Ilmu Ekonomi BPKP</v>
          </cell>
          <cell r="I288" t="str">
            <v>DKI Jakarta</v>
          </cell>
          <cell r="J288" t="str">
            <v>DKI Jakarta</v>
          </cell>
          <cell r="K288">
            <v>1</v>
          </cell>
          <cell r="L288" t="str">
            <v>21 Mei 2019</v>
          </cell>
          <cell r="M288" t="str">
            <v>21 Mei 2019</v>
          </cell>
          <cell r="N288">
            <v>524114</v>
          </cell>
          <cell r="O288" t="str">
            <v>Belanja Perjalanan Dinas Paket Meeting Dalam Kota</v>
          </cell>
          <cell r="P288" t="str">
            <v>841/L3/TU/KA.11.00/2019</v>
          </cell>
          <cell r="Q288" t="str">
            <v>15 Mei 2019</v>
          </cell>
          <cell r="R288" t="str">
            <v>ya</v>
          </cell>
          <cell r="S288">
            <v>150000</v>
          </cell>
          <cell r="T288">
            <v>3138400</v>
          </cell>
          <cell r="U288" t="str">
            <v>ya</v>
          </cell>
          <cell r="V288">
            <v>0</v>
          </cell>
          <cell r="W288">
            <v>0</v>
          </cell>
          <cell r="X288">
            <v>0</v>
          </cell>
          <cell r="Z288">
            <v>0</v>
          </cell>
          <cell r="AB288">
            <v>0</v>
          </cell>
          <cell r="AD288">
            <v>0</v>
          </cell>
          <cell r="AE288" t="str">
            <v>ya</v>
          </cell>
          <cell r="AF288">
            <v>210000</v>
          </cell>
          <cell r="AH288" t="str">
            <v xml:space="preserve">Angkutan Umum </v>
          </cell>
          <cell r="AI288" t="str">
            <v>Sekolah Tinggi Ilmu Ekonomi BPKP</v>
          </cell>
        </row>
        <row r="289">
          <cell r="A289">
            <v>288</v>
          </cell>
          <cell r="B289" t="str">
            <v>Yan Medya Putri</v>
          </cell>
          <cell r="C289" t="str">
            <v>197101162005012001</v>
          </cell>
          <cell r="D289" t="str">
            <v>Pengelola Keuangan pada Sub. Bagian Keuangan pada Bagian Umum</v>
          </cell>
          <cell r="E289" t="str">
            <v>III/d</v>
          </cell>
          <cell r="F289" t="str">
            <v>594025884432000</v>
          </cell>
          <cell r="G289" t="str">
            <v>Penata Tk. I</v>
          </cell>
          <cell r="H289" t="str">
            <v>Melakukan Monitoring dan Evaluasi ke Sekolah Tinggi Ilmu Ekonomi BPKP</v>
          </cell>
          <cell r="I289" t="str">
            <v>DKI Jakarta</v>
          </cell>
          <cell r="J289" t="str">
            <v>DKI Jakarta</v>
          </cell>
          <cell r="K289">
            <v>1</v>
          </cell>
          <cell r="L289" t="str">
            <v>21 Mei 2019</v>
          </cell>
          <cell r="M289" t="str">
            <v>21 Mei 2019</v>
          </cell>
          <cell r="N289">
            <v>524114</v>
          </cell>
          <cell r="O289" t="str">
            <v>Belanja Perjalanan Dinas Paket Meeting Dalam Kota</v>
          </cell>
          <cell r="P289" t="str">
            <v>841/L3/TU/KA.11.00/2019</v>
          </cell>
          <cell r="Q289" t="str">
            <v>15 Mei 2019</v>
          </cell>
          <cell r="R289" t="str">
            <v>ya</v>
          </cell>
          <cell r="S289">
            <v>150000</v>
          </cell>
          <cell r="T289">
            <v>3138400</v>
          </cell>
          <cell r="U289" t="str">
            <v>ya</v>
          </cell>
          <cell r="V289">
            <v>0</v>
          </cell>
          <cell r="W289">
            <v>0</v>
          </cell>
          <cell r="X289">
            <v>0</v>
          </cell>
          <cell r="Z289">
            <v>0</v>
          </cell>
          <cell r="AB289">
            <v>0</v>
          </cell>
          <cell r="AD289">
            <v>0</v>
          </cell>
          <cell r="AE289" t="str">
            <v>ya</v>
          </cell>
          <cell r="AF289">
            <v>210000</v>
          </cell>
          <cell r="AH289" t="str">
            <v xml:space="preserve">Angkutan Umum </v>
          </cell>
          <cell r="AI289" t="str">
            <v>Sekolah Tinggi Ilmu Ekonomi BPKP</v>
          </cell>
        </row>
        <row r="290">
          <cell r="A290">
            <v>289</v>
          </cell>
          <cell r="B290" t="str">
            <v>Mulhadi HM</v>
          </cell>
          <cell r="C290" t="str">
            <v>199204072015041001</v>
          </cell>
          <cell r="D290" t="str">
            <v>Analis Kelembagaan pada Seksi Kelembagaan, dan Kerjasama pada Bidang Kelembagaan, dan Sistem Informasi</v>
          </cell>
          <cell r="E290" t="str">
            <v>III/a</v>
          </cell>
          <cell r="F290" t="str">
            <v>737792366005000</v>
          </cell>
          <cell r="G290" t="str">
            <v>Penata Muda</v>
          </cell>
          <cell r="H290" t="str">
            <v>Melakukan Monitoring dan Evaluasi ke Sekolah Tinggi Ilmu Ekonomi BPKP</v>
          </cell>
          <cell r="I290" t="str">
            <v>DKI Jakarta</v>
          </cell>
          <cell r="J290" t="str">
            <v>DKI Jakarta</v>
          </cell>
          <cell r="K290">
            <v>1</v>
          </cell>
          <cell r="L290" t="str">
            <v>21 Mei 2019</v>
          </cell>
          <cell r="M290" t="str">
            <v>21 Mei 2019</v>
          </cell>
          <cell r="N290">
            <v>524114</v>
          </cell>
          <cell r="O290" t="str">
            <v>Belanja Perjalanan Dinas Paket Meeting Dalam Kota</v>
          </cell>
          <cell r="P290" t="str">
            <v>841/L3/TU/KA.11.00/2019</v>
          </cell>
          <cell r="Q290" t="str">
            <v>15 Mei 2019</v>
          </cell>
          <cell r="R290" t="str">
            <v>ya</v>
          </cell>
          <cell r="S290">
            <v>150000</v>
          </cell>
          <cell r="T290">
            <v>3138400</v>
          </cell>
          <cell r="U290" t="str">
            <v>ya</v>
          </cell>
          <cell r="V290">
            <v>0</v>
          </cell>
          <cell r="W290">
            <v>0</v>
          </cell>
          <cell r="X290">
            <v>0</v>
          </cell>
          <cell r="Z290">
            <v>0</v>
          </cell>
          <cell r="AB290">
            <v>0</v>
          </cell>
          <cell r="AD290">
            <v>0</v>
          </cell>
          <cell r="AE290" t="str">
            <v>ya</v>
          </cell>
          <cell r="AF290">
            <v>210000</v>
          </cell>
          <cell r="AH290" t="str">
            <v xml:space="preserve">Angkutan Umum </v>
          </cell>
          <cell r="AI290" t="str">
            <v>Sekolah Tinggi Ilmu Ekonomi BPKP</v>
          </cell>
        </row>
        <row r="291">
          <cell r="A291">
            <v>290</v>
          </cell>
          <cell r="B291" t="str">
            <v>Mohammad Hidayat</v>
          </cell>
          <cell r="C291" t="str">
            <v>196410311987031001</v>
          </cell>
          <cell r="D291" t="str">
            <v>Pengelola Informasi Kerjasama pada Seksi Kelembagaan, dan Kerjasama pada Bidang Kelembagaan, dan Sistem Informasi</v>
          </cell>
          <cell r="E291" t="str">
            <v>IV/a</v>
          </cell>
          <cell r="F291" t="str">
            <v>688766435412000</v>
          </cell>
          <cell r="G291" t="str">
            <v>Pembina</v>
          </cell>
          <cell r="H291" t="str">
            <v>Melakukan Monitoring dan Evaluasi ke Sekolah Tinggi Ilmu Ekonomi BPKP</v>
          </cell>
          <cell r="I291" t="str">
            <v>DKI Jakarta</v>
          </cell>
          <cell r="J291" t="str">
            <v>DKI Jakarta</v>
          </cell>
          <cell r="K291">
            <v>1</v>
          </cell>
          <cell r="L291" t="str">
            <v>21 Mei 2019</v>
          </cell>
          <cell r="M291" t="str">
            <v>21 Mei 2019</v>
          </cell>
          <cell r="N291">
            <v>524114</v>
          </cell>
          <cell r="O291" t="str">
            <v>Belanja Perjalanan Dinas Paket Meeting Dalam Kota</v>
          </cell>
          <cell r="P291" t="str">
            <v>841/L3/TU/KA.11.00/2019</v>
          </cell>
          <cell r="Q291" t="str">
            <v>15 Mei 2019</v>
          </cell>
          <cell r="R291" t="str">
            <v>ya</v>
          </cell>
          <cell r="S291">
            <v>150000</v>
          </cell>
          <cell r="T291">
            <v>3138400</v>
          </cell>
          <cell r="U291" t="str">
            <v>ya</v>
          </cell>
          <cell r="V291">
            <v>0</v>
          </cell>
          <cell r="W291">
            <v>0</v>
          </cell>
          <cell r="X291">
            <v>0</v>
          </cell>
          <cell r="Z291">
            <v>0</v>
          </cell>
          <cell r="AB291">
            <v>0</v>
          </cell>
          <cell r="AD291">
            <v>0</v>
          </cell>
          <cell r="AE291" t="str">
            <v>ya</v>
          </cell>
          <cell r="AF291">
            <v>210000</v>
          </cell>
          <cell r="AH291" t="str">
            <v xml:space="preserve">Angkutan Umum </v>
          </cell>
          <cell r="AI291" t="str">
            <v>Sekolah Tinggi Ilmu Ekonomi BPKP</v>
          </cell>
        </row>
        <row r="292">
          <cell r="A292">
            <v>291</v>
          </cell>
          <cell r="B292" t="str">
            <v>Sigit Nugroho</v>
          </cell>
          <cell r="C292" t="str">
            <v>-</v>
          </cell>
          <cell r="D292" t="str">
            <v>PPNPN</v>
          </cell>
          <cell r="E292" t="str">
            <v>-</v>
          </cell>
          <cell r="F292" t="str">
            <v>865743249004000</v>
          </cell>
          <cell r="G292" t="str">
            <v>-</v>
          </cell>
          <cell r="H292" t="str">
            <v>Melakukan Monitoring dan Evaluasi ke Sekolah Tinggi Ilmu Ekonomi BPKP</v>
          </cell>
          <cell r="I292" t="str">
            <v>DKI Jakarta</v>
          </cell>
          <cell r="J292" t="str">
            <v>DKI Jakarta</v>
          </cell>
          <cell r="K292">
            <v>1</v>
          </cell>
          <cell r="L292" t="str">
            <v>21 Mei 2019</v>
          </cell>
          <cell r="M292" t="str">
            <v>21 Mei 2019</v>
          </cell>
          <cell r="N292">
            <v>524114</v>
          </cell>
          <cell r="O292" t="str">
            <v>Belanja Perjalanan Dinas Paket Meeting Dalam Kota</v>
          </cell>
          <cell r="P292" t="str">
            <v>841/L3/TU/KA.11.00/2019</v>
          </cell>
          <cell r="Q292" t="str">
            <v>15 Mei 2019</v>
          </cell>
          <cell r="R292" t="str">
            <v>ya</v>
          </cell>
          <cell r="S292">
            <v>150000</v>
          </cell>
          <cell r="T292">
            <v>3138400</v>
          </cell>
          <cell r="U292" t="str">
            <v>ya</v>
          </cell>
          <cell r="V292">
            <v>0</v>
          </cell>
          <cell r="W292">
            <v>0</v>
          </cell>
          <cell r="X292">
            <v>0</v>
          </cell>
          <cell r="Z292">
            <v>0</v>
          </cell>
          <cell r="AB292">
            <v>0</v>
          </cell>
          <cell r="AD292">
            <v>0</v>
          </cell>
          <cell r="AE292" t="str">
            <v>ya</v>
          </cell>
          <cell r="AF292">
            <v>210000</v>
          </cell>
          <cell r="AH292" t="str">
            <v xml:space="preserve">Angkutan Umum </v>
          </cell>
          <cell r="AI292" t="str">
            <v>Sekolah Tinggi Ilmu Ekonomi BPKP</v>
          </cell>
        </row>
        <row r="293">
          <cell r="A293">
            <v>292</v>
          </cell>
          <cell r="B293" t="str">
            <v>Sugiarto</v>
          </cell>
          <cell r="C293" t="str">
            <v>196303021985101001</v>
          </cell>
          <cell r="D293" t="str">
            <v>Pengelola Informasi Kerjasama pada Seksi Kelembagaan, dan Kerjasama pada Bidang Kelembagaan, dan Sistem Informasi</v>
          </cell>
          <cell r="E293" t="str">
            <v>III/b</v>
          </cell>
          <cell r="F293" t="str">
            <v>688766377024000</v>
          </cell>
          <cell r="G293" t="str">
            <v>Penata Muda Tk. I</v>
          </cell>
          <cell r="H293" t="str">
            <v>Melakukan Monitoring dan Evaluasi ke Akademi Farmasi Bhumi Persada</v>
          </cell>
          <cell r="I293" t="str">
            <v>DKI Jakarta</v>
          </cell>
          <cell r="J293" t="str">
            <v>DKI Jakarta</v>
          </cell>
          <cell r="K293">
            <v>1</v>
          </cell>
          <cell r="L293" t="str">
            <v>21 Mei 2019</v>
          </cell>
          <cell r="M293" t="str">
            <v>21 Mei 2019</v>
          </cell>
          <cell r="N293">
            <v>524114</v>
          </cell>
          <cell r="O293" t="str">
            <v>Belanja Perjalanan Dinas Paket Meeting Dalam Kota</v>
          </cell>
          <cell r="P293" t="str">
            <v>841/L3/TU/KA.11.00/2019</v>
          </cell>
          <cell r="Q293" t="str">
            <v>15 Mei 2019</v>
          </cell>
          <cell r="R293" t="str">
            <v>ya</v>
          </cell>
          <cell r="S293">
            <v>150000</v>
          </cell>
          <cell r="T293">
            <v>3138400</v>
          </cell>
          <cell r="U293" t="str">
            <v>ya</v>
          </cell>
          <cell r="V293">
            <v>0</v>
          </cell>
          <cell r="W293">
            <v>0</v>
          </cell>
          <cell r="X293">
            <v>0</v>
          </cell>
          <cell r="Z293">
            <v>0</v>
          </cell>
          <cell r="AB293">
            <v>0</v>
          </cell>
          <cell r="AD293">
            <v>0</v>
          </cell>
          <cell r="AE293" t="str">
            <v>ya</v>
          </cell>
          <cell r="AF293">
            <v>210000</v>
          </cell>
          <cell r="AH293" t="str">
            <v xml:space="preserve">Angkutan Umum </v>
          </cell>
          <cell r="AI293" t="str">
            <v>Akademi Farmasi Bhumi Perasada</v>
          </cell>
        </row>
        <row r="294">
          <cell r="A294">
            <v>293</v>
          </cell>
          <cell r="B294" t="str">
            <v>Taufan Setyo Pranggono</v>
          </cell>
          <cell r="C294" t="str">
            <v>198303162010121006</v>
          </cell>
          <cell r="D294" t="str">
            <v>Analis Organisasi dan Tata Laksana pada Sub. Bagian Kepegawaian pada Bagian Umum</v>
          </cell>
          <cell r="E294" t="str">
            <v>III/b</v>
          </cell>
          <cell r="F294" t="str">
            <v>367289113432000</v>
          </cell>
          <cell r="G294" t="str">
            <v>Penata Muda Tk. I</v>
          </cell>
          <cell r="H294" t="str">
            <v>Melakukan Monitoring dan Evaluasi ke Akademi Farmasi Bhumi Persada</v>
          </cell>
          <cell r="I294" t="str">
            <v>DKI Jakarta</v>
          </cell>
          <cell r="J294" t="str">
            <v>DKI Jakarta</v>
          </cell>
          <cell r="K294">
            <v>1</v>
          </cell>
          <cell r="L294" t="str">
            <v>21 Mei 2019</v>
          </cell>
          <cell r="M294" t="str">
            <v>21 Mei 2019</v>
          </cell>
          <cell r="N294">
            <v>524114</v>
          </cell>
          <cell r="O294" t="str">
            <v>Belanja Perjalanan Dinas Paket Meeting Dalam Kota</v>
          </cell>
          <cell r="P294" t="str">
            <v>841/L3/TU/KA.11.00/2019</v>
          </cell>
          <cell r="Q294" t="str">
            <v>15 Mei 2019</v>
          </cell>
          <cell r="R294" t="str">
            <v>ya</v>
          </cell>
          <cell r="S294">
            <v>150000</v>
          </cell>
          <cell r="T294">
            <v>3138400</v>
          </cell>
          <cell r="U294" t="str">
            <v>ya</v>
          </cell>
          <cell r="V294">
            <v>0</v>
          </cell>
          <cell r="W294">
            <v>0</v>
          </cell>
          <cell r="X294">
            <v>0</v>
          </cell>
          <cell r="Z294">
            <v>0</v>
          </cell>
          <cell r="AB294">
            <v>0</v>
          </cell>
          <cell r="AD294">
            <v>0</v>
          </cell>
          <cell r="AE294" t="str">
            <v>ya</v>
          </cell>
          <cell r="AF294">
            <v>210000</v>
          </cell>
          <cell r="AH294" t="str">
            <v xml:space="preserve">Angkutan Umum </v>
          </cell>
          <cell r="AI294" t="str">
            <v>Akademi Farmasi Bhumi Perasada</v>
          </cell>
        </row>
        <row r="295">
          <cell r="A295">
            <v>294</v>
          </cell>
          <cell r="B295" t="str">
            <v>Mudlikah</v>
          </cell>
          <cell r="C295" t="str">
            <v>196303111987032001</v>
          </cell>
          <cell r="D295" t="str">
            <v xml:space="preserve">Pengadministrasi Persuratan pada Sub. Bagian Tata Usaha pada Bagian Umum        </v>
          </cell>
          <cell r="E295" t="str">
            <v>III/d</v>
          </cell>
          <cell r="F295" t="str">
            <v>688766492017000</v>
          </cell>
          <cell r="G295" t="str">
            <v>Penata Tk. I</v>
          </cell>
          <cell r="H295" t="str">
            <v>Melakukan Monitoring dan Evaluasi ke Akademi Farmasi Bhumi Persada</v>
          </cell>
          <cell r="I295" t="str">
            <v>DKI Jakarta</v>
          </cell>
          <cell r="J295" t="str">
            <v>DKI Jakarta</v>
          </cell>
          <cell r="K295">
            <v>1</v>
          </cell>
          <cell r="L295" t="str">
            <v>21 Mei 2019</v>
          </cell>
          <cell r="M295" t="str">
            <v>21 Mei 2019</v>
          </cell>
          <cell r="N295">
            <v>524114</v>
          </cell>
          <cell r="O295" t="str">
            <v>Belanja Perjalanan Dinas Paket Meeting Dalam Kota</v>
          </cell>
          <cell r="P295" t="str">
            <v>841/L3/TU/KA.11.00/2019</v>
          </cell>
          <cell r="Q295" t="str">
            <v>15 Mei 2019</v>
          </cell>
          <cell r="R295" t="str">
            <v>ya</v>
          </cell>
          <cell r="S295">
            <v>150000</v>
          </cell>
          <cell r="T295">
            <v>3138400</v>
          </cell>
          <cell r="U295" t="str">
            <v>ya</v>
          </cell>
          <cell r="V295">
            <v>0</v>
          </cell>
          <cell r="W295">
            <v>0</v>
          </cell>
          <cell r="X295">
            <v>0</v>
          </cell>
          <cell r="Z295">
            <v>0</v>
          </cell>
          <cell r="AB295">
            <v>0</v>
          </cell>
          <cell r="AD295">
            <v>0</v>
          </cell>
          <cell r="AE295" t="str">
            <v>ya</v>
          </cell>
          <cell r="AF295">
            <v>210000</v>
          </cell>
          <cell r="AH295" t="str">
            <v xml:space="preserve">Angkutan Umum </v>
          </cell>
          <cell r="AI295" t="str">
            <v>Akademi Farmasi Bhumi Perasada</v>
          </cell>
        </row>
        <row r="296">
          <cell r="A296">
            <v>295</v>
          </cell>
          <cell r="B296" t="str">
            <v>Siti Sulastri</v>
          </cell>
          <cell r="C296" t="str">
            <v>196407041988032001</v>
          </cell>
          <cell r="D296" t="str">
            <v>Penyusun Bahan Publikasi pada Seksi Sistem Informasi pada Bidang Kelembagaan, dan Sistem Informasi</v>
          </cell>
          <cell r="E296" t="str">
            <v>III/d</v>
          </cell>
          <cell r="F296" t="str">
            <v>688766476432000</v>
          </cell>
          <cell r="G296" t="str">
            <v>Penata Tk. I</v>
          </cell>
          <cell r="H296" t="str">
            <v>Melakukan Monitoring dan Evaluasi ke Akademi Farmasi Bhumi Persada</v>
          </cell>
          <cell r="I296" t="str">
            <v>DKI Jakarta</v>
          </cell>
          <cell r="J296" t="str">
            <v>DKI Jakarta</v>
          </cell>
          <cell r="K296">
            <v>1</v>
          </cell>
          <cell r="L296" t="str">
            <v>21 Mei 2019</v>
          </cell>
          <cell r="M296" t="str">
            <v>21 Mei 2019</v>
          </cell>
          <cell r="N296">
            <v>524114</v>
          </cell>
          <cell r="O296" t="str">
            <v>Belanja Perjalanan Dinas Paket Meeting Dalam Kota</v>
          </cell>
          <cell r="P296" t="str">
            <v>841/L3/TU/KA.11.00/2019</v>
          </cell>
          <cell r="Q296" t="str">
            <v>15 Mei 2019</v>
          </cell>
          <cell r="R296" t="str">
            <v>ya</v>
          </cell>
          <cell r="S296">
            <v>150000</v>
          </cell>
          <cell r="T296">
            <v>3138400</v>
          </cell>
          <cell r="U296" t="str">
            <v>ya</v>
          </cell>
          <cell r="V296">
            <v>0</v>
          </cell>
          <cell r="W296">
            <v>0</v>
          </cell>
          <cell r="X296">
            <v>0</v>
          </cell>
          <cell r="Z296">
            <v>0</v>
          </cell>
          <cell r="AB296">
            <v>0</v>
          </cell>
          <cell r="AD296">
            <v>0</v>
          </cell>
          <cell r="AE296" t="str">
            <v>ya</v>
          </cell>
          <cell r="AF296">
            <v>210000</v>
          </cell>
          <cell r="AH296" t="str">
            <v xml:space="preserve">Angkutan Umum </v>
          </cell>
          <cell r="AI296" t="str">
            <v>Akademi Farmasi Bhumi Perasada</v>
          </cell>
        </row>
        <row r="297">
          <cell r="A297">
            <v>296</v>
          </cell>
          <cell r="B297" t="str">
            <v>Nur Fadillah</v>
          </cell>
          <cell r="C297" t="str">
            <v>198603192009122007</v>
          </cell>
          <cell r="D297" t="str">
            <v>Pengadministrasi Keuangan pada Sub. Bagian Keuangan pada Bagian Umum</v>
          </cell>
          <cell r="E297" t="str">
            <v>III/b</v>
          </cell>
          <cell r="F297" t="str">
            <v>348345349432000</v>
          </cell>
          <cell r="G297" t="str">
            <v>Penata Muda Tk. I</v>
          </cell>
          <cell r="H297" t="str">
            <v>Melakukan Monitoring dan Evaluasi ke Akademi Farmasi Bhumi Persada</v>
          </cell>
          <cell r="I297" t="str">
            <v>DKI Jakarta</v>
          </cell>
          <cell r="J297" t="str">
            <v>DKI Jakarta</v>
          </cell>
          <cell r="K297">
            <v>1</v>
          </cell>
          <cell r="L297" t="str">
            <v>21 Mei 2019</v>
          </cell>
          <cell r="M297" t="str">
            <v>21 Mei 2019</v>
          </cell>
          <cell r="N297">
            <v>524114</v>
          </cell>
          <cell r="O297" t="str">
            <v>Belanja Perjalanan Dinas Paket Meeting Dalam Kota</v>
          </cell>
          <cell r="P297" t="str">
            <v>841/L3/TU/KA.11.00/2019</v>
          </cell>
          <cell r="Q297" t="str">
            <v>15 Mei 2019</v>
          </cell>
          <cell r="R297" t="str">
            <v>ya</v>
          </cell>
          <cell r="S297">
            <v>150000</v>
          </cell>
          <cell r="T297">
            <v>3138400</v>
          </cell>
          <cell r="U297" t="str">
            <v>ya</v>
          </cell>
          <cell r="V297">
            <v>0</v>
          </cell>
          <cell r="W297">
            <v>0</v>
          </cell>
          <cell r="X297">
            <v>0</v>
          </cell>
          <cell r="Z297">
            <v>0</v>
          </cell>
          <cell r="AB297">
            <v>0</v>
          </cell>
          <cell r="AD297">
            <v>0</v>
          </cell>
          <cell r="AE297" t="str">
            <v>ya</v>
          </cell>
          <cell r="AF297">
            <v>210000</v>
          </cell>
          <cell r="AH297" t="str">
            <v xml:space="preserve">Angkutan Umum </v>
          </cell>
          <cell r="AI297" t="str">
            <v>Akademi Farmasi Bhumi Perasada</v>
          </cell>
        </row>
        <row r="298">
          <cell r="A298">
            <v>297</v>
          </cell>
          <cell r="B298" t="str">
            <v>Mulhadi HM</v>
          </cell>
          <cell r="C298" t="str">
            <v>199204072015041001</v>
          </cell>
          <cell r="D298" t="str">
            <v>Analis Kelembagaan pada Seksi Kelembagaan, dan Kerjasama pada Bidang Kelembagaan, dan Sistem Informasi</v>
          </cell>
          <cell r="E298" t="str">
            <v>III/a</v>
          </cell>
          <cell r="F298" t="str">
            <v>737792366005000</v>
          </cell>
          <cell r="G298" t="str">
            <v>Penata Muda</v>
          </cell>
          <cell r="H298" t="str">
            <v>Melakukan Uji Petik Mendampingi Tim Itjen Melakukan Audit Kinerja atas Pelaksanaan Pelayanan Pengelolaan Perguruan Tinggi di LLDIKTI Wil III pada PTS Universitas Nasional dan Universitas Satya Negara Indonesia, Sesuai surat Itjen No. 747/G.G2/PA.00.00/2019</v>
          </cell>
          <cell r="I298" t="str">
            <v>DKI Jakarta</v>
          </cell>
          <cell r="J298" t="str">
            <v>DKI Jakarta</v>
          </cell>
          <cell r="K298">
            <v>1</v>
          </cell>
          <cell r="L298" t="str">
            <v>9 Juli 2019</v>
          </cell>
          <cell r="M298" t="str">
            <v>9 Juli 2019</v>
          </cell>
          <cell r="N298">
            <v>524114</v>
          </cell>
          <cell r="O298" t="str">
            <v>Belanja Perjalanan Dinas Paket Meeting Dalam Kota</v>
          </cell>
          <cell r="P298" t="str">
            <v>1038/L3/TU/KA.11.00/2019</v>
          </cell>
          <cell r="Q298" t="str">
            <v>3 Juli 2019</v>
          </cell>
          <cell r="R298" t="str">
            <v>ya</v>
          </cell>
          <cell r="S298">
            <v>150000</v>
          </cell>
          <cell r="T298">
            <v>3138400</v>
          </cell>
          <cell r="U298" t="str">
            <v>ya</v>
          </cell>
          <cell r="V298">
            <v>0</v>
          </cell>
          <cell r="W298">
            <v>0</v>
          </cell>
          <cell r="X298">
            <v>0</v>
          </cell>
          <cell r="Z298">
            <v>0</v>
          </cell>
          <cell r="AB298">
            <v>0</v>
          </cell>
          <cell r="AD298">
            <v>0</v>
          </cell>
          <cell r="AE298" t="str">
            <v>ya</v>
          </cell>
          <cell r="AF298">
            <v>210000</v>
          </cell>
          <cell r="AH298" t="str">
            <v xml:space="preserve">Angkutan Umum </v>
          </cell>
          <cell r="AI298" t="str">
            <v>Universitas Nasional dan Universitas Satya Negara Indonesia</v>
          </cell>
        </row>
        <row r="299">
          <cell r="A299">
            <v>298</v>
          </cell>
          <cell r="B299" t="str">
            <v>Tri Munanto</v>
          </cell>
          <cell r="C299" t="str">
            <v>198601212010121003</v>
          </cell>
          <cell r="D299" t="str">
            <v>Analis Kelembagaan pada Seksi Kelembagaan, dan Kerjasama pada Bidang Kelembagaan, dan Sistem Informasi</v>
          </cell>
          <cell r="E299" t="str">
            <v>III/b</v>
          </cell>
          <cell r="F299" t="str">
            <v>248877086013000</v>
          </cell>
          <cell r="G299" t="str">
            <v>Penata Muda Tk. I</v>
          </cell>
          <cell r="H299" t="str">
            <v>Melakukan Uji Petik Mendampingi Tim Itjen Melakukan Audit Kinerja atas Pelaksanaan Pelayanan Pengelolaan Perguruan Tinggi di LLDIKTI Wil III pada PTS Universitas Azahra dan Universitas Borobudur, Sesuai surat Itjen No. 747/G.G2/PA.00.00/2019</v>
          </cell>
          <cell r="I299" t="str">
            <v>DKI Jakarta</v>
          </cell>
          <cell r="J299" t="str">
            <v>DKI Jakarta</v>
          </cell>
          <cell r="K299">
            <v>1</v>
          </cell>
          <cell r="L299" t="str">
            <v>10 Juli 2019</v>
          </cell>
          <cell r="M299" t="str">
            <v>10 Juli 2019</v>
          </cell>
          <cell r="N299">
            <v>524114</v>
          </cell>
          <cell r="O299" t="str">
            <v>Belanja Perjalanan Dinas Paket Meeting Dalam Kota</v>
          </cell>
          <cell r="P299" t="str">
            <v>1040/L3/TU/KA.11.00/2019</v>
          </cell>
          <cell r="Q299" t="str">
            <v>3 Juli 2019</v>
          </cell>
          <cell r="R299" t="str">
            <v>ya</v>
          </cell>
          <cell r="S299">
            <v>150000</v>
          </cell>
          <cell r="T299">
            <v>3138400</v>
          </cell>
          <cell r="U299" t="str">
            <v>ya</v>
          </cell>
          <cell r="V299">
            <v>0</v>
          </cell>
          <cell r="W299">
            <v>0</v>
          </cell>
          <cell r="X299">
            <v>0</v>
          </cell>
          <cell r="Z299">
            <v>0</v>
          </cell>
          <cell r="AB299">
            <v>0</v>
          </cell>
          <cell r="AD299">
            <v>0</v>
          </cell>
          <cell r="AE299" t="str">
            <v>ya</v>
          </cell>
          <cell r="AF299">
            <v>210000</v>
          </cell>
          <cell r="AH299" t="str">
            <v xml:space="preserve">Angkutan Umum </v>
          </cell>
          <cell r="AI299" t="str">
            <v>Universitas Azzahra dan Universitas Borobudur</v>
          </cell>
        </row>
        <row r="300">
          <cell r="A300">
            <v>299</v>
          </cell>
          <cell r="B300" t="str">
            <v>Hidayat</v>
          </cell>
          <cell r="C300" t="str">
            <v>198608012015041003</v>
          </cell>
          <cell r="D300" t="str">
            <v>Analis Kelembagaan pada Seksi Kelembagaan, dan Kerjasama pada Bidang Kelembagaan, dan Sistem Informasi</v>
          </cell>
          <cell r="E300" t="str">
            <v>III/a</v>
          </cell>
          <cell r="F300" t="str">
            <v>678348889009000</v>
          </cell>
          <cell r="G300" t="str">
            <v>Penata Muda</v>
          </cell>
          <cell r="H300" t="str">
            <v>Melakukan Uji Petik Mendampingi Tim Itjen Melakukan Audit Kinerja atas Pelaksanaan Pelayanan Pengelolaan Perguruan Tinggi di LLDIKTI Wil III pada PTS Universitas Azahra dan Universitas Borobudur, Sesuai surat Itjen No. 747/G.G2/PA.00.00/2019</v>
          </cell>
          <cell r="I300" t="str">
            <v>DKI Jakarta</v>
          </cell>
          <cell r="J300" t="str">
            <v>DKI Jakarta</v>
          </cell>
          <cell r="K300">
            <v>1</v>
          </cell>
          <cell r="L300" t="str">
            <v>10 Juli 2019</v>
          </cell>
          <cell r="M300" t="str">
            <v>10 Juli 2019</v>
          </cell>
          <cell r="N300">
            <v>524114</v>
          </cell>
          <cell r="O300" t="str">
            <v>Belanja Perjalanan Dinas Paket Meeting Dalam Kota</v>
          </cell>
          <cell r="P300" t="str">
            <v>1040/L3/TU/KA.11.00/2019</v>
          </cell>
          <cell r="Q300" t="str">
            <v>3 Juli 2019</v>
          </cell>
          <cell r="R300" t="str">
            <v>ya</v>
          </cell>
          <cell r="S300">
            <v>150000</v>
          </cell>
          <cell r="T300">
            <v>3138400</v>
          </cell>
          <cell r="U300" t="str">
            <v>ya</v>
          </cell>
          <cell r="V300">
            <v>0</v>
          </cell>
          <cell r="W300">
            <v>0</v>
          </cell>
          <cell r="X300">
            <v>0</v>
          </cell>
          <cell r="Z300">
            <v>0</v>
          </cell>
          <cell r="AB300">
            <v>0</v>
          </cell>
          <cell r="AD300">
            <v>0</v>
          </cell>
          <cell r="AE300" t="str">
            <v>ya</v>
          </cell>
          <cell r="AF300">
            <v>210000</v>
          </cell>
          <cell r="AH300" t="str">
            <v xml:space="preserve">Angkutan Umum </v>
          </cell>
          <cell r="AI300" t="str">
            <v>Universitas Azzahra dan Universitas Borobudur</v>
          </cell>
        </row>
        <row r="301">
          <cell r="A301">
            <v>300</v>
          </cell>
          <cell r="B301" t="str">
            <v>Yan Medya Putri</v>
          </cell>
          <cell r="C301" t="str">
            <v>197101162005012001</v>
          </cell>
          <cell r="D301" t="str">
            <v>Pengelola Keuangan pada Sub. Bagian Keuangan pada Bagian Umum</v>
          </cell>
          <cell r="E301" t="str">
            <v>III/d</v>
          </cell>
          <cell r="F301" t="str">
            <v>594025884432000</v>
          </cell>
          <cell r="G301" t="str">
            <v>Penata Tk. I</v>
          </cell>
          <cell r="H301" t="str">
            <v>Melakukan Uji Petik Mendampingi Tim Itjen Melakukan Audit Kinerja atas Pelaksanaan Pelayanan Pengelolaan Perguruan Tinggi di LLDIKTI Wil III pada PTS Universitas Nasional dan Universitas Satya Negara Indonesia, Sesuai surat Itjen No. 747/G.G2/PA.00.00/2019</v>
          </cell>
          <cell r="I301" t="str">
            <v>DKI Jakarta</v>
          </cell>
          <cell r="J301" t="str">
            <v>DKI Jakarta</v>
          </cell>
          <cell r="K301">
            <v>1</v>
          </cell>
          <cell r="L301" t="str">
            <v>9 Juli 2019</v>
          </cell>
          <cell r="M301" t="str">
            <v>9 Juli 2019</v>
          </cell>
          <cell r="N301">
            <v>524114</v>
          </cell>
          <cell r="O301" t="str">
            <v>Belanja Perjalanan Dinas Paket Meeting Dalam Kota</v>
          </cell>
          <cell r="P301" t="str">
            <v>1137/L3/TU/KA.11.00/2019</v>
          </cell>
          <cell r="Q301" t="str">
            <v>3 Juli 2019</v>
          </cell>
          <cell r="R301" t="str">
            <v>ya</v>
          </cell>
          <cell r="S301">
            <v>150000</v>
          </cell>
          <cell r="T301">
            <v>3138400</v>
          </cell>
          <cell r="U301" t="str">
            <v>ya</v>
          </cell>
          <cell r="V301">
            <v>0</v>
          </cell>
          <cell r="W301">
            <v>0</v>
          </cell>
          <cell r="X301">
            <v>0</v>
          </cell>
          <cell r="Z301">
            <v>0</v>
          </cell>
          <cell r="AB301">
            <v>0</v>
          </cell>
          <cell r="AD301">
            <v>0</v>
          </cell>
          <cell r="AE301" t="str">
            <v>ya</v>
          </cell>
          <cell r="AF301">
            <v>210000</v>
          </cell>
          <cell r="AH301" t="str">
            <v xml:space="preserve">Angkutan Umum </v>
          </cell>
          <cell r="AI301" t="str">
            <v>Universitas Nasional dan Universitas Satya Negara Indonesia</v>
          </cell>
        </row>
        <row r="302">
          <cell r="A302">
            <v>301</v>
          </cell>
          <cell r="B302" t="str">
            <v>Zulfadli Barus</v>
          </cell>
          <cell r="C302" t="str">
            <v>19710116 200501 2001</v>
          </cell>
          <cell r="D302" t="str">
            <v>Sistem Pengendalian Internal</v>
          </cell>
          <cell r="E302">
            <v>0</v>
          </cell>
          <cell r="F302" t="str">
            <v>053825923013000</v>
          </cell>
          <cell r="G302">
            <v>0</v>
          </cell>
          <cell r="H302" t="str">
            <v>Melakukan Uji Petik Mendampingi Tim Itjen Melakukan Audit Kinerja atas Pelaksanaan Pelayanan Pengelolaan Perguruan Tinggi di LLDIKTI Wil III pada PTS Universitas Nasional dan Universitas Satya Negara Indonesia, Sesuai surat Itjen No. 747/G.G2/PA.00.00/2019</v>
          </cell>
          <cell r="I302" t="str">
            <v>DKI Jakarta</v>
          </cell>
          <cell r="J302" t="str">
            <v>DKI Jakarta</v>
          </cell>
          <cell r="K302">
            <v>1</v>
          </cell>
          <cell r="L302" t="str">
            <v>9 Juli 2019</v>
          </cell>
          <cell r="M302" t="str">
            <v>9 Juli 2019</v>
          </cell>
          <cell r="N302">
            <v>524114</v>
          </cell>
          <cell r="O302" t="str">
            <v>Belanja Perjalanan Dinas Paket Meeting Dalam Kota</v>
          </cell>
          <cell r="P302" t="str">
            <v>1137/L3/TU/KA.11.00/2019</v>
          </cell>
          <cell r="Q302" t="str">
            <v>3 Juli 2019</v>
          </cell>
          <cell r="R302" t="str">
            <v>ya</v>
          </cell>
          <cell r="S302">
            <v>150000</v>
          </cell>
          <cell r="T302">
            <v>3138400</v>
          </cell>
          <cell r="U302" t="str">
            <v>ya</v>
          </cell>
          <cell r="V302">
            <v>0</v>
          </cell>
          <cell r="W302">
            <v>0</v>
          </cell>
          <cell r="X302">
            <v>0</v>
          </cell>
          <cell r="Z302">
            <v>0</v>
          </cell>
          <cell r="AB302">
            <v>0</v>
          </cell>
          <cell r="AD302">
            <v>0</v>
          </cell>
          <cell r="AE302" t="str">
            <v>ya</v>
          </cell>
          <cell r="AF302">
            <v>210000</v>
          </cell>
          <cell r="AH302" t="str">
            <v xml:space="preserve">Angkutan Umum </v>
          </cell>
          <cell r="AI302" t="str">
            <v>Universitas Nasional dan Universitas Satya Negara Indonesia</v>
          </cell>
        </row>
        <row r="303">
          <cell r="A303">
            <v>302</v>
          </cell>
          <cell r="B303" t="str">
            <v>Sugiarto</v>
          </cell>
          <cell r="C303" t="str">
            <v>196303021985101001</v>
          </cell>
          <cell r="D303" t="str">
            <v>Pengelola Informasi Kerjasama pada Seksi Kelembagaan, dan Kerjasama pada Bidang Kelembagaan, dan Sistem Informasi</v>
          </cell>
          <cell r="E303" t="str">
            <v>III/b</v>
          </cell>
          <cell r="F303" t="str">
            <v>688766377024000</v>
          </cell>
          <cell r="G303" t="str">
            <v>Penata Muda Tk. I</v>
          </cell>
          <cell r="H303" t="str">
            <v>Melakukan Monitoring dan Evaluasi ke Akademi Pariwisata Patria Indonesia, Jakarta</v>
          </cell>
          <cell r="I303" t="str">
            <v>DKI Jakarta</v>
          </cell>
          <cell r="J303" t="str">
            <v>DKI Jakarta</v>
          </cell>
          <cell r="K303">
            <v>1</v>
          </cell>
          <cell r="L303" t="str">
            <v>24 Juni 2019</v>
          </cell>
          <cell r="M303" t="str">
            <v>24 Juni 2019</v>
          </cell>
          <cell r="N303">
            <v>524114</v>
          </cell>
          <cell r="O303" t="str">
            <v>Belanja Perjalanan Dinas Paket Meeting Dalam Kota</v>
          </cell>
          <cell r="P303" t="str">
            <v>1003/L3/TU/KA.11.00/2019</v>
          </cell>
          <cell r="Q303" t="str">
            <v>20 Juni 2019</v>
          </cell>
          <cell r="R303" t="str">
            <v>ya</v>
          </cell>
          <cell r="S303">
            <v>150000</v>
          </cell>
          <cell r="T303">
            <v>3138400</v>
          </cell>
          <cell r="U303" t="str">
            <v>ya</v>
          </cell>
          <cell r="V303">
            <v>0</v>
          </cell>
          <cell r="W303">
            <v>0</v>
          </cell>
          <cell r="X303">
            <v>0</v>
          </cell>
          <cell r="Z303">
            <v>0</v>
          </cell>
          <cell r="AB303">
            <v>0</v>
          </cell>
          <cell r="AD303">
            <v>0</v>
          </cell>
          <cell r="AE303" t="str">
            <v>ya</v>
          </cell>
          <cell r="AF303">
            <v>210000</v>
          </cell>
          <cell r="AH303" t="str">
            <v xml:space="preserve">Angkutan Umum </v>
          </cell>
          <cell r="AI303" t="str">
            <v>Akademi Pariwisata Patria, Jakarrta</v>
          </cell>
        </row>
        <row r="304">
          <cell r="A304">
            <v>303</v>
          </cell>
          <cell r="B304" t="str">
            <v>Herlina</v>
          </cell>
          <cell r="C304" t="str">
            <v>197004171992032002</v>
          </cell>
          <cell r="D304" t="str">
            <v>Pengelola Kepegawaian pada Sub. Bagian Kepegawaian pada Bagian Umum</v>
          </cell>
          <cell r="E304" t="str">
            <v>IV/a</v>
          </cell>
          <cell r="F304" t="str">
            <v>688766690005000</v>
          </cell>
          <cell r="G304" t="str">
            <v>Pembina</v>
          </cell>
          <cell r="H304" t="str">
            <v>Melakukan Monitoring dan Evaluasi ke Akademi Pariwisata Patria Indonesia, Jakarta</v>
          </cell>
          <cell r="I304" t="str">
            <v>DKI Jakarta</v>
          </cell>
          <cell r="J304" t="str">
            <v>DKI Jakarta</v>
          </cell>
          <cell r="K304">
            <v>1</v>
          </cell>
          <cell r="L304" t="str">
            <v>24 Juni 2019</v>
          </cell>
          <cell r="M304" t="str">
            <v>24 Juni 2019</v>
          </cell>
          <cell r="N304">
            <v>524114</v>
          </cell>
          <cell r="O304" t="str">
            <v>Belanja Perjalanan Dinas Paket Meeting Dalam Kota</v>
          </cell>
          <cell r="P304" t="str">
            <v>1003/L3/TU/KA.11.00/2019</v>
          </cell>
          <cell r="Q304" t="str">
            <v>20 Juni 2019</v>
          </cell>
          <cell r="R304" t="str">
            <v>ya</v>
          </cell>
          <cell r="S304">
            <v>150000</v>
          </cell>
          <cell r="T304">
            <v>3138400</v>
          </cell>
          <cell r="U304" t="str">
            <v>ya</v>
          </cell>
          <cell r="V304">
            <v>0</v>
          </cell>
          <cell r="W304">
            <v>0</v>
          </cell>
          <cell r="X304">
            <v>0</v>
          </cell>
          <cell r="Z304">
            <v>0</v>
          </cell>
          <cell r="AB304">
            <v>0</v>
          </cell>
          <cell r="AD304">
            <v>0</v>
          </cell>
          <cell r="AE304" t="str">
            <v>ya</v>
          </cell>
          <cell r="AF304">
            <v>210000</v>
          </cell>
          <cell r="AH304" t="str">
            <v xml:space="preserve">Angkutan Umum </v>
          </cell>
          <cell r="AI304" t="str">
            <v>Akademi Pariwisata Patria, Jakarrta</v>
          </cell>
        </row>
        <row r="305">
          <cell r="A305">
            <v>304</v>
          </cell>
          <cell r="B305" t="str">
            <v>Ikhsan Riyanda</v>
          </cell>
          <cell r="C305" t="str">
            <v>198303202010121003</v>
          </cell>
          <cell r="D305" t="str">
            <v>Pengelola Keuangan pada Sub. Bagian Keuangan pada Bagian Umum</v>
          </cell>
          <cell r="E305" t="str">
            <v>III/b</v>
          </cell>
          <cell r="F305" t="str">
            <v>263956575412000</v>
          </cell>
          <cell r="G305" t="str">
            <v>Penata Muda Tk. I</v>
          </cell>
          <cell r="H305" t="str">
            <v>Melakukan Monitoring dan Evaluasi ke Akademi Pariwisata Patria Indonesia, Jakarta</v>
          </cell>
          <cell r="I305" t="str">
            <v>DKI Jakarta</v>
          </cell>
          <cell r="J305" t="str">
            <v>DKI Jakarta</v>
          </cell>
          <cell r="K305">
            <v>1</v>
          </cell>
          <cell r="L305" t="str">
            <v>24 Juni 2019</v>
          </cell>
          <cell r="M305" t="str">
            <v>24 Juni 2019</v>
          </cell>
          <cell r="N305">
            <v>524114</v>
          </cell>
          <cell r="O305" t="str">
            <v>Belanja Perjalanan Dinas Paket Meeting Dalam Kota</v>
          </cell>
          <cell r="P305" t="str">
            <v>1003/L3/TU/KA.11.00/2019</v>
          </cell>
          <cell r="Q305" t="str">
            <v>20 Juni 2019</v>
          </cell>
          <cell r="R305" t="str">
            <v>ya</v>
          </cell>
          <cell r="S305">
            <v>150000</v>
          </cell>
          <cell r="T305">
            <v>3138400</v>
          </cell>
          <cell r="U305" t="str">
            <v>ya</v>
          </cell>
          <cell r="V305">
            <v>0</v>
          </cell>
          <cell r="W305">
            <v>0</v>
          </cell>
          <cell r="X305">
            <v>0</v>
          </cell>
          <cell r="Z305">
            <v>0</v>
          </cell>
          <cell r="AB305">
            <v>0</v>
          </cell>
          <cell r="AD305">
            <v>0</v>
          </cell>
          <cell r="AE305" t="str">
            <v>ya</v>
          </cell>
          <cell r="AF305">
            <v>210000</v>
          </cell>
          <cell r="AH305" t="str">
            <v xml:space="preserve">Angkutan Umum </v>
          </cell>
          <cell r="AI305" t="str">
            <v>Akademi Pariwisata Patria, Jakarrta</v>
          </cell>
        </row>
        <row r="306">
          <cell r="A306">
            <v>305</v>
          </cell>
          <cell r="B306" t="str">
            <v>Putranto</v>
          </cell>
          <cell r="C306" t="str">
            <v>196307051982011001</v>
          </cell>
          <cell r="D306" t="str">
            <v xml:space="preserve">Pengadministrasi Umum pada Sub. Bagian Tata Usaha pada Bagian Umum                               </v>
          </cell>
          <cell r="E306" t="str">
            <v>II/c</v>
          </cell>
          <cell r="F306" t="str">
            <v>250736410412000</v>
          </cell>
          <cell r="G306" t="str">
            <v>Pengatur</v>
          </cell>
          <cell r="H306" t="str">
            <v>Melakukan Monitoring dan Evaluasi ke Akademi Pariwisata Patria Indonesia, Jakarta</v>
          </cell>
          <cell r="I306" t="str">
            <v>DKI Jakarta</v>
          </cell>
          <cell r="J306" t="str">
            <v>DKI Jakarta</v>
          </cell>
          <cell r="K306">
            <v>1</v>
          </cell>
          <cell r="L306" t="str">
            <v>24 Juni 2019</v>
          </cell>
          <cell r="M306" t="str">
            <v>24 Juni 2019</v>
          </cell>
          <cell r="N306">
            <v>524114</v>
          </cell>
          <cell r="O306" t="str">
            <v>Belanja Perjalanan Dinas Paket Meeting Dalam Kota</v>
          </cell>
          <cell r="P306" t="str">
            <v>1003/L3/TU/KA.11.00/2019</v>
          </cell>
          <cell r="Q306" t="str">
            <v>20 Juni 2019</v>
          </cell>
          <cell r="R306" t="str">
            <v>ya</v>
          </cell>
          <cell r="S306">
            <v>150000</v>
          </cell>
          <cell r="T306">
            <v>3138400</v>
          </cell>
          <cell r="U306" t="str">
            <v>ya</v>
          </cell>
          <cell r="V306">
            <v>0</v>
          </cell>
          <cell r="W306">
            <v>0</v>
          </cell>
          <cell r="X306">
            <v>0</v>
          </cell>
          <cell r="Z306">
            <v>0</v>
          </cell>
          <cell r="AB306">
            <v>0</v>
          </cell>
          <cell r="AD306">
            <v>0</v>
          </cell>
          <cell r="AE306" t="str">
            <v>ya</v>
          </cell>
          <cell r="AF306">
            <v>210000</v>
          </cell>
          <cell r="AH306" t="str">
            <v xml:space="preserve">Angkutan Umum </v>
          </cell>
          <cell r="AI306" t="str">
            <v>Akademi Pariwisata Patria, Jakarrta</v>
          </cell>
        </row>
        <row r="307">
          <cell r="A307">
            <v>306</v>
          </cell>
          <cell r="B307" t="str">
            <v>Ibnu Syarif</v>
          </cell>
          <cell r="C307" t="str">
            <v>196411271987031002</v>
          </cell>
          <cell r="D307" t="str">
            <v>Petugas Keamanan pada Sub. Bagian Tata Usaha pada Bagian Umum</v>
          </cell>
          <cell r="E307" t="str">
            <v>II/c</v>
          </cell>
          <cell r="F307" t="str">
            <v>688766328024000</v>
          </cell>
          <cell r="G307" t="str">
            <v>Pengatur</v>
          </cell>
          <cell r="H307" t="str">
            <v>Melakukan Monitoring dan Evaluasi ke Akademi Pariwisata Patria Indonesia, Jakarta</v>
          </cell>
          <cell r="I307" t="str">
            <v>DKI Jakarta</v>
          </cell>
          <cell r="J307" t="str">
            <v>DKI Jakarta</v>
          </cell>
          <cell r="K307">
            <v>1</v>
          </cell>
          <cell r="L307" t="str">
            <v>24 Juni 2019</v>
          </cell>
          <cell r="M307" t="str">
            <v>24 Juni 2019</v>
          </cell>
          <cell r="N307">
            <v>524114</v>
          </cell>
          <cell r="O307" t="str">
            <v>Belanja Perjalanan Dinas Paket Meeting Dalam Kota</v>
          </cell>
          <cell r="P307" t="str">
            <v>1003/L3/TU/KA.11.00/2019</v>
          </cell>
          <cell r="Q307" t="str">
            <v>20 Juni 2019</v>
          </cell>
          <cell r="R307" t="str">
            <v>ya</v>
          </cell>
          <cell r="S307">
            <v>150000</v>
          </cell>
          <cell r="T307">
            <v>3138400</v>
          </cell>
          <cell r="U307" t="str">
            <v>ya</v>
          </cell>
          <cell r="V307">
            <v>0</v>
          </cell>
          <cell r="W307">
            <v>0</v>
          </cell>
          <cell r="X307">
            <v>0</v>
          </cell>
          <cell r="Z307">
            <v>0</v>
          </cell>
          <cell r="AB307">
            <v>0</v>
          </cell>
          <cell r="AD307">
            <v>0</v>
          </cell>
          <cell r="AE307" t="str">
            <v>ya</v>
          </cell>
          <cell r="AF307">
            <v>210000</v>
          </cell>
          <cell r="AH307" t="str">
            <v xml:space="preserve">Angkutan Umum </v>
          </cell>
          <cell r="AI307" t="str">
            <v>Akademi Pariwisata Patria, Jakarrta</v>
          </cell>
        </row>
        <row r="308">
          <cell r="A308">
            <v>307</v>
          </cell>
          <cell r="B308" t="str">
            <v>Norsanty</v>
          </cell>
          <cell r="C308" t="str">
            <v>196411031992032001</v>
          </cell>
          <cell r="D308" t="str">
            <v>Kepala Bagian Kelembagaan dan Sistem Informasi</v>
          </cell>
          <cell r="E308" t="str">
            <v>III/d</v>
          </cell>
          <cell r="F308" t="str">
            <v>686766484412000</v>
          </cell>
          <cell r="G308" t="str">
            <v>Penata Tk. I</v>
          </cell>
          <cell r="H308" t="str">
            <v xml:space="preserve">Melakukan Monitoring dan Evaluasi dalam Rangka PSDKU (Program Studi Diluar Kampus Utama) pada Universitas Pelita Harapan Medan </v>
          </cell>
          <cell r="I308" t="str">
            <v>DKI Jakarta</v>
          </cell>
          <cell r="J308" t="str">
            <v>Sumatera Utara</v>
          </cell>
          <cell r="K308">
            <v>3</v>
          </cell>
          <cell r="L308" t="str">
            <v>28 Juli 2019</v>
          </cell>
          <cell r="M308" t="str">
            <v>30 Juli 2019</v>
          </cell>
          <cell r="N308">
            <v>524119</v>
          </cell>
          <cell r="O308" t="str">
            <v>Belanja Perjalanan Dinas Paket Meeting Luar Kota</v>
          </cell>
          <cell r="P308" t="str">
            <v>1276/L3.1/KP.11.00/2019</v>
          </cell>
          <cell r="Q308" t="str">
            <v>23 Juli 2019</v>
          </cell>
          <cell r="S308">
            <v>0</v>
          </cell>
          <cell r="T308">
            <v>3138400</v>
          </cell>
          <cell r="U308" t="str">
            <v>ya</v>
          </cell>
          <cell r="V308">
            <v>512000</v>
          </cell>
          <cell r="W308">
            <v>464000</v>
          </cell>
          <cell r="X308">
            <v>976000</v>
          </cell>
          <cell r="Z308">
            <v>0</v>
          </cell>
          <cell r="AB308">
            <v>0</v>
          </cell>
          <cell r="AD308">
            <v>0</v>
          </cell>
          <cell r="AE308" t="str">
            <v>ya</v>
          </cell>
          <cell r="AF308">
            <v>1110000</v>
          </cell>
          <cell r="AH308" t="str">
            <v>Pesawat Terbang</v>
          </cell>
          <cell r="AI308" t="str">
            <v>Universitas Pelita Harapan - Medan</v>
          </cell>
        </row>
        <row r="309">
          <cell r="A309">
            <v>308</v>
          </cell>
          <cell r="B309" t="str">
            <v>Faizah Bt Johan Alam Shah</v>
          </cell>
          <cell r="C309" t="str">
            <v>196506291986022001</v>
          </cell>
          <cell r="D309" t="str">
            <v>Kabag Kelembagaan dan Sistem Informasi LLDIKTI Wilayah I</v>
          </cell>
          <cell r="E309" t="str">
            <v>IV/a</v>
          </cell>
          <cell r="F309">
            <v>0</v>
          </cell>
          <cell r="G309" t="str">
            <v>-</v>
          </cell>
          <cell r="H309" t="str">
            <v xml:space="preserve">Melakukan Monitoring dan Evaluasi dalam Rangka PSDKU (Program Studi Diluar Kampus Utama) pada Universitas Pelita Harapan Medan </v>
          </cell>
          <cell r="I309" t="str">
            <v>Sumatera Utara</v>
          </cell>
          <cell r="J309" t="str">
            <v>Sumatera Utara</v>
          </cell>
          <cell r="K309">
            <v>2</v>
          </cell>
          <cell r="L309" t="str">
            <v>29 Juli 2019</v>
          </cell>
          <cell r="M309" t="str">
            <v>30 Juli 2019</v>
          </cell>
          <cell r="N309">
            <v>524114</v>
          </cell>
          <cell r="O309" t="str">
            <v>Belanja Perjalanan Dinas Paket Meeting Dalam Kota</v>
          </cell>
          <cell r="P309" t="str">
            <v>1276/L3.1/KP.11.00/2019</v>
          </cell>
          <cell r="Q309" t="str">
            <v>23 Juli 2019</v>
          </cell>
          <cell r="R309" t="str">
            <v>ya</v>
          </cell>
          <cell r="S309">
            <v>150000</v>
          </cell>
          <cell r="V309">
            <v>0</v>
          </cell>
          <cell r="W309">
            <v>0</v>
          </cell>
          <cell r="X309">
            <v>0</v>
          </cell>
          <cell r="Z309">
            <v>0</v>
          </cell>
          <cell r="AB309">
            <v>0</v>
          </cell>
          <cell r="AD309">
            <v>0</v>
          </cell>
          <cell r="AE309" t="str">
            <v>ya</v>
          </cell>
          <cell r="AF309">
            <v>300000</v>
          </cell>
          <cell r="AH309" t="str">
            <v xml:space="preserve">Angkutan Umum </v>
          </cell>
          <cell r="AI309" t="str">
            <v>Universitas Pelita Harapan - Medan</v>
          </cell>
        </row>
        <row r="310">
          <cell r="A310">
            <v>309</v>
          </cell>
          <cell r="B310" t="str">
            <v>Prita Ekasari</v>
          </cell>
          <cell r="C310" t="str">
            <v>198410142009122008</v>
          </cell>
          <cell r="D310" t="str">
            <v>Analis Sistem Informasi pada Seksi Sistem Informasi pada Bidang Kelembagaan, dan Sistem Informasi</v>
          </cell>
          <cell r="E310" t="str">
            <v>III/b</v>
          </cell>
          <cell r="F310" t="str">
            <v>599515301407000</v>
          </cell>
          <cell r="G310" t="str">
            <v>Penata Muda Tk. I</v>
          </cell>
          <cell r="H310" t="str">
            <v xml:space="preserve">Melakukan Monitoring dan Evaluasi dalam Rangka PSDKU (Program Studi Diluar Kampus Utama) pada Universitas Pelita Harapan Medan </v>
          </cell>
          <cell r="I310" t="str">
            <v>DKI Jakarta</v>
          </cell>
          <cell r="J310" t="str">
            <v>Sumatera Utara</v>
          </cell>
          <cell r="K310">
            <v>3</v>
          </cell>
          <cell r="L310" t="str">
            <v>28 Juli 2019</v>
          </cell>
          <cell r="M310" t="str">
            <v>30 Juli 2019</v>
          </cell>
          <cell r="N310">
            <v>524119</v>
          </cell>
          <cell r="O310" t="str">
            <v>Belanja Perjalanan Dinas Paket Meeting Luar Kota</v>
          </cell>
          <cell r="P310" t="str">
            <v>1276/L3.1/KP.11.00/2019</v>
          </cell>
          <cell r="Q310" t="str">
            <v>23 Juli 2019</v>
          </cell>
          <cell r="S310">
            <v>0</v>
          </cell>
          <cell r="T310">
            <v>3138400</v>
          </cell>
          <cell r="U310" t="str">
            <v>ya</v>
          </cell>
          <cell r="V310">
            <v>512000</v>
          </cell>
          <cell r="W310">
            <v>464000</v>
          </cell>
          <cell r="X310">
            <v>976000</v>
          </cell>
          <cell r="Z310">
            <v>0</v>
          </cell>
          <cell r="AB310">
            <v>0</v>
          </cell>
          <cell r="AD310">
            <v>0</v>
          </cell>
          <cell r="AE310" t="str">
            <v>ya</v>
          </cell>
          <cell r="AF310">
            <v>1110000</v>
          </cell>
          <cell r="AH310" t="str">
            <v>Pesawat Terbang</v>
          </cell>
          <cell r="AI310" t="str">
            <v>Universitas Pelita Harapan - Medan</v>
          </cell>
        </row>
        <row r="311">
          <cell r="A311">
            <v>310</v>
          </cell>
          <cell r="B311" t="str">
            <v>Mulhadi HM</v>
          </cell>
          <cell r="C311" t="str">
            <v>199204072015041001</v>
          </cell>
          <cell r="D311" t="str">
            <v>Analis Kelembagaan pada Seksi Kelembagaan, dan Kerjasama pada Bidang Kelembagaan, dan Sistem Informasi</v>
          </cell>
          <cell r="E311" t="str">
            <v>III/a</v>
          </cell>
          <cell r="F311" t="str">
            <v>737792366005000</v>
          </cell>
          <cell r="G311" t="str">
            <v>Penata Muda</v>
          </cell>
          <cell r="H311" t="str">
            <v xml:space="preserve">Melakukan Monitoring dan Evaluasi dalam Rangka PSDKU (Program Studi Diluar Kampus Utama) pada Universitas Pelita Harapan Medan </v>
          </cell>
          <cell r="I311" t="str">
            <v>DKI Jakarta</v>
          </cell>
          <cell r="J311" t="str">
            <v>Sumatera Utara</v>
          </cell>
          <cell r="K311">
            <v>3</v>
          </cell>
          <cell r="L311" t="str">
            <v>28 Juli 2019</v>
          </cell>
          <cell r="M311" t="str">
            <v>30 Juli 2019</v>
          </cell>
          <cell r="N311">
            <v>524119</v>
          </cell>
          <cell r="O311" t="str">
            <v>Belanja Perjalanan Dinas Paket Meeting Luar Kota</v>
          </cell>
          <cell r="P311" t="str">
            <v>1276/L3.1/KP.11.00/2019</v>
          </cell>
          <cell r="Q311" t="str">
            <v>23 Juli 2019</v>
          </cell>
          <cell r="S311">
            <v>0</v>
          </cell>
          <cell r="T311">
            <v>3138400</v>
          </cell>
          <cell r="U311" t="str">
            <v>ya</v>
          </cell>
          <cell r="V311">
            <v>512000</v>
          </cell>
          <cell r="W311">
            <v>464000</v>
          </cell>
          <cell r="X311">
            <v>976000</v>
          </cell>
          <cell r="Z311">
            <v>0</v>
          </cell>
          <cell r="AB311">
            <v>0</v>
          </cell>
          <cell r="AD311">
            <v>0</v>
          </cell>
          <cell r="AE311" t="str">
            <v>ya</v>
          </cell>
          <cell r="AF311">
            <v>1110000</v>
          </cell>
          <cell r="AH311" t="str">
            <v>Pesawat Terbang</v>
          </cell>
          <cell r="AI311" t="str">
            <v>Universitas Pelita Harapan - Medan</v>
          </cell>
        </row>
        <row r="312">
          <cell r="A312">
            <v>311</v>
          </cell>
          <cell r="B312" t="str">
            <v>Illah Sailah</v>
          </cell>
          <cell r="C312" t="str">
            <v>195805211982112001</v>
          </cell>
          <cell r="D312" t="str">
            <v>Ketua</v>
          </cell>
          <cell r="E312" t="str">
            <v>IV/d</v>
          </cell>
          <cell r="F312" t="str">
            <v>092180272404001</v>
          </cell>
          <cell r="G312" t="str">
            <v>Pembina Utama Madya</v>
          </cell>
          <cell r="H312" t="str">
            <v>Melakukan Monitoring dan Evaluasi ke Universitas Gunadarma</v>
          </cell>
          <cell r="I312" t="str">
            <v>DKI Jakarta</v>
          </cell>
          <cell r="J312" t="str">
            <v>Bekasi Kota, Jawa Barat</v>
          </cell>
          <cell r="K312">
            <v>1</v>
          </cell>
          <cell r="L312" t="str">
            <v>8 Juli 2019</v>
          </cell>
          <cell r="M312" t="str">
            <v>8 Juli 2019</v>
          </cell>
          <cell r="N312">
            <v>524114</v>
          </cell>
          <cell r="O312" t="str">
            <v>Belanja Perjalanan Dinas Paket Meeting Dalam Kota</v>
          </cell>
          <cell r="P312" t="str">
            <v>1132/L3/KP.11.00/2019</v>
          </cell>
          <cell r="Q312" t="str">
            <v>3 Juli 2019</v>
          </cell>
          <cell r="S312">
            <v>0</v>
          </cell>
          <cell r="V312">
            <v>0</v>
          </cell>
          <cell r="W312">
            <v>0</v>
          </cell>
          <cell r="X312">
            <v>0</v>
          </cell>
          <cell r="Z312">
            <v>0</v>
          </cell>
          <cell r="AB312">
            <v>0</v>
          </cell>
          <cell r="AD312">
            <v>0</v>
          </cell>
          <cell r="AE312" t="str">
            <v>ya</v>
          </cell>
          <cell r="AF312">
            <v>430000</v>
          </cell>
          <cell r="AH312" t="str">
            <v>Kendaraan Operasional</v>
          </cell>
          <cell r="AI312" t="str">
            <v>Universitas Gunadarma</v>
          </cell>
        </row>
        <row r="313">
          <cell r="A313">
            <v>312</v>
          </cell>
          <cell r="B313" t="str">
            <v>Sugiarto</v>
          </cell>
          <cell r="C313" t="str">
            <v>196303021985101001</v>
          </cell>
          <cell r="D313" t="str">
            <v>Pengelola Informasi Kerjasama pada Seksi Kelembagaan, dan Kerjasama pada Bidang Kelembagaan, dan Sistem Informasi</v>
          </cell>
          <cell r="E313" t="str">
            <v>III/b</v>
          </cell>
          <cell r="F313" t="str">
            <v>688766377024000</v>
          </cell>
          <cell r="G313" t="str">
            <v>Penata Muda Tk. I</v>
          </cell>
          <cell r="H313" t="str">
            <v>Melakukan Monitoring dan Evaluasi ke Universitas Gunadarma</v>
          </cell>
          <cell r="I313" t="str">
            <v>DKI Jakarta</v>
          </cell>
          <cell r="J313" t="str">
            <v>Bekasi Kota, Jawa Barat</v>
          </cell>
          <cell r="K313">
            <v>1</v>
          </cell>
          <cell r="L313" t="str">
            <v>8 Juli 2019</v>
          </cell>
          <cell r="M313" t="str">
            <v>8 Juli 2019</v>
          </cell>
          <cell r="N313">
            <v>524114</v>
          </cell>
          <cell r="O313" t="str">
            <v>Belanja Perjalanan Dinas Paket Meeting Dalam Kota</v>
          </cell>
          <cell r="P313" t="str">
            <v>1132/L3/KP.11.00/2019</v>
          </cell>
          <cell r="Q313" t="str">
            <v>3 Juli 2019</v>
          </cell>
          <cell r="R313" t="str">
            <v>ya</v>
          </cell>
          <cell r="S313">
            <v>284000</v>
          </cell>
          <cell r="V313">
            <v>0</v>
          </cell>
          <cell r="W313">
            <v>0</v>
          </cell>
          <cell r="X313">
            <v>0</v>
          </cell>
          <cell r="Z313">
            <v>0</v>
          </cell>
          <cell r="AB313">
            <v>0</v>
          </cell>
          <cell r="AD313">
            <v>0</v>
          </cell>
          <cell r="AE313" t="str">
            <v>ya</v>
          </cell>
          <cell r="AF313">
            <v>430000</v>
          </cell>
          <cell r="AH313" t="str">
            <v xml:space="preserve">Angkutan Umum </v>
          </cell>
          <cell r="AI313" t="str">
            <v>Universitas Gunadarma</v>
          </cell>
        </row>
        <row r="314">
          <cell r="A314">
            <v>313</v>
          </cell>
          <cell r="B314" t="str">
            <v>Mudlikah</v>
          </cell>
          <cell r="C314" t="str">
            <v>196303111987032001</v>
          </cell>
          <cell r="D314" t="str">
            <v xml:space="preserve">Pengadministrasi Persuratan pada Sub. Bagian Tata Usaha pada Bagian Umum        </v>
          </cell>
          <cell r="E314" t="str">
            <v>III/d</v>
          </cell>
          <cell r="F314" t="str">
            <v>688766492017000</v>
          </cell>
          <cell r="G314" t="str">
            <v>Penata Tk. I</v>
          </cell>
          <cell r="H314" t="str">
            <v>Melakukan Monitoring dan Evaluasi ke Universitas Gunadarma</v>
          </cell>
          <cell r="I314" t="str">
            <v>DKI Jakarta</v>
          </cell>
          <cell r="J314" t="str">
            <v>Bekasi Kota, Jawa Barat</v>
          </cell>
          <cell r="K314">
            <v>1</v>
          </cell>
          <cell r="L314" t="str">
            <v>8 Juli 2019</v>
          </cell>
          <cell r="M314" t="str">
            <v>8 Juli 2019</v>
          </cell>
          <cell r="N314">
            <v>524114</v>
          </cell>
          <cell r="O314" t="str">
            <v>Belanja Perjalanan Dinas Paket Meeting Dalam Kota</v>
          </cell>
          <cell r="P314" t="str">
            <v>1132/L3/KP.11.00/2019</v>
          </cell>
          <cell r="Q314" t="str">
            <v>3 Juli 2019</v>
          </cell>
          <cell r="R314" t="str">
            <v>ya</v>
          </cell>
          <cell r="S314">
            <v>284000</v>
          </cell>
          <cell r="V314">
            <v>0</v>
          </cell>
          <cell r="W314">
            <v>0</v>
          </cell>
          <cell r="X314">
            <v>0</v>
          </cell>
          <cell r="Z314">
            <v>0</v>
          </cell>
          <cell r="AB314">
            <v>0</v>
          </cell>
          <cell r="AD314">
            <v>0</v>
          </cell>
          <cell r="AE314" t="str">
            <v>ya</v>
          </cell>
          <cell r="AF314">
            <v>430000</v>
          </cell>
          <cell r="AH314" t="str">
            <v xml:space="preserve">Angkutan Umum </v>
          </cell>
          <cell r="AI314" t="str">
            <v>Universitas Gunadarma</v>
          </cell>
        </row>
        <row r="315">
          <cell r="A315">
            <v>314</v>
          </cell>
          <cell r="B315" t="str">
            <v>Illah Sailah</v>
          </cell>
          <cell r="C315" t="str">
            <v>195805211982112001</v>
          </cell>
          <cell r="D315" t="str">
            <v>Ketua</v>
          </cell>
          <cell r="E315" t="str">
            <v>IV/d</v>
          </cell>
          <cell r="F315" t="str">
            <v>092180272404001</v>
          </cell>
          <cell r="G315" t="str">
            <v>Pembina Utama Madya</v>
          </cell>
          <cell r="H315" t="str">
            <v>Melakukan Monitoring dan Evaluasi ke Universitas Bung Karno</v>
          </cell>
          <cell r="I315" t="str">
            <v>DKI Jakarta</v>
          </cell>
          <cell r="J315" t="str">
            <v>DKI Jakarta</v>
          </cell>
          <cell r="K315">
            <v>1</v>
          </cell>
          <cell r="L315" t="str">
            <v>11 Juli 2019</v>
          </cell>
          <cell r="M315" t="str">
            <v>11 Juli 2019</v>
          </cell>
          <cell r="N315">
            <v>524114</v>
          </cell>
          <cell r="O315" t="str">
            <v>Belanja Perjalanan Dinas Paket Meeting Dalam Kota</v>
          </cell>
          <cell r="P315" t="str">
            <v>1132/L3/KP.11.00/2019</v>
          </cell>
          <cell r="Q315" t="str">
            <v>3 Juli 2019</v>
          </cell>
          <cell r="S315">
            <v>0</v>
          </cell>
          <cell r="V315">
            <v>0</v>
          </cell>
          <cell r="W315">
            <v>0</v>
          </cell>
          <cell r="X315">
            <v>0</v>
          </cell>
          <cell r="Z315">
            <v>0</v>
          </cell>
          <cell r="AB315">
            <v>0</v>
          </cell>
          <cell r="AD315">
            <v>0</v>
          </cell>
          <cell r="AE315" t="str">
            <v>ya</v>
          </cell>
          <cell r="AF315">
            <v>210000</v>
          </cell>
          <cell r="AH315" t="str">
            <v xml:space="preserve">Angkutan Umum </v>
          </cell>
          <cell r="AI315" t="str">
            <v>Universitas Bung Karno</v>
          </cell>
        </row>
        <row r="316">
          <cell r="A316">
            <v>315</v>
          </cell>
          <cell r="B316" t="str">
            <v>Norsanty</v>
          </cell>
          <cell r="C316" t="str">
            <v>196411031992032001</v>
          </cell>
          <cell r="D316" t="str">
            <v>Kepala Bagian Kelembagaan dan Sistem Informasi</v>
          </cell>
          <cell r="E316" t="str">
            <v>III/d</v>
          </cell>
          <cell r="F316" t="str">
            <v>686766484412000</v>
          </cell>
          <cell r="G316" t="str">
            <v>Penata Tk. I</v>
          </cell>
          <cell r="H316" t="str">
            <v>Melakukan Monitoring dan Evaluasi ke Universitas Bung Karno</v>
          </cell>
          <cell r="I316" t="str">
            <v>DKI Jakarta</v>
          </cell>
          <cell r="J316" t="str">
            <v>DKI Jakarta</v>
          </cell>
          <cell r="K316">
            <v>1</v>
          </cell>
          <cell r="L316" t="str">
            <v>11 Juli 2019</v>
          </cell>
          <cell r="M316" t="str">
            <v>11 Juli 2019</v>
          </cell>
          <cell r="N316">
            <v>524114</v>
          </cell>
          <cell r="O316" t="str">
            <v>Belanja Perjalanan Dinas Paket Meeting Dalam Kota</v>
          </cell>
          <cell r="P316" t="str">
            <v>1132/L3/KP.11.00/2019</v>
          </cell>
          <cell r="Q316" t="str">
            <v>3 Juli 2019</v>
          </cell>
          <cell r="R316" t="str">
            <v>ya</v>
          </cell>
          <cell r="S316">
            <v>150000</v>
          </cell>
          <cell r="V316">
            <v>0</v>
          </cell>
          <cell r="W316">
            <v>0</v>
          </cell>
          <cell r="X316">
            <v>0</v>
          </cell>
          <cell r="Z316">
            <v>0</v>
          </cell>
          <cell r="AB316">
            <v>0</v>
          </cell>
          <cell r="AD316">
            <v>0</v>
          </cell>
          <cell r="AE316" t="str">
            <v>ya</v>
          </cell>
          <cell r="AF316">
            <v>210000</v>
          </cell>
          <cell r="AH316" t="str">
            <v xml:space="preserve">Angkutan Umum </v>
          </cell>
          <cell r="AI316" t="str">
            <v>Universitas Bung Karno</v>
          </cell>
        </row>
        <row r="317">
          <cell r="A317">
            <v>316</v>
          </cell>
          <cell r="B317" t="str">
            <v>Titah Widihastuti</v>
          </cell>
          <cell r="C317" t="str">
            <v>198312302010122003</v>
          </cell>
          <cell r="D317" t="str">
            <v>Analis Sistem Informasi pada Seksi Sistem Informasi pada Bidang Kelembagaan, dan Sistem Informasi</v>
          </cell>
          <cell r="E317" t="str">
            <v>III/b</v>
          </cell>
          <cell r="F317" t="str">
            <v>678780578009000</v>
          </cell>
          <cell r="G317" t="str">
            <v>Penata Muda Tk. I</v>
          </cell>
          <cell r="H317" t="str">
            <v>Melakukan Monitoring dan Evaluasi ke Universitas Bung Karno</v>
          </cell>
          <cell r="I317" t="str">
            <v>DKI Jakarta</v>
          </cell>
          <cell r="J317" t="str">
            <v>DKI Jakarta</v>
          </cell>
          <cell r="K317">
            <v>1</v>
          </cell>
          <cell r="L317" t="str">
            <v>11 Juli 2019</v>
          </cell>
          <cell r="M317" t="str">
            <v>11 Juli 2019</v>
          </cell>
          <cell r="N317">
            <v>524114</v>
          </cell>
          <cell r="O317" t="str">
            <v>Belanja Perjalanan Dinas Paket Meeting Dalam Kota</v>
          </cell>
          <cell r="P317" t="str">
            <v>1132/L3/KP.11.00/2019</v>
          </cell>
          <cell r="Q317" t="str">
            <v>3 Juli 2019</v>
          </cell>
          <cell r="R317" t="str">
            <v>ya</v>
          </cell>
          <cell r="S317">
            <v>150000</v>
          </cell>
          <cell r="V317">
            <v>0</v>
          </cell>
          <cell r="W317">
            <v>0</v>
          </cell>
          <cell r="X317">
            <v>0</v>
          </cell>
          <cell r="Z317">
            <v>0</v>
          </cell>
          <cell r="AB317">
            <v>0</v>
          </cell>
          <cell r="AD317">
            <v>0</v>
          </cell>
          <cell r="AE317" t="str">
            <v>ya</v>
          </cell>
          <cell r="AF317">
            <v>210000</v>
          </cell>
          <cell r="AH317" t="str">
            <v xml:space="preserve">Angkutan Umum </v>
          </cell>
          <cell r="AI317" t="str">
            <v>Universitas Bung Karno</v>
          </cell>
        </row>
        <row r="318">
          <cell r="A318">
            <v>317</v>
          </cell>
          <cell r="B318" t="str">
            <v>Mulhadi HM</v>
          </cell>
          <cell r="C318" t="str">
            <v>199204072015041001</v>
          </cell>
          <cell r="D318" t="str">
            <v>Analis Kelembagaan pada Seksi Kelembagaan, dan Kerjasama pada Bidang Kelembagaan, dan Sistem Informasi</v>
          </cell>
          <cell r="E318" t="str">
            <v>III/a</v>
          </cell>
          <cell r="F318" t="str">
            <v>737792366005000</v>
          </cell>
          <cell r="G318" t="str">
            <v>Penata Muda</v>
          </cell>
          <cell r="H318" t="str">
            <v>Melakukan Monitoring dan Evaluasi ke Universitas Bung Karno</v>
          </cell>
          <cell r="I318" t="str">
            <v>DKI Jakarta</v>
          </cell>
          <cell r="J318" t="str">
            <v>DKI Jakarta</v>
          </cell>
          <cell r="K318">
            <v>1</v>
          </cell>
          <cell r="L318" t="str">
            <v>11 Juli 2019</v>
          </cell>
          <cell r="M318" t="str">
            <v>11 Juli 2019</v>
          </cell>
          <cell r="N318">
            <v>524114</v>
          </cell>
          <cell r="O318" t="str">
            <v>Belanja Perjalanan Dinas Paket Meeting Dalam Kota</v>
          </cell>
          <cell r="P318" t="str">
            <v>1132/L3/KP.11.00/2019</v>
          </cell>
          <cell r="Q318" t="str">
            <v>3 Juli 2019</v>
          </cell>
          <cell r="R318" t="str">
            <v>ya</v>
          </cell>
          <cell r="S318">
            <v>150000</v>
          </cell>
          <cell r="V318">
            <v>0</v>
          </cell>
          <cell r="W318">
            <v>0</v>
          </cell>
          <cell r="X318">
            <v>0</v>
          </cell>
          <cell r="Z318">
            <v>0</v>
          </cell>
          <cell r="AB318">
            <v>0</v>
          </cell>
          <cell r="AD318">
            <v>0</v>
          </cell>
          <cell r="AE318" t="str">
            <v>ya</v>
          </cell>
          <cell r="AF318">
            <v>210000</v>
          </cell>
          <cell r="AH318" t="str">
            <v xml:space="preserve">Angkutan Umum </v>
          </cell>
          <cell r="AI318" t="str">
            <v>Universitas Bung Karno</v>
          </cell>
        </row>
        <row r="319">
          <cell r="A319">
            <v>318</v>
          </cell>
          <cell r="B319" t="str">
            <v>Sri Mastuti</v>
          </cell>
          <cell r="C319" t="str">
            <v>196305161989022001</v>
          </cell>
          <cell r="D319" t="str">
            <v>Kepala Bagian Sumber Daya Perguruan Tinggi</v>
          </cell>
          <cell r="E319" t="str">
            <v>IV/a</v>
          </cell>
          <cell r="F319" t="str">
            <v>688754316072000</v>
          </cell>
          <cell r="G319" t="str">
            <v>Pembina</v>
          </cell>
          <cell r="H319" t="str">
            <v>Melakukan Monitoring dan Evaluasi ke Kampus Universitas Podomoro</v>
          </cell>
          <cell r="I319" t="str">
            <v>DKI Jakarta</v>
          </cell>
          <cell r="J319" t="str">
            <v>DKI Jakarta</v>
          </cell>
          <cell r="K319">
            <v>1</v>
          </cell>
          <cell r="L319" t="str">
            <v>29 Agustus 2019</v>
          </cell>
          <cell r="M319" t="str">
            <v>29 Agustus 2019</v>
          </cell>
          <cell r="N319">
            <v>524114</v>
          </cell>
          <cell r="O319" t="str">
            <v>Belanja Perjalanan Dinas Paket Meeting Dalam Kota</v>
          </cell>
          <cell r="P319" t="str">
            <v>1516/L3.1/KP.11.00/2019</v>
          </cell>
          <cell r="Q319" t="str">
            <v>23 Agustus 2019</v>
          </cell>
          <cell r="R319" t="str">
            <v>ya</v>
          </cell>
          <cell r="S319">
            <v>150000</v>
          </cell>
          <cell r="V319">
            <v>0</v>
          </cell>
          <cell r="W319">
            <v>0</v>
          </cell>
          <cell r="X319">
            <v>0</v>
          </cell>
          <cell r="Z319">
            <v>0</v>
          </cell>
          <cell r="AB319">
            <v>0</v>
          </cell>
          <cell r="AD319">
            <v>0</v>
          </cell>
          <cell r="AE319" t="str">
            <v>ya</v>
          </cell>
          <cell r="AF319">
            <v>210000</v>
          </cell>
          <cell r="AH319" t="str">
            <v xml:space="preserve">Angkutan Umum </v>
          </cell>
          <cell r="AI319" t="str">
            <v>Universitas Podomoro</v>
          </cell>
        </row>
        <row r="320">
          <cell r="A320">
            <v>319</v>
          </cell>
          <cell r="B320" t="str">
            <v>Norsanty</v>
          </cell>
          <cell r="C320" t="str">
            <v>196411031992032001</v>
          </cell>
          <cell r="D320" t="str">
            <v>Kepala Bagian Kelembagaan dan Sistem Informasi</v>
          </cell>
          <cell r="E320" t="str">
            <v>III/d</v>
          </cell>
          <cell r="F320" t="str">
            <v>686766484412000</v>
          </cell>
          <cell r="G320" t="str">
            <v>Penata Tk. I</v>
          </cell>
          <cell r="H320" t="str">
            <v>Melakukan Monitoring dan Evaluasi ke Kampus Universitas Podomoro</v>
          </cell>
          <cell r="I320" t="str">
            <v>DKI Jakarta</v>
          </cell>
          <cell r="J320" t="str">
            <v>DKI Jakarta</v>
          </cell>
          <cell r="K320">
            <v>1</v>
          </cell>
          <cell r="L320" t="str">
            <v>29 Agustus 2019</v>
          </cell>
          <cell r="M320" t="str">
            <v>29 Agustus 2019</v>
          </cell>
          <cell r="N320">
            <v>524114</v>
          </cell>
          <cell r="O320" t="str">
            <v>Belanja Perjalanan Dinas Paket Meeting Dalam Kota</v>
          </cell>
          <cell r="P320" t="str">
            <v>1516/L3.1/KP.11.00/2019</v>
          </cell>
          <cell r="Q320" t="str">
            <v>23 Agustus 2019</v>
          </cell>
          <cell r="R320" t="str">
            <v>ya</v>
          </cell>
          <cell r="S320">
            <v>150000</v>
          </cell>
          <cell r="V320">
            <v>0</v>
          </cell>
          <cell r="W320">
            <v>0</v>
          </cell>
          <cell r="X320">
            <v>0</v>
          </cell>
          <cell r="Z320">
            <v>0</v>
          </cell>
          <cell r="AB320">
            <v>0</v>
          </cell>
          <cell r="AD320">
            <v>0</v>
          </cell>
          <cell r="AE320" t="str">
            <v>ya</v>
          </cell>
          <cell r="AF320">
            <v>210000</v>
          </cell>
          <cell r="AH320" t="str">
            <v xml:space="preserve">Angkutan Umum </v>
          </cell>
          <cell r="AI320" t="str">
            <v>Universitas Podomoro</v>
          </cell>
        </row>
        <row r="321">
          <cell r="A321">
            <v>320</v>
          </cell>
          <cell r="B321" t="str">
            <v>Titah Widihastuti</v>
          </cell>
          <cell r="C321" t="str">
            <v>198312302010122003</v>
          </cell>
          <cell r="D321" t="str">
            <v>Analis Sistem Informasi pada Seksi Sistem Informasi pada Bidang Kelembagaan, dan Sistem Informasi</v>
          </cell>
          <cell r="E321" t="str">
            <v>III/b</v>
          </cell>
          <cell r="F321" t="str">
            <v>678780578009000</v>
          </cell>
          <cell r="G321" t="str">
            <v>Penata Muda Tk. I</v>
          </cell>
          <cell r="H321" t="str">
            <v>Melakukan Monitoring dan Evaluasi ke Kampus Universitas Podomoro</v>
          </cell>
          <cell r="I321" t="str">
            <v>DKI Jakarta</v>
          </cell>
          <cell r="J321" t="str">
            <v>DKI Jakarta</v>
          </cell>
          <cell r="K321">
            <v>1</v>
          </cell>
          <cell r="L321" t="str">
            <v>29 Agustus 2019</v>
          </cell>
          <cell r="M321" t="str">
            <v>29 Agustus 2019</v>
          </cell>
          <cell r="N321">
            <v>524114</v>
          </cell>
          <cell r="O321" t="str">
            <v>Belanja Perjalanan Dinas Paket Meeting Dalam Kota</v>
          </cell>
          <cell r="P321" t="str">
            <v>1516/L3.1/KP.11.00/2019</v>
          </cell>
          <cell r="Q321" t="str">
            <v>23 Agustus 2019</v>
          </cell>
          <cell r="R321" t="str">
            <v>ya</v>
          </cell>
          <cell r="S321">
            <v>150000</v>
          </cell>
          <cell r="V321">
            <v>0</v>
          </cell>
          <cell r="W321">
            <v>0</v>
          </cell>
          <cell r="X321">
            <v>0</v>
          </cell>
          <cell r="Z321">
            <v>0</v>
          </cell>
          <cell r="AB321">
            <v>0</v>
          </cell>
          <cell r="AD321">
            <v>0</v>
          </cell>
          <cell r="AE321" t="str">
            <v>ya</v>
          </cell>
          <cell r="AF321">
            <v>210000</v>
          </cell>
          <cell r="AH321" t="str">
            <v xml:space="preserve">Angkutan Umum </v>
          </cell>
          <cell r="AI321" t="str">
            <v>Universitas Podomoro</v>
          </cell>
        </row>
        <row r="322">
          <cell r="A322">
            <v>321</v>
          </cell>
          <cell r="B322" t="str">
            <v>Mulhadi HM</v>
          </cell>
          <cell r="C322" t="str">
            <v>199204072015041001</v>
          </cell>
          <cell r="D322" t="str">
            <v>Analis Kelembagaan pada Seksi Kelembagaan, dan Kerjasama pada Bidang Kelembagaan, dan Sistem Informasi</v>
          </cell>
          <cell r="E322" t="str">
            <v>III/a</v>
          </cell>
          <cell r="F322" t="str">
            <v>737792366005000</v>
          </cell>
          <cell r="G322" t="str">
            <v>Penata Muda</v>
          </cell>
          <cell r="H322" t="str">
            <v>Melakukan Monitoring dan Evaluasi ke Kampus Universitas Podomoro</v>
          </cell>
          <cell r="I322" t="str">
            <v>DKI Jakarta</v>
          </cell>
          <cell r="J322" t="str">
            <v>DKI Jakarta</v>
          </cell>
          <cell r="K322">
            <v>1</v>
          </cell>
          <cell r="L322" t="str">
            <v>29 Agustus 2019</v>
          </cell>
          <cell r="M322" t="str">
            <v>29 Agustus 2019</v>
          </cell>
          <cell r="N322">
            <v>524114</v>
          </cell>
          <cell r="O322" t="str">
            <v>Belanja Perjalanan Dinas Paket Meeting Dalam Kota</v>
          </cell>
          <cell r="P322" t="str">
            <v>1516/L3.1/KP.11.00/2019</v>
          </cell>
          <cell r="Q322" t="str">
            <v>23 Agustus 2019</v>
          </cell>
          <cell r="R322" t="str">
            <v>ya</v>
          </cell>
          <cell r="S322">
            <v>150000</v>
          </cell>
          <cell r="V322">
            <v>0</v>
          </cell>
          <cell r="W322">
            <v>0</v>
          </cell>
          <cell r="X322">
            <v>0</v>
          </cell>
          <cell r="Z322">
            <v>0</v>
          </cell>
          <cell r="AB322">
            <v>0</v>
          </cell>
          <cell r="AD322">
            <v>0</v>
          </cell>
          <cell r="AE322" t="str">
            <v>ya</v>
          </cell>
          <cell r="AF322">
            <v>210000</v>
          </cell>
          <cell r="AH322" t="str">
            <v xml:space="preserve">Angkutan Umum </v>
          </cell>
          <cell r="AI322" t="str">
            <v>Universitas Podomoro</v>
          </cell>
        </row>
        <row r="323">
          <cell r="A323">
            <v>322</v>
          </cell>
          <cell r="B323" t="str">
            <v>Illah Sailah</v>
          </cell>
          <cell r="C323" t="str">
            <v>195805211982112001</v>
          </cell>
          <cell r="D323" t="str">
            <v>Ketua</v>
          </cell>
          <cell r="E323" t="str">
            <v>IV/d</v>
          </cell>
          <cell r="F323" t="str">
            <v>092180272404001</v>
          </cell>
          <cell r="G323" t="str">
            <v>Pembina Utama Madya</v>
          </cell>
          <cell r="H323" t="str">
            <v>Melakukan Monitoring dan Evaluasi ke Universitas Jayabaya</v>
          </cell>
          <cell r="I323" t="str">
            <v>DKI Jakarta</v>
          </cell>
          <cell r="J323" t="str">
            <v>DKI Jakarta</v>
          </cell>
          <cell r="K323">
            <v>1</v>
          </cell>
          <cell r="L323" t="str">
            <v>9 Agustus 2019</v>
          </cell>
          <cell r="M323" t="str">
            <v>9 Agustus 2019</v>
          </cell>
          <cell r="N323">
            <v>524114</v>
          </cell>
          <cell r="O323" t="str">
            <v>Belanja Perjalanan Dinas Paket Meeting Dalam Kota</v>
          </cell>
          <cell r="P323" t="str">
            <v>1367/L3/KP.11.00/2019</v>
          </cell>
          <cell r="Q323" t="str">
            <v>05 Agustus 2019</v>
          </cell>
          <cell r="S323">
            <v>0</v>
          </cell>
          <cell r="V323">
            <v>0</v>
          </cell>
          <cell r="W323">
            <v>0</v>
          </cell>
          <cell r="X323">
            <v>0</v>
          </cell>
          <cell r="Z323">
            <v>0</v>
          </cell>
          <cell r="AB323">
            <v>0</v>
          </cell>
          <cell r="AD323">
            <v>0</v>
          </cell>
          <cell r="AE323" t="str">
            <v>ya</v>
          </cell>
          <cell r="AF323">
            <v>210000</v>
          </cell>
          <cell r="AH323" t="str">
            <v xml:space="preserve">Angkutan Umum </v>
          </cell>
          <cell r="AI323" t="str">
            <v>Universitas Jayabaya</v>
          </cell>
        </row>
        <row r="324">
          <cell r="A324">
            <v>323</v>
          </cell>
          <cell r="B324" t="str">
            <v>Norsanty</v>
          </cell>
          <cell r="C324" t="str">
            <v>196411031992032001</v>
          </cell>
          <cell r="D324" t="str">
            <v>Kepala Bagian Kelembagaan dan Sistem Informasi</v>
          </cell>
          <cell r="E324" t="str">
            <v>III/d</v>
          </cell>
          <cell r="F324" t="str">
            <v>686766484412000</v>
          </cell>
          <cell r="G324" t="str">
            <v>Penata Tk. I</v>
          </cell>
          <cell r="H324" t="str">
            <v>Melakukan Monitoring dan Evaluasi ke Universitas Jayabaya</v>
          </cell>
          <cell r="I324" t="str">
            <v>DKI Jakarta</v>
          </cell>
          <cell r="J324" t="str">
            <v>DKI Jakarta</v>
          </cell>
          <cell r="K324">
            <v>1</v>
          </cell>
          <cell r="L324" t="str">
            <v>9 Agustus 2019</v>
          </cell>
          <cell r="M324" t="str">
            <v>9 Agustus 2019</v>
          </cell>
          <cell r="N324">
            <v>524114</v>
          </cell>
          <cell r="O324" t="str">
            <v>Belanja Perjalanan Dinas Paket Meeting Dalam Kota</v>
          </cell>
          <cell r="P324" t="str">
            <v>1367/L3/KP.11.00/2019</v>
          </cell>
          <cell r="Q324" t="str">
            <v>05 Agustus 2019</v>
          </cell>
          <cell r="R324" t="str">
            <v>ya</v>
          </cell>
          <cell r="S324">
            <v>150000</v>
          </cell>
          <cell r="V324">
            <v>0</v>
          </cell>
          <cell r="W324">
            <v>0</v>
          </cell>
          <cell r="X324">
            <v>0</v>
          </cell>
          <cell r="Z324">
            <v>0</v>
          </cell>
          <cell r="AB324">
            <v>0</v>
          </cell>
          <cell r="AD324">
            <v>0</v>
          </cell>
          <cell r="AE324" t="str">
            <v>ya</v>
          </cell>
          <cell r="AF324">
            <v>210000</v>
          </cell>
          <cell r="AH324" t="str">
            <v xml:space="preserve">Angkutan Umum </v>
          </cell>
          <cell r="AI324" t="str">
            <v>Universitas Jayabaya</v>
          </cell>
        </row>
        <row r="325">
          <cell r="A325">
            <v>324</v>
          </cell>
          <cell r="B325" t="str">
            <v>Sri Mastuti</v>
          </cell>
          <cell r="C325" t="str">
            <v>196305161989022001</v>
          </cell>
          <cell r="D325" t="str">
            <v>Kepala Bagian Sumber Daya Perguruan Tinggi</v>
          </cell>
          <cell r="E325" t="str">
            <v>IV/a</v>
          </cell>
          <cell r="F325" t="str">
            <v>688754316072000</v>
          </cell>
          <cell r="G325" t="str">
            <v>Pembina</v>
          </cell>
          <cell r="H325" t="str">
            <v>Melakukan Monitoring dan Evaluasi ke Universitas Jayabaya</v>
          </cell>
          <cell r="I325" t="str">
            <v>DKI Jakarta</v>
          </cell>
          <cell r="J325" t="str">
            <v>DKI Jakarta</v>
          </cell>
          <cell r="K325">
            <v>1</v>
          </cell>
          <cell r="L325" t="str">
            <v>9 Agustus 2019</v>
          </cell>
          <cell r="M325" t="str">
            <v>9 Agustus 2019</v>
          </cell>
          <cell r="N325">
            <v>524114</v>
          </cell>
          <cell r="O325" t="str">
            <v>Belanja Perjalanan Dinas Paket Meeting Dalam Kota</v>
          </cell>
          <cell r="P325" t="str">
            <v>1367/L3/KP.11.00/2019</v>
          </cell>
          <cell r="Q325" t="str">
            <v>05 Agustus 2019</v>
          </cell>
          <cell r="R325" t="str">
            <v>ya</v>
          </cell>
          <cell r="S325">
            <v>150000</v>
          </cell>
          <cell r="V325">
            <v>0</v>
          </cell>
          <cell r="W325">
            <v>0</v>
          </cell>
          <cell r="X325">
            <v>0</v>
          </cell>
          <cell r="Z325">
            <v>0</v>
          </cell>
          <cell r="AB325">
            <v>0</v>
          </cell>
          <cell r="AD325">
            <v>0</v>
          </cell>
          <cell r="AE325" t="str">
            <v>ya</v>
          </cell>
          <cell r="AF325">
            <v>210000</v>
          </cell>
          <cell r="AH325" t="str">
            <v xml:space="preserve">Angkutan Umum </v>
          </cell>
          <cell r="AI325" t="str">
            <v>Universitas Jayabaya</v>
          </cell>
        </row>
        <row r="326">
          <cell r="A326">
            <v>325</v>
          </cell>
          <cell r="B326" t="str">
            <v>Titah Widihastuti</v>
          </cell>
          <cell r="C326" t="str">
            <v>198312302010122003</v>
          </cell>
          <cell r="D326" t="str">
            <v>Analis Sistem Informasi pada Seksi Sistem Informasi pada Bidang Kelembagaan, dan Sistem Informasi</v>
          </cell>
          <cell r="E326" t="str">
            <v>III/b</v>
          </cell>
          <cell r="F326" t="str">
            <v>678780578009000</v>
          </cell>
          <cell r="G326" t="str">
            <v>Penata Muda Tk. I</v>
          </cell>
          <cell r="H326" t="str">
            <v>Melakukan Monitoring dan Evaluasi ke Universitas Jayabaya</v>
          </cell>
          <cell r="I326" t="str">
            <v>DKI Jakarta</v>
          </cell>
          <cell r="J326" t="str">
            <v>DKI Jakarta</v>
          </cell>
          <cell r="K326">
            <v>1</v>
          </cell>
          <cell r="L326" t="str">
            <v>9 Agustus 2019</v>
          </cell>
          <cell r="M326" t="str">
            <v>9 Agustus 2019</v>
          </cell>
          <cell r="N326">
            <v>524114</v>
          </cell>
          <cell r="O326" t="str">
            <v>Belanja Perjalanan Dinas Paket Meeting Dalam Kota</v>
          </cell>
          <cell r="P326" t="str">
            <v>1367/L3/KP.11.00/2019</v>
          </cell>
          <cell r="Q326" t="str">
            <v>05 Agustus 2019</v>
          </cell>
          <cell r="R326" t="str">
            <v>ya</v>
          </cell>
          <cell r="S326">
            <v>150000</v>
          </cell>
          <cell r="V326">
            <v>0</v>
          </cell>
          <cell r="W326">
            <v>0</v>
          </cell>
          <cell r="X326">
            <v>0</v>
          </cell>
          <cell r="Z326">
            <v>0</v>
          </cell>
          <cell r="AB326">
            <v>0</v>
          </cell>
          <cell r="AD326">
            <v>0</v>
          </cell>
          <cell r="AE326" t="str">
            <v>ya</v>
          </cell>
          <cell r="AF326">
            <v>210000</v>
          </cell>
          <cell r="AH326" t="str">
            <v xml:space="preserve">Angkutan Umum </v>
          </cell>
          <cell r="AI326" t="str">
            <v>Universitas Jayabaya</v>
          </cell>
        </row>
        <row r="327">
          <cell r="A327">
            <v>326</v>
          </cell>
          <cell r="B327" t="str">
            <v>Mulhadi HM</v>
          </cell>
          <cell r="C327" t="str">
            <v>199204072015041001</v>
          </cell>
          <cell r="D327" t="str">
            <v>Analis Kelembagaan pada Seksi Kelembagaan, dan Kerjasama pada Bidang Kelembagaan, dan Sistem Informasi</v>
          </cell>
          <cell r="E327" t="str">
            <v>III/a</v>
          </cell>
          <cell r="F327" t="str">
            <v>737792366005000</v>
          </cell>
          <cell r="G327" t="str">
            <v>Penata Muda</v>
          </cell>
          <cell r="H327" t="str">
            <v>Melakukan Monitoring dan Evaluasi ke Universitas Jayabaya</v>
          </cell>
          <cell r="I327" t="str">
            <v>DKI Jakarta</v>
          </cell>
          <cell r="J327" t="str">
            <v>DKI Jakarta</v>
          </cell>
          <cell r="K327">
            <v>1</v>
          </cell>
          <cell r="L327" t="str">
            <v>9 Agustus 2019</v>
          </cell>
          <cell r="M327" t="str">
            <v>9 Agustus 2019</v>
          </cell>
          <cell r="N327">
            <v>524114</v>
          </cell>
          <cell r="O327" t="str">
            <v>Belanja Perjalanan Dinas Paket Meeting Dalam Kota</v>
          </cell>
          <cell r="P327" t="str">
            <v>1367/L3/KP.11.00/2019</v>
          </cell>
          <cell r="Q327" t="str">
            <v>05 Agustus 2019</v>
          </cell>
          <cell r="R327" t="str">
            <v>ya</v>
          </cell>
          <cell r="S327">
            <v>150000</v>
          </cell>
          <cell r="V327">
            <v>0</v>
          </cell>
          <cell r="W327">
            <v>0</v>
          </cell>
          <cell r="X327">
            <v>0</v>
          </cell>
          <cell r="Z327">
            <v>0</v>
          </cell>
          <cell r="AB327">
            <v>0</v>
          </cell>
          <cell r="AD327">
            <v>0</v>
          </cell>
          <cell r="AE327" t="str">
            <v>ya</v>
          </cell>
          <cell r="AF327">
            <v>210000</v>
          </cell>
          <cell r="AH327" t="str">
            <v xml:space="preserve">Angkutan Umum </v>
          </cell>
          <cell r="AI327" t="str">
            <v>Universitas Jayabaya</v>
          </cell>
        </row>
        <row r="328">
          <cell r="A328">
            <v>327</v>
          </cell>
          <cell r="B328" t="str">
            <v>Zuzan Zanatul Mawa</v>
          </cell>
          <cell r="C328" t="str">
            <v>198904052019032023</v>
          </cell>
          <cell r="D328" t="str">
            <v xml:space="preserve">Pengelola Informasi Akademik  </v>
          </cell>
          <cell r="E328" t="str">
            <v>II/a</v>
          </cell>
          <cell r="F328" t="str">
            <v>581967874443000</v>
          </cell>
          <cell r="G328" t="str">
            <v>-</v>
          </cell>
          <cell r="H328" t="str">
            <v>Melakukan Monitoring dan Evaluasi ke Universitas Jayabaya</v>
          </cell>
          <cell r="I328" t="str">
            <v>DKI Jakarta</v>
          </cell>
          <cell r="J328" t="str">
            <v>DKI Jakarta</v>
          </cell>
          <cell r="K328">
            <v>1</v>
          </cell>
          <cell r="L328" t="str">
            <v>9 Agustus 2019</v>
          </cell>
          <cell r="M328" t="str">
            <v>9 Agustus 2019</v>
          </cell>
          <cell r="N328">
            <v>524114</v>
          </cell>
          <cell r="O328" t="str">
            <v>Belanja Perjalanan Dinas Paket Meeting Dalam Kota</v>
          </cell>
          <cell r="P328" t="str">
            <v>1367/L3/KP.11.00/2019</v>
          </cell>
          <cell r="Q328" t="str">
            <v>05 Agustus 2019</v>
          </cell>
          <cell r="R328" t="str">
            <v>ya</v>
          </cell>
          <cell r="S328">
            <v>150000</v>
          </cell>
          <cell r="V328">
            <v>0</v>
          </cell>
          <cell r="W328">
            <v>0</v>
          </cell>
          <cell r="X328">
            <v>0</v>
          </cell>
          <cell r="Z328">
            <v>0</v>
          </cell>
          <cell r="AB328">
            <v>0</v>
          </cell>
          <cell r="AD328">
            <v>0</v>
          </cell>
          <cell r="AE328" t="str">
            <v>ya</v>
          </cell>
          <cell r="AF328">
            <v>210000</v>
          </cell>
          <cell r="AH328" t="str">
            <v xml:space="preserve">Angkutan Umum </v>
          </cell>
          <cell r="AI328" t="str">
            <v>Universitas Jayabaya</v>
          </cell>
        </row>
        <row r="329">
          <cell r="A329">
            <v>328</v>
          </cell>
          <cell r="B329" t="str">
            <v>Sugiarto</v>
          </cell>
          <cell r="C329" t="str">
            <v>196303021985101001</v>
          </cell>
          <cell r="D329" t="str">
            <v>Pengelola Informasi Kerjasama pada Seksi Kelembagaan, dan Kerjasama pada Bidang Kelembagaan, dan Sistem Informasi</v>
          </cell>
          <cell r="E329" t="str">
            <v>III/b</v>
          </cell>
          <cell r="F329" t="str">
            <v>688766377024000</v>
          </cell>
          <cell r="G329" t="str">
            <v>Penata Muda Tk. I</v>
          </cell>
          <cell r="H329" t="str">
            <v>Melakukan Monitoring dan Evaluasi ke Akasema Dharma Budhi Bhakti</v>
          </cell>
          <cell r="I329" t="str">
            <v>DKI Jakarta</v>
          </cell>
          <cell r="J329" t="str">
            <v>DKI Jakarta</v>
          </cell>
          <cell r="K329">
            <v>1</v>
          </cell>
          <cell r="L329" t="str">
            <v>18 Oktober 2019</v>
          </cell>
          <cell r="M329" t="str">
            <v>18 Oktober 2019</v>
          </cell>
          <cell r="N329">
            <v>524114</v>
          </cell>
          <cell r="O329" t="str">
            <v>Belanja Perjalanan Dinas Paket Meeting Dalam Kota</v>
          </cell>
          <cell r="P329" t="str">
            <v>1862/L3/KP.11.00/2019</v>
          </cell>
          <cell r="Q329" t="str">
            <v>14 Oktober 2019</v>
          </cell>
          <cell r="R329" t="str">
            <v>ya</v>
          </cell>
          <cell r="S329">
            <v>150000</v>
          </cell>
          <cell r="V329">
            <v>0</v>
          </cell>
          <cell r="W329">
            <v>0</v>
          </cell>
          <cell r="X329">
            <v>0</v>
          </cell>
          <cell r="Z329">
            <v>0</v>
          </cell>
          <cell r="AB329">
            <v>0</v>
          </cell>
          <cell r="AD329">
            <v>0</v>
          </cell>
          <cell r="AE329" t="str">
            <v>ya</v>
          </cell>
          <cell r="AF329">
            <v>210000</v>
          </cell>
          <cell r="AH329" t="str">
            <v xml:space="preserve">Angkutan Umum </v>
          </cell>
          <cell r="AI329" t="str">
            <v>Akasema Dharma Budhi Bhakti</v>
          </cell>
        </row>
        <row r="330">
          <cell r="A330">
            <v>329</v>
          </cell>
          <cell r="B330" t="str">
            <v>Ikhsan Riyanda</v>
          </cell>
          <cell r="C330" t="str">
            <v>198303202010121003</v>
          </cell>
          <cell r="D330" t="str">
            <v>Pengelola Keuangan pada Sub. Bagian Keuangan pada Bagian Umum</v>
          </cell>
          <cell r="E330" t="str">
            <v>III/b</v>
          </cell>
          <cell r="F330" t="str">
            <v>263956575412000</v>
          </cell>
          <cell r="G330" t="str">
            <v>Penata Muda Tk. I</v>
          </cell>
          <cell r="H330" t="str">
            <v>Melakukan Monitoring dan Evaluasi ke Akasema Dharma Budhi Bhakti</v>
          </cell>
          <cell r="I330" t="str">
            <v>DKI Jakarta</v>
          </cell>
          <cell r="J330" t="str">
            <v>DKI Jakarta</v>
          </cell>
          <cell r="K330">
            <v>1</v>
          </cell>
          <cell r="L330" t="str">
            <v>18 Oktober 2019</v>
          </cell>
          <cell r="M330" t="str">
            <v>18 Oktober 2019</v>
          </cell>
          <cell r="N330">
            <v>524114</v>
          </cell>
          <cell r="O330" t="str">
            <v>Belanja Perjalanan Dinas Paket Meeting Dalam Kota</v>
          </cell>
          <cell r="P330" t="str">
            <v>1862/L3/KP.11.00/2019</v>
          </cell>
          <cell r="Q330" t="str">
            <v>14 Oktober 2019</v>
          </cell>
          <cell r="R330" t="str">
            <v>ya</v>
          </cell>
          <cell r="S330">
            <v>150000</v>
          </cell>
          <cell r="V330">
            <v>0</v>
          </cell>
          <cell r="W330">
            <v>0</v>
          </cell>
          <cell r="X330">
            <v>0</v>
          </cell>
          <cell r="Z330">
            <v>0</v>
          </cell>
          <cell r="AB330">
            <v>0</v>
          </cell>
          <cell r="AD330">
            <v>0</v>
          </cell>
          <cell r="AE330" t="str">
            <v>ya</v>
          </cell>
          <cell r="AF330">
            <v>210000</v>
          </cell>
          <cell r="AH330" t="str">
            <v xml:space="preserve">Angkutan Umum </v>
          </cell>
          <cell r="AI330" t="str">
            <v>Akasema Dharma Budhi Bhakti</v>
          </cell>
        </row>
        <row r="331">
          <cell r="A331">
            <v>330</v>
          </cell>
          <cell r="B331" t="str">
            <v>Nurul Fajri</v>
          </cell>
          <cell r="C331" t="str">
            <v>199409272019032028</v>
          </cell>
          <cell r="D331" t="str">
            <v>Pengadministrasi KSI</v>
          </cell>
          <cell r="E331" t="str">
            <v>II/c</v>
          </cell>
          <cell r="F331" t="str">
            <v>835441312432000</v>
          </cell>
          <cell r="G331" t="str">
            <v>Pengatur</v>
          </cell>
          <cell r="H331" t="str">
            <v>Melakukan Monitoring dan Evaluasi ke Akasema Dharma Budhi Bhakti</v>
          </cell>
          <cell r="I331" t="str">
            <v>DKI Jakarta</v>
          </cell>
          <cell r="J331" t="str">
            <v>DKI Jakarta</v>
          </cell>
          <cell r="K331">
            <v>1</v>
          </cell>
          <cell r="L331" t="str">
            <v>18 Oktober 2019</v>
          </cell>
          <cell r="M331" t="str">
            <v>18 Oktober 2019</v>
          </cell>
          <cell r="N331">
            <v>524114</v>
          </cell>
          <cell r="O331" t="str">
            <v>Belanja Perjalanan Dinas Paket Meeting Dalam Kota</v>
          </cell>
          <cell r="P331" t="str">
            <v>1862/L3/KP.11.00/2019</v>
          </cell>
          <cell r="Q331" t="str">
            <v>14 Oktober 2019</v>
          </cell>
          <cell r="R331" t="str">
            <v>ya</v>
          </cell>
          <cell r="S331">
            <v>150000</v>
          </cell>
          <cell r="V331">
            <v>0</v>
          </cell>
          <cell r="W331">
            <v>0</v>
          </cell>
          <cell r="X331">
            <v>0</v>
          </cell>
          <cell r="Z331">
            <v>0</v>
          </cell>
          <cell r="AB331">
            <v>0</v>
          </cell>
          <cell r="AD331">
            <v>0</v>
          </cell>
          <cell r="AE331" t="str">
            <v>ya</v>
          </cell>
          <cell r="AF331">
            <v>210000</v>
          </cell>
          <cell r="AH331" t="str">
            <v xml:space="preserve">Angkutan Umum </v>
          </cell>
          <cell r="AI331" t="str">
            <v>Akasema Dharma Budhi Bhakti</v>
          </cell>
        </row>
        <row r="332">
          <cell r="A332">
            <v>331</v>
          </cell>
          <cell r="B332" t="str">
            <v>Ning Dwi Hastuti</v>
          </cell>
          <cell r="C332" t="str">
            <v>196408091988032001</v>
          </cell>
          <cell r="D332" t="str">
            <v>Pengelola Informasi Akademik pada Seksi Akademik, dan Kemahasiswaan pada Bidang Akademik, Kemahasiswaan, dan Ketenagaan</v>
          </cell>
          <cell r="E332" t="str">
            <v>III/d</v>
          </cell>
          <cell r="F332" t="str">
            <v>245328000412001</v>
          </cell>
          <cell r="G332" t="str">
            <v>Penata Tk. I</v>
          </cell>
          <cell r="H332" t="str">
            <v>Melakukan Monitoring dan Evaluasi ke Akasema Dharma Budhi Bhakti</v>
          </cell>
          <cell r="I332" t="str">
            <v>DKI Jakarta</v>
          </cell>
          <cell r="J332" t="str">
            <v>DKI Jakarta</v>
          </cell>
          <cell r="K332">
            <v>1</v>
          </cell>
          <cell r="L332" t="str">
            <v>18 Oktober 2019</v>
          </cell>
          <cell r="M332" t="str">
            <v>18 Oktober 2019</v>
          </cell>
          <cell r="N332">
            <v>524114</v>
          </cell>
          <cell r="O332" t="str">
            <v>Belanja Perjalanan Dinas Paket Meeting Dalam Kota</v>
          </cell>
          <cell r="P332" t="str">
            <v>1862/L3/KP.11.00/2019</v>
          </cell>
          <cell r="Q332" t="str">
            <v>14 Oktober 2019</v>
          </cell>
          <cell r="R332" t="str">
            <v>ya</v>
          </cell>
          <cell r="S332">
            <v>150000</v>
          </cell>
          <cell r="V332">
            <v>0</v>
          </cell>
          <cell r="W332">
            <v>0</v>
          </cell>
          <cell r="X332">
            <v>0</v>
          </cell>
          <cell r="Z332">
            <v>0</v>
          </cell>
          <cell r="AB332">
            <v>0</v>
          </cell>
          <cell r="AD332">
            <v>0</v>
          </cell>
          <cell r="AE332" t="str">
            <v>ya</v>
          </cell>
          <cell r="AF332">
            <v>210000</v>
          </cell>
          <cell r="AH332" t="str">
            <v xml:space="preserve">Angkutan Umum </v>
          </cell>
          <cell r="AI332" t="str">
            <v>Akasema Dharma Budhi Bhakti</v>
          </cell>
        </row>
        <row r="333">
          <cell r="A333">
            <v>332</v>
          </cell>
          <cell r="B333" t="str">
            <v>M Hasannudin</v>
          </cell>
          <cell r="C333" t="str">
            <v>196307251987101001</v>
          </cell>
          <cell r="D333" t="str">
            <v>Petugas Keamanan pada Sub. Bagian Tata Usaha pada Bagian Umum</v>
          </cell>
          <cell r="E333" t="str">
            <v>III/a</v>
          </cell>
          <cell r="F333" t="str">
            <v>688766336005000</v>
          </cell>
          <cell r="G333" t="str">
            <v>Penata Muda</v>
          </cell>
          <cell r="H333" t="str">
            <v>Melakukan Monitoring dan Evaluasi ke Akasema Dharma Budhi Bhakti</v>
          </cell>
          <cell r="I333" t="str">
            <v>DKI Jakarta</v>
          </cell>
          <cell r="J333" t="str">
            <v>DKI Jakarta</v>
          </cell>
          <cell r="K333">
            <v>1</v>
          </cell>
          <cell r="L333" t="str">
            <v>18 Oktober 2019</v>
          </cell>
          <cell r="M333" t="str">
            <v>18 Oktober 2019</v>
          </cell>
          <cell r="N333">
            <v>524114</v>
          </cell>
          <cell r="O333" t="str">
            <v>Belanja Perjalanan Dinas Paket Meeting Dalam Kota</v>
          </cell>
          <cell r="P333" t="str">
            <v>1862/L3/KP.11.00/2019</v>
          </cell>
          <cell r="Q333" t="str">
            <v>14 Oktober 2019</v>
          </cell>
          <cell r="R333" t="str">
            <v>ya</v>
          </cell>
          <cell r="S333">
            <v>150000</v>
          </cell>
          <cell r="V333">
            <v>0</v>
          </cell>
          <cell r="W333">
            <v>0</v>
          </cell>
          <cell r="X333">
            <v>0</v>
          </cell>
          <cell r="Z333">
            <v>0</v>
          </cell>
          <cell r="AB333">
            <v>0</v>
          </cell>
          <cell r="AD333">
            <v>0</v>
          </cell>
          <cell r="AE333" t="str">
            <v>ya</v>
          </cell>
          <cell r="AF333">
            <v>210000</v>
          </cell>
          <cell r="AH333" t="str">
            <v xml:space="preserve">Angkutan Umum </v>
          </cell>
          <cell r="AI333" t="str">
            <v>Akasema Dharma Budhi Bhakti</v>
          </cell>
        </row>
        <row r="334">
          <cell r="A334">
            <v>333</v>
          </cell>
          <cell r="B334" t="str">
            <v>Taufiq Alamsyah</v>
          </cell>
          <cell r="C334" t="str">
            <v>196507121988101001</v>
          </cell>
          <cell r="D334" t="str">
            <v>Analis Pelaksanaan Akademik Dan Kemahasiswaan pada Seksi Akademik, dan Kemahasiswaan pada Bidang Akademik, Kemahasiswaan, dan Ketenagaan</v>
          </cell>
          <cell r="E334" t="str">
            <v>III/d</v>
          </cell>
          <cell r="F334" t="str">
            <v>688766278403000</v>
          </cell>
          <cell r="G334" t="str">
            <v>Penata Tk. I</v>
          </cell>
          <cell r="H334" t="str">
            <v>Melakukan Monitoring dan Evaluasi ke STIBA IEC</v>
          </cell>
          <cell r="I334" t="str">
            <v>DKI Jakarta</v>
          </cell>
          <cell r="J334" t="str">
            <v>DKI Jakarta</v>
          </cell>
          <cell r="K334">
            <v>1</v>
          </cell>
          <cell r="L334" t="str">
            <v>21 Oktober 2018</v>
          </cell>
          <cell r="M334" t="str">
            <v>21 Oktober 2018</v>
          </cell>
          <cell r="N334">
            <v>524114</v>
          </cell>
          <cell r="O334" t="str">
            <v>Belanja Perjalanan Dinas Paket Meeting Dalam Kota</v>
          </cell>
          <cell r="P334" t="str">
            <v>1862/L3/KP.11.00/2019</v>
          </cell>
          <cell r="Q334" t="str">
            <v>14 Oktober 2019</v>
          </cell>
          <cell r="R334" t="str">
            <v>ya</v>
          </cell>
          <cell r="S334">
            <v>150000</v>
          </cell>
          <cell r="V334">
            <v>0</v>
          </cell>
          <cell r="W334">
            <v>0</v>
          </cell>
          <cell r="X334">
            <v>0</v>
          </cell>
          <cell r="Z334">
            <v>0</v>
          </cell>
          <cell r="AB334">
            <v>0</v>
          </cell>
          <cell r="AD334">
            <v>0</v>
          </cell>
          <cell r="AE334" t="str">
            <v>ya</v>
          </cell>
          <cell r="AF334">
            <v>210000</v>
          </cell>
          <cell r="AH334" t="str">
            <v xml:space="preserve">Angkutan Umum </v>
          </cell>
          <cell r="AI334" t="str">
            <v>STIBA IEC</v>
          </cell>
        </row>
        <row r="335">
          <cell r="A335">
            <v>334</v>
          </cell>
          <cell r="B335" t="str">
            <v>Tri Munanto</v>
          </cell>
          <cell r="C335" t="str">
            <v>198601212010121003</v>
          </cell>
          <cell r="D335" t="str">
            <v>Analis Kelembagaan pada Seksi Kelembagaan, dan Kerjasama pada Bidang Kelembagaan, dan Sistem Informasi</v>
          </cell>
          <cell r="E335" t="str">
            <v>III/b</v>
          </cell>
          <cell r="F335" t="str">
            <v>248877086013000</v>
          </cell>
          <cell r="G335" t="str">
            <v>Penata Muda Tk. I</v>
          </cell>
          <cell r="H335" t="str">
            <v>Melakukan Monitoring dan Evaluasi ke STIBA IEC</v>
          </cell>
          <cell r="I335" t="str">
            <v>DKI Jakarta</v>
          </cell>
          <cell r="J335" t="str">
            <v>DKI Jakarta</v>
          </cell>
          <cell r="K335">
            <v>1</v>
          </cell>
          <cell r="L335" t="str">
            <v>21 Oktober 2018</v>
          </cell>
          <cell r="M335" t="str">
            <v>21 Oktober 2018</v>
          </cell>
          <cell r="N335">
            <v>524114</v>
          </cell>
          <cell r="O335" t="str">
            <v>Belanja Perjalanan Dinas Paket Meeting Dalam Kota</v>
          </cell>
          <cell r="P335" t="str">
            <v>1862/L3/KP.11.00/2019</v>
          </cell>
          <cell r="Q335" t="str">
            <v>14 Oktober 2019</v>
          </cell>
          <cell r="R335" t="str">
            <v>ya</v>
          </cell>
          <cell r="S335">
            <v>150000</v>
          </cell>
          <cell r="V335">
            <v>0</v>
          </cell>
          <cell r="W335">
            <v>0</v>
          </cell>
          <cell r="X335">
            <v>0</v>
          </cell>
          <cell r="Z335">
            <v>0</v>
          </cell>
          <cell r="AB335">
            <v>0</v>
          </cell>
          <cell r="AD335">
            <v>0</v>
          </cell>
          <cell r="AE335" t="str">
            <v>ya</v>
          </cell>
          <cell r="AF335">
            <v>210000</v>
          </cell>
          <cell r="AH335" t="str">
            <v xml:space="preserve">Angkutan Umum </v>
          </cell>
          <cell r="AI335" t="str">
            <v>STIBA IEC</v>
          </cell>
        </row>
        <row r="336">
          <cell r="A336">
            <v>335</v>
          </cell>
          <cell r="B336" t="str">
            <v>Adhy Purnama</v>
          </cell>
          <cell r="C336" t="str">
            <v>198104182010121002</v>
          </cell>
          <cell r="D336" t="str">
            <v>Pengadministrasi Akademik pada Seksi Akademik, dan Kemahasiswaan pada Bidang Akademik, Kemahasiswaan, dan Ketenagaan</v>
          </cell>
          <cell r="E336" t="str">
            <v>III/b</v>
          </cell>
          <cell r="F336" t="str">
            <v>594386401426000</v>
          </cell>
          <cell r="G336" t="str">
            <v>Penata Muda Tk. I</v>
          </cell>
          <cell r="H336" t="str">
            <v>Melakukan Monitoring dan Evaluasi ke STIBA IEC</v>
          </cell>
          <cell r="I336" t="str">
            <v>DKI Jakarta</v>
          </cell>
          <cell r="J336" t="str">
            <v>DKI Jakarta</v>
          </cell>
          <cell r="K336">
            <v>1</v>
          </cell>
          <cell r="L336" t="str">
            <v>21 Oktober 2018</v>
          </cell>
          <cell r="M336" t="str">
            <v>21 Oktober 2018</v>
          </cell>
          <cell r="N336">
            <v>524114</v>
          </cell>
          <cell r="O336" t="str">
            <v>Belanja Perjalanan Dinas Paket Meeting Dalam Kota</v>
          </cell>
          <cell r="P336" t="str">
            <v>1862/L3/KP.11.00/2019</v>
          </cell>
          <cell r="Q336" t="str">
            <v>14 Oktober 2019</v>
          </cell>
          <cell r="R336" t="str">
            <v>ya</v>
          </cell>
          <cell r="S336">
            <v>150000</v>
          </cell>
          <cell r="V336">
            <v>0</v>
          </cell>
          <cell r="W336">
            <v>0</v>
          </cell>
          <cell r="X336">
            <v>0</v>
          </cell>
          <cell r="Z336">
            <v>0</v>
          </cell>
          <cell r="AB336">
            <v>0</v>
          </cell>
          <cell r="AD336">
            <v>0</v>
          </cell>
          <cell r="AE336" t="str">
            <v>ya</v>
          </cell>
          <cell r="AF336">
            <v>210000</v>
          </cell>
          <cell r="AH336" t="str">
            <v xml:space="preserve">Angkutan Umum </v>
          </cell>
          <cell r="AI336" t="str">
            <v>STIBA IEC</v>
          </cell>
        </row>
        <row r="337">
          <cell r="A337">
            <v>336</v>
          </cell>
          <cell r="B337" t="str">
            <v>Santosa</v>
          </cell>
          <cell r="C337" t="str">
            <v>196203301987031002</v>
          </cell>
          <cell r="D337" t="str">
            <v>Pengadministrasi Umum pada Seksi Sistem Informasi pada Bidang Kelembagaan, dan Sistem Informasi</v>
          </cell>
          <cell r="E337" t="str">
            <v>II/c</v>
          </cell>
          <cell r="F337" t="str">
            <v>688766310403000</v>
          </cell>
          <cell r="G337" t="str">
            <v>Pengatur</v>
          </cell>
          <cell r="H337" t="str">
            <v>Melakukan Monitoring dan Evaluasi ke STIBA IEC</v>
          </cell>
          <cell r="I337" t="str">
            <v>DKI Jakarta</v>
          </cell>
          <cell r="J337" t="str">
            <v>DKI Jakarta</v>
          </cell>
          <cell r="K337">
            <v>1</v>
          </cell>
          <cell r="L337" t="str">
            <v>21 Oktober 2018</v>
          </cell>
          <cell r="M337" t="str">
            <v>21 Oktober 2018</v>
          </cell>
          <cell r="N337">
            <v>524114</v>
          </cell>
          <cell r="O337" t="str">
            <v>Belanja Perjalanan Dinas Paket Meeting Dalam Kota</v>
          </cell>
          <cell r="P337" t="str">
            <v>1862/L3/KP.11.00/2019</v>
          </cell>
          <cell r="Q337" t="str">
            <v>14 Oktober 2019</v>
          </cell>
          <cell r="R337" t="str">
            <v>ya</v>
          </cell>
          <cell r="S337">
            <v>150000</v>
          </cell>
          <cell r="V337">
            <v>0</v>
          </cell>
          <cell r="W337">
            <v>0</v>
          </cell>
          <cell r="X337">
            <v>0</v>
          </cell>
          <cell r="Z337">
            <v>0</v>
          </cell>
          <cell r="AB337">
            <v>0</v>
          </cell>
          <cell r="AD337">
            <v>0</v>
          </cell>
          <cell r="AE337" t="str">
            <v>ya</v>
          </cell>
          <cell r="AF337">
            <v>210000</v>
          </cell>
          <cell r="AH337" t="str">
            <v xml:space="preserve">Angkutan Umum </v>
          </cell>
          <cell r="AI337" t="str">
            <v>STIBA IEC</v>
          </cell>
        </row>
        <row r="338">
          <cell r="A338">
            <v>337</v>
          </cell>
          <cell r="B338" t="str">
            <v xml:space="preserve">Risma Testir </v>
          </cell>
          <cell r="C338" t="str">
            <v>199412132019032000</v>
          </cell>
          <cell r="D338" t="str">
            <v>Pengadministrasi HKT</v>
          </cell>
          <cell r="E338" t="str">
            <v>PNS, II/c</v>
          </cell>
          <cell r="F338" t="str">
            <v>912875820203000</v>
          </cell>
          <cell r="G338" t="str">
            <v>Pengatur</v>
          </cell>
          <cell r="H338" t="str">
            <v>Melakukan Monitoring dan Evaluasi ke STIBA IEC</v>
          </cell>
          <cell r="I338" t="str">
            <v>DKI Jakarta</v>
          </cell>
          <cell r="J338" t="str">
            <v>DKI Jakarta</v>
          </cell>
          <cell r="K338">
            <v>1</v>
          </cell>
          <cell r="L338" t="str">
            <v>21 Oktober 2018</v>
          </cell>
          <cell r="M338" t="str">
            <v>21 Oktober 2018</v>
          </cell>
          <cell r="N338">
            <v>524114</v>
          </cell>
          <cell r="O338" t="str">
            <v>Belanja Perjalanan Dinas Paket Meeting Dalam Kota</v>
          </cell>
          <cell r="P338" t="str">
            <v>1862/L3/KP.11.00/2019</v>
          </cell>
          <cell r="Q338" t="str">
            <v>14 Oktober 2019</v>
          </cell>
          <cell r="R338" t="str">
            <v>ya</v>
          </cell>
          <cell r="S338">
            <v>150000</v>
          </cell>
          <cell r="V338">
            <v>0</v>
          </cell>
          <cell r="W338">
            <v>0</v>
          </cell>
          <cell r="X338">
            <v>0</v>
          </cell>
          <cell r="Z338">
            <v>0</v>
          </cell>
          <cell r="AB338">
            <v>0</v>
          </cell>
          <cell r="AD338">
            <v>0</v>
          </cell>
          <cell r="AE338" t="str">
            <v>ya</v>
          </cell>
          <cell r="AF338">
            <v>210000</v>
          </cell>
          <cell r="AH338" t="str">
            <v xml:space="preserve">Angkutan Umum </v>
          </cell>
          <cell r="AI338" t="str">
            <v>STIBA IEC</v>
          </cell>
        </row>
        <row r="339">
          <cell r="A339">
            <v>338</v>
          </cell>
          <cell r="B339" t="str">
            <v>Sri Mastuti</v>
          </cell>
          <cell r="C339" t="str">
            <v>196305161989022001</v>
          </cell>
          <cell r="D339" t="str">
            <v>Kepala Bagian Sumber Daya Perguruan Tinggi</v>
          </cell>
          <cell r="E339" t="str">
            <v>IV/a</v>
          </cell>
          <cell r="F339" t="str">
            <v>688754316072000</v>
          </cell>
          <cell r="G339" t="str">
            <v>Pembina</v>
          </cell>
          <cell r="H339" t="str">
            <v>Melakukan Monitoring dan Evaluasi ke STIE Tunas Nusantara</v>
          </cell>
          <cell r="I339" t="str">
            <v>DKI Jakarta</v>
          </cell>
          <cell r="J339" t="str">
            <v>DKI Jakarta</v>
          </cell>
          <cell r="K339">
            <v>1</v>
          </cell>
          <cell r="L339" t="str">
            <v>21 Oktober 2018</v>
          </cell>
          <cell r="M339" t="str">
            <v>21 Oktober 2018</v>
          </cell>
          <cell r="N339">
            <v>524114</v>
          </cell>
          <cell r="O339" t="str">
            <v>Belanja Perjalanan Dinas Paket Meeting Dalam Kota</v>
          </cell>
          <cell r="P339" t="str">
            <v>1862/L3/KP.11.00/2019</v>
          </cell>
          <cell r="Q339" t="str">
            <v>14 Oktober 2019</v>
          </cell>
          <cell r="R339" t="str">
            <v>ya</v>
          </cell>
          <cell r="S339">
            <v>150000</v>
          </cell>
          <cell r="V339">
            <v>0</v>
          </cell>
          <cell r="W339">
            <v>0</v>
          </cell>
          <cell r="X339">
            <v>0</v>
          </cell>
          <cell r="Z339">
            <v>0</v>
          </cell>
          <cell r="AB339">
            <v>0</v>
          </cell>
          <cell r="AD339">
            <v>0</v>
          </cell>
          <cell r="AE339" t="str">
            <v>ya</v>
          </cell>
          <cell r="AF339">
            <v>210000</v>
          </cell>
          <cell r="AH339" t="str">
            <v xml:space="preserve">Angkutan Umum </v>
          </cell>
          <cell r="AI339" t="str">
            <v>STIE Tunas Nusantara</v>
          </cell>
        </row>
        <row r="340">
          <cell r="A340">
            <v>339</v>
          </cell>
          <cell r="B340" t="str">
            <v>Dian Rusdiana</v>
          </cell>
          <cell r="C340" t="str">
            <v>-</v>
          </cell>
          <cell r="D340" t="str">
            <v>Pengadministrasi Akademik pada Seksi Akademik, dan Kemahasiswaan pada Bidang Akademik, Kemahasiswaan, dan Ketenagaan</v>
          </cell>
          <cell r="E340" t="str">
            <v>PNS, III/a</v>
          </cell>
          <cell r="F340" t="str">
            <v>095432696017000</v>
          </cell>
          <cell r="G340" t="str">
            <v>-</v>
          </cell>
          <cell r="H340" t="str">
            <v>Melakukan Monitoring dan Evaluasi ke STIE Tunas Nusantara</v>
          </cell>
          <cell r="I340" t="str">
            <v>DKI Jakarta</v>
          </cell>
          <cell r="J340" t="str">
            <v>DKI Jakarta</v>
          </cell>
          <cell r="K340">
            <v>1</v>
          </cell>
          <cell r="L340" t="str">
            <v>21 Oktober 2018</v>
          </cell>
          <cell r="M340" t="str">
            <v>21 Oktober 2018</v>
          </cell>
          <cell r="N340">
            <v>524114</v>
          </cell>
          <cell r="O340" t="str">
            <v>Belanja Perjalanan Dinas Paket Meeting Dalam Kota</v>
          </cell>
          <cell r="P340" t="str">
            <v>1862/L3/KP.11.00/2019</v>
          </cell>
          <cell r="Q340" t="str">
            <v>14 Oktober 2019</v>
          </cell>
          <cell r="R340" t="str">
            <v>ya</v>
          </cell>
          <cell r="S340">
            <v>150000</v>
          </cell>
          <cell r="V340">
            <v>0</v>
          </cell>
          <cell r="W340">
            <v>0</v>
          </cell>
          <cell r="X340">
            <v>0</v>
          </cell>
          <cell r="Z340">
            <v>0</v>
          </cell>
          <cell r="AB340">
            <v>0</v>
          </cell>
          <cell r="AD340">
            <v>0</v>
          </cell>
          <cell r="AE340" t="str">
            <v>ya</v>
          </cell>
          <cell r="AF340">
            <v>210000</v>
          </cell>
          <cell r="AH340" t="str">
            <v xml:space="preserve">Angkutan Umum </v>
          </cell>
          <cell r="AI340" t="str">
            <v>STIE Tunas Nusantara</v>
          </cell>
        </row>
        <row r="341">
          <cell r="A341">
            <v>340</v>
          </cell>
          <cell r="B341" t="str">
            <v>Endang Sutisna</v>
          </cell>
          <cell r="C341" t="str">
            <v>197406292005011001</v>
          </cell>
          <cell r="D341" t="str">
            <v>Pengadministrasi Kepegawaian pada Sub. Bagian Kepegawaian pada Bagian Umum</v>
          </cell>
          <cell r="E341" t="str">
            <v>II/d</v>
          </cell>
          <cell r="F341" t="str">
            <v>688754233412000</v>
          </cell>
          <cell r="G341" t="str">
            <v>Pengatur Tk. I</v>
          </cell>
          <cell r="H341" t="str">
            <v>Melakukan Monitoring dan Evaluasi ke STIE Tunas Nusantara</v>
          </cell>
          <cell r="I341" t="str">
            <v>DKI Jakarta</v>
          </cell>
          <cell r="J341" t="str">
            <v>DKI Jakarta</v>
          </cell>
          <cell r="K341">
            <v>1</v>
          </cell>
          <cell r="L341" t="str">
            <v>21 Oktober 2018</v>
          </cell>
          <cell r="M341" t="str">
            <v>21 Oktober 2018</v>
          </cell>
          <cell r="N341">
            <v>524114</v>
          </cell>
          <cell r="O341" t="str">
            <v>Belanja Perjalanan Dinas Paket Meeting Dalam Kota</v>
          </cell>
          <cell r="P341" t="str">
            <v>1862/L3/KP.11.00/2019</v>
          </cell>
          <cell r="Q341" t="str">
            <v>14 Oktober 2019</v>
          </cell>
          <cell r="R341" t="str">
            <v>ya</v>
          </cell>
          <cell r="S341">
            <v>150000</v>
          </cell>
          <cell r="V341">
            <v>0</v>
          </cell>
          <cell r="W341">
            <v>0</v>
          </cell>
          <cell r="X341">
            <v>0</v>
          </cell>
          <cell r="Z341">
            <v>0</v>
          </cell>
          <cell r="AB341">
            <v>0</v>
          </cell>
          <cell r="AD341">
            <v>0</v>
          </cell>
          <cell r="AE341" t="str">
            <v>ya</v>
          </cell>
          <cell r="AF341">
            <v>210000</v>
          </cell>
          <cell r="AH341" t="str">
            <v xml:space="preserve">Angkutan Umum </v>
          </cell>
          <cell r="AI341" t="str">
            <v>STIE Tunas Nusantara</v>
          </cell>
        </row>
        <row r="342">
          <cell r="A342">
            <v>341</v>
          </cell>
          <cell r="B342" t="str">
            <v>Sujono</v>
          </cell>
          <cell r="C342" t="str">
            <v>196312131987031003</v>
          </cell>
          <cell r="D342" t="str">
            <v xml:space="preserve">Pengadministrasi Persuratan pada Sub. Bagian Tata Usaha pada Bagian Umum  </v>
          </cell>
          <cell r="E342" t="str">
            <v>III/b</v>
          </cell>
          <cell r="F342" t="str">
            <v>688766245412000</v>
          </cell>
          <cell r="G342" t="str">
            <v>Penata Muda Tk. I</v>
          </cell>
          <cell r="H342" t="str">
            <v>Melakukan Monitoring dan Evaluasi ke STIE Tunas Nusantara</v>
          </cell>
          <cell r="I342" t="str">
            <v>DKI Jakarta</v>
          </cell>
          <cell r="J342" t="str">
            <v>DKI Jakarta</v>
          </cell>
          <cell r="K342">
            <v>1</v>
          </cell>
          <cell r="L342" t="str">
            <v>21 Oktober 2018</v>
          </cell>
          <cell r="M342" t="str">
            <v>21 Oktober 2018</v>
          </cell>
          <cell r="N342">
            <v>524114</v>
          </cell>
          <cell r="O342" t="str">
            <v>Belanja Perjalanan Dinas Paket Meeting Dalam Kota</v>
          </cell>
          <cell r="P342" t="str">
            <v>1862/L3/KP.11.00/2019</v>
          </cell>
          <cell r="Q342" t="str">
            <v>14 Oktober 2019</v>
          </cell>
          <cell r="R342" t="str">
            <v>ya</v>
          </cell>
          <cell r="S342">
            <v>150000</v>
          </cell>
          <cell r="V342">
            <v>0</v>
          </cell>
          <cell r="W342">
            <v>0</v>
          </cell>
          <cell r="X342">
            <v>0</v>
          </cell>
          <cell r="Z342">
            <v>0</v>
          </cell>
          <cell r="AB342">
            <v>0</v>
          </cell>
          <cell r="AD342">
            <v>0</v>
          </cell>
          <cell r="AE342" t="str">
            <v>ya</v>
          </cell>
          <cell r="AF342">
            <v>210000</v>
          </cell>
          <cell r="AH342" t="str">
            <v xml:space="preserve">Angkutan Umum </v>
          </cell>
          <cell r="AI342" t="str">
            <v>STIE Tunas Nusantara</v>
          </cell>
        </row>
        <row r="343">
          <cell r="A343">
            <v>342</v>
          </cell>
          <cell r="B343" t="str">
            <v>Boy Alexandry</v>
          </cell>
          <cell r="C343" t="str">
            <v>196301091994031002</v>
          </cell>
          <cell r="D343" t="str">
            <v xml:space="preserve">Kepala Sub. Bagian Tata Usaha pada Bagian Umum                                          </v>
          </cell>
          <cell r="E343" t="str">
            <v>IV/a</v>
          </cell>
          <cell r="F343" t="str">
            <v>688766658017000</v>
          </cell>
          <cell r="G343" t="str">
            <v>Pembina</v>
          </cell>
          <cell r="H343" t="str">
            <v>Melakukan Monitoring dan Evaluasi ke Akademi Maritim Dradjat</v>
          </cell>
          <cell r="I343" t="str">
            <v>DKI Jakarta</v>
          </cell>
          <cell r="J343" t="str">
            <v>DKI Jakarta</v>
          </cell>
          <cell r="K343">
            <v>1</v>
          </cell>
          <cell r="L343" t="str">
            <v>23 Oktober 2018</v>
          </cell>
          <cell r="M343" t="str">
            <v>23 Oktober 2018</v>
          </cell>
          <cell r="N343">
            <v>524114</v>
          </cell>
          <cell r="O343" t="str">
            <v>Belanja Perjalanan Dinas Paket Meeting Dalam Kota</v>
          </cell>
          <cell r="P343" t="str">
            <v>1862/L3/KP.11.00/2019</v>
          </cell>
          <cell r="Q343" t="str">
            <v>14 Oktober 2019</v>
          </cell>
          <cell r="R343" t="str">
            <v>ya</v>
          </cell>
          <cell r="S343">
            <v>150000</v>
          </cell>
          <cell r="V343">
            <v>0</v>
          </cell>
          <cell r="W343">
            <v>0</v>
          </cell>
          <cell r="X343">
            <v>0</v>
          </cell>
          <cell r="Z343">
            <v>0</v>
          </cell>
          <cell r="AB343">
            <v>0</v>
          </cell>
          <cell r="AD343">
            <v>0</v>
          </cell>
          <cell r="AE343" t="str">
            <v>ya</v>
          </cell>
          <cell r="AF343">
            <v>210000</v>
          </cell>
          <cell r="AH343" t="str">
            <v xml:space="preserve">Angkutan Umum </v>
          </cell>
          <cell r="AI343" t="str">
            <v>Akademi Maritim drajat</v>
          </cell>
        </row>
        <row r="344">
          <cell r="A344">
            <v>343</v>
          </cell>
          <cell r="B344" t="str">
            <v>Titah Widihastuti</v>
          </cell>
          <cell r="C344" t="str">
            <v>198312302010122003</v>
          </cell>
          <cell r="D344" t="str">
            <v>Analis Sistem Informasi pada Seksi Sistem Informasi pada Bidang Kelembagaan, dan Sistem Informasi</v>
          </cell>
          <cell r="E344" t="str">
            <v>III/b</v>
          </cell>
          <cell r="F344" t="str">
            <v>678780578009000</v>
          </cell>
          <cell r="G344" t="str">
            <v>Penata Muda Tk. I</v>
          </cell>
          <cell r="H344" t="str">
            <v>Melakukan Monitoring dan Evaluasi ke Akademi Maritim Dradjat</v>
          </cell>
          <cell r="I344" t="str">
            <v>DKI Jakarta</v>
          </cell>
          <cell r="J344" t="str">
            <v>DKI Jakarta</v>
          </cell>
          <cell r="K344">
            <v>1</v>
          </cell>
          <cell r="L344" t="str">
            <v>23 Oktober 2018</v>
          </cell>
          <cell r="M344" t="str">
            <v>23 Oktober 2018</v>
          </cell>
          <cell r="N344">
            <v>524114</v>
          </cell>
          <cell r="O344" t="str">
            <v>Belanja Perjalanan Dinas Paket Meeting Dalam Kota</v>
          </cell>
          <cell r="P344" t="str">
            <v>1862/L3/KP.11.00/2019</v>
          </cell>
          <cell r="Q344" t="str">
            <v>14 Oktober 2019</v>
          </cell>
          <cell r="R344" t="str">
            <v>ya</v>
          </cell>
          <cell r="S344">
            <v>150000</v>
          </cell>
          <cell r="V344">
            <v>0</v>
          </cell>
          <cell r="W344">
            <v>0</v>
          </cell>
          <cell r="X344">
            <v>0</v>
          </cell>
          <cell r="Z344">
            <v>0</v>
          </cell>
          <cell r="AB344">
            <v>0</v>
          </cell>
          <cell r="AD344">
            <v>0</v>
          </cell>
          <cell r="AE344" t="str">
            <v>ya</v>
          </cell>
          <cell r="AF344">
            <v>210000</v>
          </cell>
          <cell r="AH344" t="str">
            <v xml:space="preserve">Angkutan Umum </v>
          </cell>
          <cell r="AI344" t="str">
            <v>Akademi Maritim drajat</v>
          </cell>
        </row>
        <row r="345">
          <cell r="A345">
            <v>344</v>
          </cell>
          <cell r="B345" t="str">
            <v>Irmi Asnita</v>
          </cell>
          <cell r="C345" t="str">
            <v>196807171987032001</v>
          </cell>
          <cell r="D345" t="str">
            <v>Pengadministrasi Kepegawaian pada Sub. Bagian Kepegawaian pada Bagian Umum</v>
          </cell>
          <cell r="E345" t="str">
            <v>III/b</v>
          </cell>
          <cell r="F345" t="str">
            <v>688766666403000</v>
          </cell>
          <cell r="G345" t="str">
            <v>Penata Muda Tk. I</v>
          </cell>
          <cell r="H345" t="str">
            <v>Melakukan Monitoring dan Evaluasi ke Akademi Maritim Dradjat</v>
          </cell>
          <cell r="I345" t="str">
            <v>DKI Jakarta</v>
          </cell>
          <cell r="J345" t="str">
            <v>DKI Jakarta</v>
          </cell>
          <cell r="K345">
            <v>1</v>
          </cell>
          <cell r="L345" t="str">
            <v>23 Oktober 2018</v>
          </cell>
          <cell r="M345" t="str">
            <v>23 Oktober 2018</v>
          </cell>
          <cell r="N345">
            <v>524114</v>
          </cell>
          <cell r="O345" t="str">
            <v>Belanja Perjalanan Dinas Paket Meeting Dalam Kota</v>
          </cell>
          <cell r="P345" t="str">
            <v>1862/L3/KP.11.00/2019</v>
          </cell>
          <cell r="Q345" t="str">
            <v>14 Oktober 2019</v>
          </cell>
          <cell r="R345" t="str">
            <v>ya</v>
          </cell>
          <cell r="S345">
            <v>150000</v>
          </cell>
          <cell r="V345">
            <v>0</v>
          </cell>
          <cell r="W345">
            <v>0</v>
          </cell>
          <cell r="X345">
            <v>0</v>
          </cell>
          <cell r="Z345">
            <v>0</v>
          </cell>
          <cell r="AB345">
            <v>0</v>
          </cell>
          <cell r="AD345">
            <v>0</v>
          </cell>
          <cell r="AE345" t="str">
            <v>ya</v>
          </cell>
          <cell r="AF345">
            <v>210000</v>
          </cell>
          <cell r="AH345" t="str">
            <v xml:space="preserve">Angkutan Umum </v>
          </cell>
          <cell r="AI345" t="str">
            <v>Akademi Maritim drajat</v>
          </cell>
        </row>
        <row r="346">
          <cell r="A346">
            <v>345</v>
          </cell>
          <cell r="B346" t="str">
            <v>Dhita Widya Putri</v>
          </cell>
          <cell r="C346" t="str">
            <v>198804082019032016</v>
          </cell>
          <cell r="D346" t="str">
            <v>-</v>
          </cell>
          <cell r="E346" t="str">
            <v>III/a</v>
          </cell>
          <cell r="F346">
            <v>0</v>
          </cell>
          <cell r="G346" t="str">
            <v>Penata Muda</v>
          </cell>
          <cell r="H346" t="str">
            <v>Melakukan Monitoring dan Evaluasi ke Akademi Maritim Dradjat</v>
          </cell>
          <cell r="I346" t="str">
            <v>DKI Jakarta</v>
          </cell>
          <cell r="J346" t="str">
            <v>DKI Jakarta</v>
          </cell>
          <cell r="K346">
            <v>1</v>
          </cell>
          <cell r="L346" t="str">
            <v>23 Oktober 2018</v>
          </cell>
          <cell r="M346" t="str">
            <v>23 Oktober 2018</v>
          </cell>
          <cell r="N346">
            <v>524114</v>
          </cell>
          <cell r="O346" t="str">
            <v>Belanja Perjalanan Dinas Paket Meeting Dalam Kota</v>
          </cell>
          <cell r="P346" t="str">
            <v>1862/L3/KP.11.00/2019</v>
          </cell>
          <cell r="Q346" t="str">
            <v>14 Oktober 2019</v>
          </cell>
          <cell r="R346" t="str">
            <v>ya</v>
          </cell>
          <cell r="S346">
            <v>150000</v>
          </cell>
          <cell r="V346">
            <v>0</v>
          </cell>
          <cell r="W346">
            <v>0</v>
          </cell>
          <cell r="X346">
            <v>0</v>
          </cell>
          <cell r="Z346">
            <v>0</v>
          </cell>
          <cell r="AB346">
            <v>0</v>
          </cell>
          <cell r="AD346">
            <v>0</v>
          </cell>
          <cell r="AE346" t="str">
            <v>ya</v>
          </cell>
          <cell r="AF346">
            <v>210000</v>
          </cell>
          <cell r="AH346" t="str">
            <v xml:space="preserve">Angkutan Umum </v>
          </cell>
          <cell r="AI346" t="str">
            <v>Akademi Maritim drajat</v>
          </cell>
        </row>
        <row r="347">
          <cell r="A347">
            <v>346</v>
          </cell>
          <cell r="B347" t="str">
            <v>Nurul Amalia</v>
          </cell>
          <cell r="C347" t="str">
            <v>-</v>
          </cell>
          <cell r="D347" t="str">
            <v>PPNPN</v>
          </cell>
          <cell r="E347" t="str">
            <v>-</v>
          </cell>
          <cell r="F347">
            <v>0</v>
          </cell>
          <cell r="G347" t="str">
            <v>-</v>
          </cell>
          <cell r="H347" t="str">
            <v>Melakukan Monitoring dan Evaluasi ke Akademi Maritim Dradjat</v>
          </cell>
          <cell r="I347" t="str">
            <v>DKI Jakarta</v>
          </cell>
          <cell r="J347" t="str">
            <v>DKI Jakarta</v>
          </cell>
          <cell r="K347">
            <v>1</v>
          </cell>
          <cell r="L347" t="str">
            <v>23 Oktober 2018</v>
          </cell>
          <cell r="M347" t="str">
            <v>23 Oktober 2018</v>
          </cell>
          <cell r="N347">
            <v>524114</v>
          </cell>
          <cell r="O347" t="str">
            <v>Belanja Perjalanan Dinas Paket Meeting Dalam Kota</v>
          </cell>
          <cell r="P347" t="str">
            <v>1862/L3/KP.11.00/2019</v>
          </cell>
          <cell r="Q347" t="str">
            <v>14 Oktober 2019</v>
          </cell>
          <cell r="R347" t="str">
            <v>ya</v>
          </cell>
          <cell r="S347">
            <v>150000</v>
          </cell>
          <cell r="V347">
            <v>0</v>
          </cell>
          <cell r="W347">
            <v>0</v>
          </cell>
          <cell r="X347">
            <v>0</v>
          </cell>
          <cell r="Z347">
            <v>0</v>
          </cell>
          <cell r="AB347">
            <v>0</v>
          </cell>
          <cell r="AD347">
            <v>0</v>
          </cell>
          <cell r="AE347" t="str">
            <v>ya</v>
          </cell>
          <cell r="AF347">
            <v>210000</v>
          </cell>
          <cell r="AH347" t="str">
            <v xml:space="preserve">Angkutan Umum </v>
          </cell>
          <cell r="AI347" t="str">
            <v>Akademi Maritim drajat</v>
          </cell>
        </row>
        <row r="348">
          <cell r="A348">
            <v>347</v>
          </cell>
          <cell r="B348" t="str">
            <v>Norsanty</v>
          </cell>
          <cell r="C348" t="str">
            <v>196411031992032001</v>
          </cell>
          <cell r="D348" t="str">
            <v>Kepala Bagian Kelembagaan dan Sistem Informasi</v>
          </cell>
          <cell r="E348" t="str">
            <v>III/d</v>
          </cell>
          <cell r="F348" t="str">
            <v>686766484412000</v>
          </cell>
          <cell r="G348" t="str">
            <v>Penata Tk. I</v>
          </cell>
          <cell r="H348" t="str">
            <v>Melakukan Monitoring dan Evaluasi ke Sekolah Tinggi Ilmu Ekonomi IGI</v>
          </cell>
          <cell r="I348" t="str">
            <v>DKI Jakarta</v>
          </cell>
          <cell r="J348" t="str">
            <v>DKI Jakarta</v>
          </cell>
          <cell r="K348">
            <v>1</v>
          </cell>
          <cell r="L348" t="str">
            <v>23 Oktober 2018</v>
          </cell>
          <cell r="M348" t="str">
            <v>23 Oktober 2018</v>
          </cell>
          <cell r="N348">
            <v>524114</v>
          </cell>
          <cell r="O348" t="str">
            <v>Belanja Perjalanan Dinas Paket Meeting Dalam Kota</v>
          </cell>
          <cell r="P348" t="str">
            <v>1862/L3/KP.11.00/2019</v>
          </cell>
          <cell r="Q348" t="str">
            <v>14 Oktober 2019</v>
          </cell>
          <cell r="R348" t="str">
            <v>ya</v>
          </cell>
          <cell r="S348">
            <v>150000</v>
          </cell>
          <cell r="V348">
            <v>0</v>
          </cell>
          <cell r="W348">
            <v>0</v>
          </cell>
          <cell r="X348">
            <v>0</v>
          </cell>
          <cell r="Z348">
            <v>0</v>
          </cell>
          <cell r="AB348">
            <v>0</v>
          </cell>
          <cell r="AD348">
            <v>0</v>
          </cell>
          <cell r="AE348" t="str">
            <v>ya</v>
          </cell>
          <cell r="AF348">
            <v>210000</v>
          </cell>
          <cell r="AH348" t="str">
            <v xml:space="preserve">Angkutan Umum </v>
          </cell>
          <cell r="AI348" t="str">
            <v>Sekolah Tinggi Ilmu Ekonomi IGI</v>
          </cell>
        </row>
        <row r="349">
          <cell r="A349">
            <v>348</v>
          </cell>
          <cell r="B349" t="str">
            <v>Yan Medya Putri</v>
          </cell>
          <cell r="C349" t="str">
            <v>197101162005012001</v>
          </cell>
          <cell r="D349" t="str">
            <v>Pengelola Keuangan pada Sub. Bagian Keuangan pada Bagian Umum</v>
          </cell>
          <cell r="E349" t="str">
            <v>III/d</v>
          </cell>
          <cell r="F349" t="str">
            <v>594025884432000</v>
          </cell>
          <cell r="G349" t="str">
            <v>Penata Tk. I</v>
          </cell>
          <cell r="H349" t="str">
            <v>Melakukan Monitoring dan Evaluasi ke Sekolah Tinggi Ilmu Ekonomi IGI</v>
          </cell>
          <cell r="I349" t="str">
            <v>DKI Jakarta</v>
          </cell>
          <cell r="J349" t="str">
            <v>DKI Jakarta</v>
          </cell>
          <cell r="K349">
            <v>1</v>
          </cell>
          <cell r="L349" t="str">
            <v>23 Oktober 2018</v>
          </cell>
          <cell r="M349" t="str">
            <v>23 Oktober 2018</v>
          </cell>
          <cell r="N349">
            <v>524114</v>
          </cell>
          <cell r="O349" t="str">
            <v>Belanja Perjalanan Dinas Paket Meeting Dalam Kota</v>
          </cell>
          <cell r="P349" t="str">
            <v>1862/L3/KP.11.00/2019</v>
          </cell>
          <cell r="Q349" t="str">
            <v>14 Oktober 2019</v>
          </cell>
          <cell r="R349" t="str">
            <v>ya</v>
          </cell>
          <cell r="S349">
            <v>150000</v>
          </cell>
          <cell r="V349">
            <v>0</v>
          </cell>
          <cell r="W349">
            <v>0</v>
          </cell>
          <cell r="X349">
            <v>0</v>
          </cell>
          <cell r="Z349">
            <v>0</v>
          </cell>
          <cell r="AB349">
            <v>0</v>
          </cell>
          <cell r="AD349">
            <v>0</v>
          </cell>
          <cell r="AE349" t="str">
            <v>ya</v>
          </cell>
          <cell r="AF349">
            <v>210000</v>
          </cell>
          <cell r="AH349" t="str">
            <v xml:space="preserve">Angkutan Umum </v>
          </cell>
          <cell r="AI349" t="str">
            <v>Sekolah Tinggi Ilmu Ekonomi IGI</v>
          </cell>
        </row>
        <row r="350">
          <cell r="A350">
            <v>349</v>
          </cell>
          <cell r="B350" t="str">
            <v>Nur Fadillah</v>
          </cell>
          <cell r="C350" t="str">
            <v>198603192009122007</v>
          </cell>
          <cell r="D350" t="str">
            <v>Pengadministrasi Keuangan pada Sub. Bagian Keuangan pada Bagian Umum</v>
          </cell>
          <cell r="E350" t="str">
            <v>III/b</v>
          </cell>
          <cell r="F350" t="str">
            <v>348345349432000</v>
          </cell>
          <cell r="G350" t="str">
            <v>Penata Muda Tk. I</v>
          </cell>
          <cell r="H350" t="str">
            <v>Melakukan Monitoring dan Evaluasi ke Sekolah Tinggi Ilmu Ekonomi IGI</v>
          </cell>
          <cell r="I350" t="str">
            <v>DKI Jakarta</v>
          </cell>
          <cell r="J350" t="str">
            <v>DKI Jakarta</v>
          </cell>
          <cell r="K350">
            <v>1</v>
          </cell>
          <cell r="L350" t="str">
            <v>23 Oktober 2018</v>
          </cell>
          <cell r="M350" t="str">
            <v>23 Oktober 2018</v>
          </cell>
          <cell r="N350">
            <v>524114</v>
          </cell>
          <cell r="O350" t="str">
            <v>Belanja Perjalanan Dinas Paket Meeting Dalam Kota</v>
          </cell>
          <cell r="P350" t="str">
            <v>1862/L3/KP.11.00/2019</v>
          </cell>
          <cell r="Q350" t="str">
            <v>14 Oktober 2019</v>
          </cell>
          <cell r="R350" t="str">
            <v>ya</v>
          </cell>
          <cell r="S350">
            <v>150000</v>
          </cell>
          <cell r="V350">
            <v>0</v>
          </cell>
          <cell r="W350">
            <v>0</v>
          </cell>
          <cell r="X350">
            <v>0</v>
          </cell>
          <cell r="Z350">
            <v>0</v>
          </cell>
          <cell r="AB350">
            <v>0</v>
          </cell>
          <cell r="AD350">
            <v>0</v>
          </cell>
          <cell r="AE350" t="str">
            <v>ya</v>
          </cell>
          <cell r="AF350">
            <v>210000</v>
          </cell>
          <cell r="AH350" t="str">
            <v xml:space="preserve">Angkutan Umum </v>
          </cell>
          <cell r="AI350" t="str">
            <v>Sekolah Tinggi Ilmu Ekonomi IGI</v>
          </cell>
        </row>
        <row r="351">
          <cell r="A351">
            <v>350</v>
          </cell>
          <cell r="B351" t="str">
            <v>Mulhadi HM</v>
          </cell>
          <cell r="C351" t="str">
            <v>199204072015041001</v>
          </cell>
          <cell r="D351" t="str">
            <v>Analis Kelembagaan pada Seksi Kelembagaan, dan Kerjasama pada Bidang Kelembagaan, dan Sistem Informasi</v>
          </cell>
          <cell r="E351" t="str">
            <v>III/a</v>
          </cell>
          <cell r="F351" t="str">
            <v>737792366005000</v>
          </cell>
          <cell r="G351" t="str">
            <v>Penata Muda</v>
          </cell>
          <cell r="H351" t="str">
            <v>Melakukan Monitoring dan Evaluasi ke Sekolah Tinggi Ilmu Ekonomi IGI</v>
          </cell>
          <cell r="I351" t="str">
            <v>DKI Jakarta</v>
          </cell>
          <cell r="J351" t="str">
            <v>DKI Jakarta</v>
          </cell>
          <cell r="K351">
            <v>1</v>
          </cell>
          <cell r="L351" t="str">
            <v>23 Oktober 2018</v>
          </cell>
          <cell r="M351" t="str">
            <v>23 Oktober 2018</v>
          </cell>
          <cell r="N351">
            <v>524114</v>
          </cell>
          <cell r="O351" t="str">
            <v>Belanja Perjalanan Dinas Paket Meeting Dalam Kota</v>
          </cell>
          <cell r="P351" t="str">
            <v>1862/L3/KP.11.00/2019</v>
          </cell>
          <cell r="Q351" t="str">
            <v>14 Oktober 2019</v>
          </cell>
          <cell r="R351" t="str">
            <v>ya</v>
          </cell>
          <cell r="S351">
            <v>150000</v>
          </cell>
          <cell r="V351">
            <v>0</v>
          </cell>
          <cell r="W351">
            <v>0</v>
          </cell>
          <cell r="X351">
            <v>0</v>
          </cell>
          <cell r="Z351">
            <v>0</v>
          </cell>
          <cell r="AB351">
            <v>0</v>
          </cell>
          <cell r="AD351">
            <v>0</v>
          </cell>
          <cell r="AE351" t="str">
            <v>ya</v>
          </cell>
          <cell r="AF351">
            <v>210000</v>
          </cell>
          <cell r="AH351" t="str">
            <v xml:space="preserve">Angkutan Umum </v>
          </cell>
          <cell r="AI351" t="str">
            <v>Sekolah Tinggi Ilmu Ekonomi IGI</v>
          </cell>
        </row>
        <row r="352">
          <cell r="A352">
            <v>351</v>
          </cell>
          <cell r="B352" t="str">
            <v>Achmadi</v>
          </cell>
          <cell r="C352" t="str">
            <v>196806271989031004</v>
          </cell>
          <cell r="D352" t="str">
            <v>Pengemudi pada Sub. Bagian Tata Usaha pada Bagian Umum</v>
          </cell>
          <cell r="E352" t="str">
            <v>II/c</v>
          </cell>
          <cell r="F352" t="str">
            <v>774280168403000</v>
          </cell>
          <cell r="G352" t="str">
            <v>Pengatur</v>
          </cell>
          <cell r="H352" t="str">
            <v>Melakukan Monitoring dan Evaluasi ke Sekolah Tinggi Ilmu Ekonomi IGI</v>
          </cell>
          <cell r="I352" t="str">
            <v>DKI Jakarta</v>
          </cell>
          <cell r="J352" t="str">
            <v>DKI Jakarta</v>
          </cell>
          <cell r="K352">
            <v>1</v>
          </cell>
          <cell r="L352" t="str">
            <v>23 Oktober 2018</v>
          </cell>
          <cell r="M352" t="str">
            <v>23 Oktober 2018</v>
          </cell>
          <cell r="N352">
            <v>524114</v>
          </cell>
          <cell r="O352" t="str">
            <v>Belanja Perjalanan Dinas Paket Meeting Dalam Kota</v>
          </cell>
          <cell r="P352" t="str">
            <v>1862/L3/KP.11.00/2019</v>
          </cell>
          <cell r="Q352" t="str">
            <v>14 Oktober 2019</v>
          </cell>
          <cell r="R352" t="str">
            <v>ya</v>
          </cell>
          <cell r="S352">
            <v>150000</v>
          </cell>
          <cell r="V352">
            <v>0</v>
          </cell>
          <cell r="W352">
            <v>0</v>
          </cell>
          <cell r="X352">
            <v>0</v>
          </cell>
          <cell r="Z352">
            <v>0</v>
          </cell>
          <cell r="AB352">
            <v>0</v>
          </cell>
          <cell r="AD352">
            <v>0</v>
          </cell>
          <cell r="AE352" t="str">
            <v>ya</v>
          </cell>
          <cell r="AF352">
            <v>210000</v>
          </cell>
          <cell r="AH352" t="str">
            <v xml:space="preserve">Angkutan Umum </v>
          </cell>
          <cell r="AI352" t="str">
            <v>Sekolah Tinggi Ilmu Ekonomi IGI</v>
          </cell>
        </row>
        <row r="353">
          <cell r="A353">
            <v>352</v>
          </cell>
          <cell r="F353" t="e">
            <v>#N/A</v>
          </cell>
          <cell r="G353" t="e">
            <v>#N/A</v>
          </cell>
          <cell r="H353" t="str">
            <v>Melaksanakan Monitoring Kegiatan Evaluasi Kinerja Tridharma Perguruan Tinggi Tahun 2019 dan Penyampaian Komitmen Kinerja Tahun 2020 bagi Perguruan Tinggi di lingkungan LLDIKTI Wilayah III di Hotel Bidakara, Jalan Gatot Subroto, Kec. Tebet, Jakarta Selatan</v>
          </cell>
          <cell r="I353" t="str">
            <v>DKI Jakarta</v>
          </cell>
          <cell r="J353" t="str">
            <v>DKI Jakarta</v>
          </cell>
          <cell r="K353">
            <v>1</v>
          </cell>
          <cell r="L353" t="str">
            <v>2 Desember 2019</v>
          </cell>
          <cell r="M353" t="str">
            <v>2 Desember 2019</v>
          </cell>
          <cell r="N353">
            <v>524114</v>
          </cell>
          <cell r="O353" t="str">
            <v>Belanja Perjalanan Dinas Paket Meeting Dalam Kota</v>
          </cell>
          <cell r="P353" t="str">
            <v>140/LL3/KP/2019</v>
          </cell>
          <cell r="Q353" t="str">
            <v>28 November 2019</v>
          </cell>
          <cell r="R353" t="str">
            <v>ya</v>
          </cell>
          <cell r="S353">
            <v>150000</v>
          </cell>
          <cell r="V353">
            <v>0</v>
          </cell>
          <cell r="W353">
            <v>0</v>
          </cell>
          <cell r="X353">
            <v>0</v>
          </cell>
          <cell r="Z353">
            <v>0</v>
          </cell>
          <cell r="AA353" t="str">
            <v>ya</v>
          </cell>
          <cell r="AB353">
            <v>180000</v>
          </cell>
          <cell r="AD353">
            <v>0</v>
          </cell>
          <cell r="AH353" t="str">
            <v xml:space="preserve">Angkutan Umum </v>
          </cell>
        </row>
        <row r="354">
          <cell r="A354">
            <v>353</v>
          </cell>
          <cell r="F354" t="e">
            <v>#N/A</v>
          </cell>
          <cell r="G354" t="e">
            <v>#N/A</v>
          </cell>
          <cell r="H354" t="str">
            <v>Melaksanakan Monitoring Kegiatan Evaluasi Kinerja Tridharma Perguruan Tinggi Tahun 2019 dan Penyampaian Komitmen Kinerja Tahun 2020 bagi Perguruan Tinggi di lingkungan LLDIKTI Wilayah III di Hotel Bidakara, Jalan Gatot Subroto, Kec. Tebet, Jakarta Selatan</v>
          </cell>
          <cell r="I354" t="str">
            <v>DKI Jakarta</v>
          </cell>
          <cell r="J354" t="str">
            <v>DKI Jakarta</v>
          </cell>
          <cell r="K354">
            <v>1</v>
          </cell>
          <cell r="L354" t="str">
            <v>2 Desember 2019</v>
          </cell>
          <cell r="M354" t="str">
            <v>2 Desember 2019</v>
          </cell>
          <cell r="N354">
            <v>524114</v>
          </cell>
          <cell r="O354" t="str">
            <v>Belanja Perjalanan Dinas Paket Meeting Dalam Kota</v>
          </cell>
          <cell r="P354" t="str">
            <v>140/LL3/KP/2019</v>
          </cell>
          <cell r="Q354" t="str">
            <v>28 November 2019</v>
          </cell>
          <cell r="R354" t="str">
            <v>ya</v>
          </cell>
          <cell r="S354">
            <v>150000</v>
          </cell>
          <cell r="V354">
            <v>0</v>
          </cell>
          <cell r="W354">
            <v>0</v>
          </cell>
          <cell r="X354">
            <v>0</v>
          </cell>
          <cell r="Z354">
            <v>0</v>
          </cell>
          <cell r="AA354" t="str">
            <v>ya</v>
          </cell>
          <cell r="AB354">
            <v>180000</v>
          </cell>
          <cell r="AD354">
            <v>0</v>
          </cell>
          <cell r="AH354" t="str">
            <v xml:space="preserve">Angkutan Umum </v>
          </cell>
        </row>
        <row r="355">
          <cell r="A355">
            <v>354</v>
          </cell>
          <cell r="C355" t="e">
            <v>#N/A</v>
          </cell>
          <cell r="D355" t="e">
            <v>#N/A</v>
          </cell>
          <cell r="E355" t="e">
            <v>#N/A</v>
          </cell>
          <cell r="F355" t="e">
            <v>#N/A</v>
          </cell>
          <cell r="G355" t="e">
            <v>#N/A</v>
          </cell>
          <cell r="H355" t="str">
            <v>Melakukan Monitoring dan Evaluasi ke Sekolah Tinggi Ilmu Ekonomi Dwipa Wacana</v>
          </cell>
          <cell r="I355" t="str">
            <v>DKI Jakarta</v>
          </cell>
          <cell r="J355" t="str">
            <v>DKI Jakarta</v>
          </cell>
          <cell r="K355">
            <v>1</v>
          </cell>
          <cell r="L355" t="str">
            <v>30 Oktober 2018</v>
          </cell>
          <cell r="M355" t="str">
            <v>30 Oktober 2018</v>
          </cell>
          <cell r="N355">
            <v>524114</v>
          </cell>
          <cell r="O355" t="str">
            <v>Belanja Perjalanan Dinas Paket Meeting Dalam Kota</v>
          </cell>
          <cell r="R355" t="str">
            <v>ya</v>
          </cell>
          <cell r="S355">
            <v>150000</v>
          </cell>
          <cell r="T355">
            <v>3138400</v>
          </cell>
          <cell r="U355" t="str">
            <v>ya</v>
          </cell>
          <cell r="V355">
            <v>0</v>
          </cell>
          <cell r="W355">
            <v>0</v>
          </cell>
          <cell r="X355">
            <v>0</v>
          </cell>
          <cell r="Z355">
            <v>0</v>
          </cell>
          <cell r="AB355">
            <v>0</v>
          </cell>
          <cell r="AD355">
            <v>0</v>
          </cell>
          <cell r="AE355" t="str">
            <v>ya</v>
          </cell>
          <cell r="AF355">
            <v>210000</v>
          </cell>
          <cell r="AH355" t="str">
            <v xml:space="preserve">Angkutan Umum </v>
          </cell>
        </row>
        <row r="356">
          <cell r="A356">
            <v>355</v>
          </cell>
          <cell r="C356" t="e">
            <v>#N/A</v>
          </cell>
          <cell r="D356" t="e">
            <v>#N/A</v>
          </cell>
          <cell r="E356" t="e">
            <v>#N/A</v>
          </cell>
          <cell r="F356" t="e">
            <v>#N/A</v>
          </cell>
          <cell r="G356" t="e">
            <v>#N/A</v>
          </cell>
          <cell r="H356" t="str">
            <v>Melakukan Monitoring dan Evaluasi ke Universitas Krisnadwipayana</v>
          </cell>
          <cell r="I356" t="str">
            <v>DKI Jakarta</v>
          </cell>
          <cell r="J356" t="str">
            <v>DKI Jakarta</v>
          </cell>
          <cell r="K356">
            <v>1</v>
          </cell>
          <cell r="L356" t="str">
            <v>31 Oktober 2018</v>
          </cell>
          <cell r="M356" t="str">
            <v>31 Oktober 2018</v>
          </cell>
          <cell r="N356">
            <v>524114</v>
          </cell>
          <cell r="O356" t="str">
            <v>Belanja Perjalanan Dinas Paket Meeting Dalam Kota</v>
          </cell>
          <cell r="R356" t="str">
            <v>ya</v>
          </cell>
          <cell r="S356">
            <v>150000</v>
          </cell>
          <cell r="T356">
            <v>3138400</v>
          </cell>
          <cell r="U356" t="str">
            <v>ya</v>
          </cell>
          <cell r="V356">
            <v>0</v>
          </cell>
          <cell r="W356">
            <v>0</v>
          </cell>
          <cell r="X356">
            <v>0</v>
          </cell>
          <cell r="Z356">
            <v>0</v>
          </cell>
          <cell r="AB356">
            <v>0</v>
          </cell>
          <cell r="AD356">
            <v>0</v>
          </cell>
          <cell r="AE356" t="str">
            <v>ya</v>
          </cell>
          <cell r="AF356">
            <v>210000</v>
          </cell>
          <cell r="AH356" t="str">
            <v xml:space="preserve">Angkutan Umum </v>
          </cell>
        </row>
        <row r="357">
          <cell r="A357">
            <v>356</v>
          </cell>
          <cell r="C357" t="e">
            <v>#N/A</v>
          </cell>
          <cell r="D357" t="e">
            <v>#N/A</v>
          </cell>
          <cell r="E357" t="e">
            <v>#N/A</v>
          </cell>
          <cell r="F357" t="e">
            <v>#N/A</v>
          </cell>
          <cell r="G357" t="e">
            <v>#N/A</v>
          </cell>
          <cell r="H357" t="str">
            <v>Melakukan Monitoring dan Evaluasi ke Universitas Krisnadwipayana</v>
          </cell>
          <cell r="I357" t="str">
            <v>DKI Jakarta</v>
          </cell>
          <cell r="J357" t="str">
            <v>DKI Jakarta</v>
          </cell>
          <cell r="K357">
            <v>1</v>
          </cell>
          <cell r="L357" t="str">
            <v>31 Oktober 2018</v>
          </cell>
          <cell r="M357" t="str">
            <v>31 Oktober 2018</v>
          </cell>
          <cell r="N357">
            <v>524114</v>
          </cell>
          <cell r="O357" t="str">
            <v>Belanja Perjalanan Dinas Paket Meeting Dalam Kota</v>
          </cell>
          <cell r="R357" t="str">
            <v>ya</v>
          </cell>
          <cell r="S357">
            <v>150000</v>
          </cell>
          <cell r="T357">
            <v>3138400</v>
          </cell>
          <cell r="U357" t="str">
            <v>ya</v>
          </cell>
          <cell r="V357">
            <v>0</v>
          </cell>
          <cell r="W357">
            <v>0</v>
          </cell>
          <cell r="X357">
            <v>0</v>
          </cell>
          <cell r="Z357">
            <v>0</v>
          </cell>
          <cell r="AB357">
            <v>0</v>
          </cell>
          <cell r="AD357">
            <v>0</v>
          </cell>
          <cell r="AE357" t="str">
            <v>ya</v>
          </cell>
          <cell r="AF357">
            <v>210000</v>
          </cell>
          <cell r="AH357" t="str">
            <v xml:space="preserve">Angkutan Umum </v>
          </cell>
        </row>
        <row r="358">
          <cell r="A358">
            <v>357</v>
          </cell>
          <cell r="C358" t="e">
            <v>#N/A</v>
          </cell>
          <cell r="D358" t="e">
            <v>#N/A</v>
          </cell>
          <cell r="E358" t="e">
            <v>#N/A</v>
          </cell>
          <cell r="F358" t="e">
            <v>#N/A</v>
          </cell>
          <cell r="G358" t="e">
            <v>#N/A</v>
          </cell>
          <cell r="H358" t="str">
            <v>Melakukan Monitoring dan Evaluasi ke Universitas Krisnadwipayana</v>
          </cell>
          <cell r="I358" t="str">
            <v>DKI Jakarta</v>
          </cell>
          <cell r="J358" t="str">
            <v>DKI Jakarta</v>
          </cell>
          <cell r="K358">
            <v>1</v>
          </cell>
          <cell r="L358" t="str">
            <v>31 Oktober 2018</v>
          </cell>
          <cell r="M358" t="str">
            <v>31 Oktober 2018</v>
          </cell>
          <cell r="N358">
            <v>524114</v>
          </cell>
          <cell r="O358" t="str">
            <v>Belanja Perjalanan Dinas Paket Meeting Dalam Kota</v>
          </cell>
          <cell r="R358" t="str">
            <v>ya</v>
          </cell>
          <cell r="S358">
            <v>150000</v>
          </cell>
          <cell r="T358">
            <v>3138400</v>
          </cell>
          <cell r="U358" t="str">
            <v>ya</v>
          </cell>
          <cell r="V358">
            <v>0</v>
          </cell>
          <cell r="W358">
            <v>0</v>
          </cell>
          <cell r="X358">
            <v>0</v>
          </cell>
          <cell r="Z358">
            <v>0</v>
          </cell>
          <cell r="AB358">
            <v>0</v>
          </cell>
          <cell r="AD358">
            <v>0</v>
          </cell>
          <cell r="AE358" t="str">
            <v>ya</v>
          </cell>
          <cell r="AF358">
            <v>210000</v>
          </cell>
          <cell r="AH358" t="str">
            <v xml:space="preserve">Angkutan Umum </v>
          </cell>
        </row>
        <row r="359">
          <cell r="A359">
            <v>358</v>
          </cell>
          <cell r="C359" t="e">
            <v>#N/A</v>
          </cell>
          <cell r="D359" t="e">
            <v>#N/A</v>
          </cell>
          <cell r="E359" t="e">
            <v>#N/A</v>
          </cell>
          <cell r="F359" t="e">
            <v>#N/A</v>
          </cell>
          <cell r="G359" t="e">
            <v>#N/A</v>
          </cell>
          <cell r="H359" t="str">
            <v>Melakukan Monitoring dan Evaluasi ke Universitas Krisnadwipayana</v>
          </cell>
          <cell r="I359" t="str">
            <v>DKI Jakarta</v>
          </cell>
          <cell r="J359" t="str">
            <v>DKI Jakarta</v>
          </cell>
          <cell r="K359">
            <v>1</v>
          </cell>
          <cell r="L359" t="str">
            <v>31 Oktober 2018</v>
          </cell>
          <cell r="M359" t="str">
            <v>31 Oktober 2018</v>
          </cell>
          <cell r="N359">
            <v>524114</v>
          </cell>
          <cell r="O359" t="str">
            <v>Belanja Perjalanan Dinas Paket Meeting Dalam Kota</v>
          </cell>
          <cell r="R359" t="str">
            <v>ya</v>
          </cell>
          <cell r="S359">
            <v>150000</v>
          </cell>
          <cell r="T359">
            <v>3138400</v>
          </cell>
          <cell r="U359" t="str">
            <v>ya</v>
          </cell>
          <cell r="V359">
            <v>0</v>
          </cell>
          <cell r="W359">
            <v>0</v>
          </cell>
          <cell r="X359">
            <v>0</v>
          </cell>
          <cell r="Z359">
            <v>0</v>
          </cell>
          <cell r="AB359">
            <v>0</v>
          </cell>
          <cell r="AD359">
            <v>0</v>
          </cell>
          <cell r="AE359" t="str">
            <v>ya</v>
          </cell>
          <cell r="AF359">
            <v>210000</v>
          </cell>
          <cell r="AH359" t="str">
            <v xml:space="preserve">Angkutan Umum </v>
          </cell>
        </row>
        <row r="360">
          <cell r="A360">
            <v>359</v>
          </cell>
          <cell r="C360" t="e">
            <v>#N/A</v>
          </cell>
          <cell r="D360" t="e">
            <v>#N/A</v>
          </cell>
          <cell r="E360" t="e">
            <v>#N/A</v>
          </cell>
          <cell r="F360" t="e">
            <v>#N/A</v>
          </cell>
          <cell r="G360" t="e">
            <v>#N/A</v>
          </cell>
          <cell r="H360" t="str">
            <v>Melakukan Monitoring dan Evaluasi ke Universitas Krisnadwipayana</v>
          </cell>
          <cell r="I360" t="str">
            <v>DKI Jakarta</v>
          </cell>
          <cell r="J360" t="str">
            <v>DKI Jakarta</v>
          </cell>
          <cell r="K360">
            <v>1</v>
          </cell>
          <cell r="L360" t="str">
            <v>31 Oktober 2018</v>
          </cell>
          <cell r="M360" t="str">
            <v>31 Oktober 2018</v>
          </cell>
          <cell r="N360">
            <v>524114</v>
          </cell>
          <cell r="O360" t="str">
            <v>Belanja Perjalanan Dinas Paket Meeting Dalam Kota</v>
          </cell>
          <cell r="R360" t="str">
            <v>ya</v>
          </cell>
          <cell r="S360">
            <v>150000</v>
          </cell>
          <cell r="T360">
            <v>3138400</v>
          </cell>
          <cell r="U360" t="str">
            <v>ya</v>
          </cell>
          <cell r="V360">
            <v>0</v>
          </cell>
          <cell r="W360">
            <v>0</v>
          </cell>
          <cell r="X360">
            <v>0</v>
          </cell>
          <cell r="Z360">
            <v>0</v>
          </cell>
          <cell r="AB360">
            <v>0</v>
          </cell>
          <cell r="AD360">
            <v>0</v>
          </cell>
          <cell r="AE360" t="str">
            <v>ya</v>
          </cell>
          <cell r="AF360">
            <v>210000</v>
          </cell>
          <cell r="AH360" t="str">
            <v xml:space="preserve">Angkutan Umum </v>
          </cell>
        </row>
        <row r="361">
          <cell r="A361">
            <v>360</v>
          </cell>
          <cell r="C361" t="e">
            <v>#N/A</v>
          </cell>
          <cell r="D361" t="e">
            <v>#N/A</v>
          </cell>
          <cell r="E361" t="e">
            <v>#N/A</v>
          </cell>
          <cell r="F361" t="e">
            <v>#N/A</v>
          </cell>
          <cell r="G361" t="e">
            <v>#N/A</v>
          </cell>
          <cell r="H361" t="str">
            <v>Melakukan Monitoring dan Evaluasi ke Universitas Respati Indonesia</v>
          </cell>
          <cell r="I361" t="str">
            <v>DKI Jakarta</v>
          </cell>
          <cell r="J361" t="str">
            <v>DKI Jakarta</v>
          </cell>
          <cell r="K361">
            <v>1</v>
          </cell>
          <cell r="L361" t="str">
            <v>1 November 2018</v>
          </cell>
          <cell r="M361" t="str">
            <v>1 November 2018</v>
          </cell>
          <cell r="N361">
            <v>524114</v>
          </cell>
          <cell r="O361" t="str">
            <v>Belanja Perjalanan Dinas Paket Meeting Dalam Kota</v>
          </cell>
          <cell r="R361" t="str">
            <v>ya</v>
          </cell>
          <cell r="S361">
            <v>150000</v>
          </cell>
          <cell r="T361">
            <v>3138400</v>
          </cell>
          <cell r="U361" t="str">
            <v>ya</v>
          </cell>
          <cell r="V361">
            <v>0</v>
          </cell>
          <cell r="W361">
            <v>0</v>
          </cell>
          <cell r="X361">
            <v>0</v>
          </cell>
          <cell r="Z361">
            <v>0</v>
          </cell>
          <cell r="AB361">
            <v>0</v>
          </cell>
          <cell r="AD361">
            <v>0</v>
          </cell>
          <cell r="AE361" t="str">
            <v>ya</v>
          </cell>
          <cell r="AF361">
            <v>210000</v>
          </cell>
          <cell r="AH361" t="str">
            <v xml:space="preserve">Angkutan Umum </v>
          </cell>
        </row>
        <row r="362">
          <cell r="A362">
            <v>361</v>
          </cell>
          <cell r="C362" t="e">
            <v>#N/A</v>
          </cell>
          <cell r="D362" t="e">
            <v>#N/A</v>
          </cell>
          <cell r="E362" t="e">
            <v>#N/A</v>
          </cell>
          <cell r="F362" t="e">
            <v>#N/A</v>
          </cell>
          <cell r="G362" t="e">
            <v>#N/A</v>
          </cell>
          <cell r="H362" t="str">
            <v>Melakukan Monitoring dan Evaluasi ke Universitas Respati Indonesia</v>
          </cell>
          <cell r="I362" t="str">
            <v>DKI Jakarta</v>
          </cell>
          <cell r="J362" t="str">
            <v>DKI Jakarta</v>
          </cell>
          <cell r="K362">
            <v>1</v>
          </cell>
          <cell r="L362" t="str">
            <v>1 November 2018</v>
          </cell>
          <cell r="M362" t="str">
            <v>1 November 2018</v>
          </cell>
          <cell r="N362">
            <v>524114</v>
          </cell>
          <cell r="O362" t="str">
            <v>Belanja Perjalanan Dinas Paket Meeting Dalam Kota</v>
          </cell>
          <cell r="R362" t="str">
            <v>ya</v>
          </cell>
          <cell r="S362">
            <v>150000</v>
          </cell>
          <cell r="T362">
            <v>3138400</v>
          </cell>
          <cell r="U362" t="str">
            <v>ya</v>
          </cell>
          <cell r="V362">
            <v>0</v>
          </cell>
          <cell r="W362">
            <v>0</v>
          </cell>
          <cell r="X362">
            <v>0</v>
          </cell>
          <cell r="Z362">
            <v>0</v>
          </cell>
          <cell r="AB362">
            <v>0</v>
          </cell>
          <cell r="AD362">
            <v>0</v>
          </cell>
          <cell r="AE362" t="str">
            <v>ya</v>
          </cell>
          <cell r="AF362">
            <v>210000</v>
          </cell>
          <cell r="AH362" t="str">
            <v xml:space="preserve">Angkutan Umum </v>
          </cell>
        </row>
        <row r="363">
          <cell r="A363">
            <v>362</v>
          </cell>
          <cell r="C363" t="e">
            <v>#N/A</v>
          </cell>
          <cell r="D363" t="e">
            <v>#N/A</v>
          </cell>
          <cell r="E363" t="e">
            <v>#N/A</v>
          </cell>
          <cell r="F363" t="e">
            <v>#N/A</v>
          </cell>
          <cell r="G363" t="e">
            <v>#N/A</v>
          </cell>
          <cell r="H363" t="str">
            <v>Melakukan Monitoring dan Evaluasi ke Universitas Respati Indonesia</v>
          </cell>
          <cell r="I363" t="str">
            <v>DKI Jakarta</v>
          </cell>
          <cell r="J363" t="str">
            <v>DKI Jakarta</v>
          </cell>
          <cell r="K363">
            <v>1</v>
          </cell>
          <cell r="L363" t="str">
            <v>1 November 2018</v>
          </cell>
          <cell r="M363" t="str">
            <v>1 November 2018</v>
          </cell>
          <cell r="N363">
            <v>524114</v>
          </cell>
          <cell r="O363" t="str">
            <v>Belanja Perjalanan Dinas Paket Meeting Dalam Kota</v>
          </cell>
          <cell r="R363" t="str">
            <v>ya</v>
          </cell>
          <cell r="S363">
            <v>150000</v>
          </cell>
          <cell r="T363">
            <v>3138400</v>
          </cell>
          <cell r="U363" t="str">
            <v>ya</v>
          </cell>
          <cell r="V363">
            <v>0</v>
          </cell>
          <cell r="W363">
            <v>0</v>
          </cell>
          <cell r="X363">
            <v>0</v>
          </cell>
          <cell r="Z363">
            <v>0</v>
          </cell>
          <cell r="AB363">
            <v>0</v>
          </cell>
          <cell r="AD363">
            <v>0</v>
          </cell>
          <cell r="AE363" t="str">
            <v>ya</v>
          </cell>
          <cell r="AF363">
            <v>210000</v>
          </cell>
          <cell r="AH363" t="str">
            <v xml:space="preserve">Angkutan Umum </v>
          </cell>
        </row>
        <row r="364">
          <cell r="A364">
            <v>363</v>
          </cell>
          <cell r="C364" t="e">
            <v>#N/A</v>
          </cell>
          <cell r="D364" t="e">
            <v>#N/A</v>
          </cell>
          <cell r="E364" t="e">
            <v>#N/A</v>
          </cell>
          <cell r="F364" t="e">
            <v>#N/A</v>
          </cell>
          <cell r="G364" t="e">
            <v>#N/A</v>
          </cell>
          <cell r="H364" t="str">
            <v>Melakukan Monitoring dan Evaluasi ke Universitas Respati Indonesia</v>
          </cell>
          <cell r="I364" t="str">
            <v>DKI Jakarta</v>
          </cell>
          <cell r="J364" t="str">
            <v>DKI Jakarta</v>
          </cell>
          <cell r="K364">
            <v>1</v>
          </cell>
          <cell r="L364" t="str">
            <v>1 November 2018</v>
          </cell>
          <cell r="M364" t="str">
            <v>1 November 2018</v>
          </cell>
          <cell r="N364">
            <v>524114</v>
          </cell>
          <cell r="O364" t="str">
            <v>Belanja Perjalanan Dinas Paket Meeting Dalam Kota</v>
          </cell>
          <cell r="R364" t="str">
            <v>ya</v>
          </cell>
          <cell r="S364">
            <v>150000</v>
          </cell>
          <cell r="T364">
            <v>3138400</v>
          </cell>
          <cell r="U364" t="str">
            <v>ya</v>
          </cell>
          <cell r="V364">
            <v>0</v>
          </cell>
          <cell r="W364">
            <v>0</v>
          </cell>
          <cell r="X364">
            <v>0</v>
          </cell>
          <cell r="Z364">
            <v>0</v>
          </cell>
          <cell r="AB364">
            <v>0</v>
          </cell>
          <cell r="AD364">
            <v>0</v>
          </cell>
          <cell r="AE364" t="str">
            <v>ya</v>
          </cell>
          <cell r="AF364">
            <v>210000</v>
          </cell>
          <cell r="AH364" t="str">
            <v xml:space="preserve">Angkutan Umum </v>
          </cell>
        </row>
        <row r="365">
          <cell r="A365">
            <v>364</v>
          </cell>
          <cell r="C365" t="e">
            <v>#N/A</v>
          </cell>
          <cell r="D365" t="e">
            <v>#N/A</v>
          </cell>
          <cell r="E365" t="e">
            <v>#N/A</v>
          </cell>
          <cell r="F365" t="e">
            <v>#N/A</v>
          </cell>
          <cell r="G365" t="e">
            <v>#N/A</v>
          </cell>
          <cell r="H365" t="str">
            <v>Melakukan Monitoring dan Evaluasi ke Universitas Respati Indonesia</v>
          </cell>
          <cell r="I365" t="str">
            <v>DKI Jakarta</v>
          </cell>
          <cell r="J365" t="str">
            <v>DKI Jakarta</v>
          </cell>
          <cell r="K365">
            <v>1</v>
          </cell>
          <cell r="L365" t="str">
            <v>1 November 2018</v>
          </cell>
          <cell r="M365" t="str">
            <v>1 November 2018</v>
          </cell>
          <cell r="N365">
            <v>524114</v>
          </cell>
          <cell r="O365" t="str">
            <v>Belanja Perjalanan Dinas Paket Meeting Dalam Kota</v>
          </cell>
          <cell r="R365" t="str">
            <v>ya</v>
          </cell>
          <cell r="S365">
            <v>150000</v>
          </cell>
          <cell r="T365">
            <v>3138400</v>
          </cell>
          <cell r="U365" t="str">
            <v>ya</v>
          </cell>
          <cell r="V365">
            <v>0</v>
          </cell>
          <cell r="W365">
            <v>0</v>
          </cell>
          <cell r="X365">
            <v>0</v>
          </cell>
          <cell r="Z365">
            <v>0</v>
          </cell>
          <cell r="AB365">
            <v>0</v>
          </cell>
          <cell r="AD365">
            <v>0</v>
          </cell>
          <cell r="AE365" t="str">
            <v>ya</v>
          </cell>
          <cell r="AF365">
            <v>210000</v>
          </cell>
          <cell r="AH365" t="str">
            <v xml:space="preserve">Angkutan Umum </v>
          </cell>
        </row>
        <row r="366">
          <cell r="A366">
            <v>365</v>
          </cell>
          <cell r="C366" t="e">
            <v>#N/A</v>
          </cell>
          <cell r="D366" t="e">
            <v>#N/A</v>
          </cell>
          <cell r="E366" t="e">
            <v>#N/A</v>
          </cell>
          <cell r="F366" t="e">
            <v>#N/A</v>
          </cell>
          <cell r="G366" t="e">
            <v>#N/A</v>
          </cell>
          <cell r="H366" t="str">
            <v>Melakukan Monitoring dan Evaluasi ke Universitas Mpu Tantular</v>
          </cell>
          <cell r="I366" t="str">
            <v>DKI Jakarta</v>
          </cell>
          <cell r="J366" t="str">
            <v>DKI Jakarta</v>
          </cell>
          <cell r="K366">
            <v>1</v>
          </cell>
          <cell r="L366" t="str">
            <v>1 November 2018</v>
          </cell>
          <cell r="M366" t="str">
            <v>1 November 2018</v>
          </cell>
          <cell r="N366">
            <v>524114</v>
          </cell>
          <cell r="O366" t="str">
            <v>Belanja Perjalanan Dinas Paket Meeting Dalam Kota</v>
          </cell>
          <cell r="R366" t="str">
            <v>ya</v>
          </cell>
          <cell r="S366">
            <v>150000</v>
          </cell>
          <cell r="T366">
            <v>3138400</v>
          </cell>
          <cell r="U366" t="str">
            <v>ya</v>
          </cell>
          <cell r="V366">
            <v>0</v>
          </cell>
          <cell r="W366">
            <v>0</v>
          </cell>
          <cell r="X366">
            <v>0</v>
          </cell>
          <cell r="Z366">
            <v>0</v>
          </cell>
          <cell r="AB366">
            <v>0</v>
          </cell>
          <cell r="AD366">
            <v>0</v>
          </cell>
          <cell r="AE366" t="str">
            <v>ya</v>
          </cell>
          <cell r="AF366">
            <v>210000</v>
          </cell>
          <cell r="AH366" t="str">
            <v xml:space="preserve">Angkutan Umum </v>
          </cell>
        </row>
        <row r="367">
          <cell r="A367">
            <v>366</v>
          </cell>
          <cell r="C367" t="e">
            <v>#N/A</v>
          </cell>
          <cell r="D367" t="e">
            <v>#N/A</v>
          </cell>
          <cell r="E367" t="e">
            <v>#N/A</v>
          </cell>
          <cell r="F367" t="e">
            <v>#N/A</v>
          </cell>
          <cell r="G367" t="e">
            <v>#N/A</v>
          </cell>
          <cell r="H367" t="str">
            <v>Melakukan Monitoring dan Evaluasi ke Universitas Mpu Tantular</v>
          </cell>
          <cell r="I367" t="str">
            <v>DKI Jakarta</v>
          </cell>
          <cell r="J367" t="str">
            <v>DKI Jakarta</v>
          </cell>
          <cell r="K367">
            <v>1</v>
          </cell>
          <cell r="L367" t="str">
            <v>1 November 2018</v>
          </cell>
          <cell r="M367" t="str">
            <v>1 November 2018</v>
          </cell>
          <cell r="N367">
            <v>524114</v>
          </cell>
          <cell r="O367" t="str">
            <v>Belanja Perjalanan Dinas Paket Meeting Dalam Kota</v>
          </cell>
          <cell r="R367" t="str">
            <v>ya</v>
          </cell>
          <cell r="S367">
            <v>150000</v>
          </cell>
          <cell r="T367">
            <v>3138400</v>
          </cell>
          <cell r="U367" t="str">
            <v>ya</v>
          </cell>
          <cell r="V367">
            <v>0</v>
          </cell>
          <cell r="W367">
            <v>0</v>
          </cell>
          <cell r="X367">
            <v>0</v>
          </cell>
          <cell r="Z367">
            <v>0</v>
          </cell>
          <cell r="AB367">
            <v>0</v>
          </cell>
          <cell r="AD367">
            <v>0</v>
          </cell>
          <cell r="AE367" t="str">
            <v>ya</v>
          </cell>
          <cell r="AF367">
            <v>210000</v>
          </cell>
          <cell r="AH367" t="str">
            <v xml:space="preserve">Angkutan Umum </v>
          </cell>
        </row>
        <row r="368">
          <cell r="A368">
            <v>367</v>
          </cell>
          <cell r="C368" t="e">
            <v>#N/A</v>
          </cell>
          <cell r="D368" t="e">
            <v>#N/A</v>
          </cell>
          <cell r="E368" t="e">
            <v>#N/A</v>
          </cell>
          <cell r="F368" t="e">
            <v>#N/A</v>
          </cell>
          <cell r="G368" t="e">
            <v>#N/A</v>
          </cell>
          <cell r="H368" t="str">
            <v>Melakukan Monitoring dan Evaluasi ke Universitas Mpu Tantular</v>
          </cell>
          <cell r="I368" t="str">
            <v>DKI Jakarta</v>
          </cell>
          <cell r="J368" t="str">
            <v>DKI Jakarta</v>
          </cell>
          <cell r="K368">
            <v>1</v>
          </cell>
          <cell r="L368" t="str">
            <v>1 November 2018</v>
          </cell>
          <cell r="M368" t="str">
            <v>1 November 2018</v>
          </cell>
          <cell r="N368">
            <v>524114</v>
          </cell>
          <cell r="O368" t="str">
            <v>Belanja Perjalanan Dinas Paket Meeting Dalam Kota</v>
          </cell>
          <cell r="R368" t="str">
            <v>ya</v>
          </cell>
          <cell r="S368">
            <v>150000</v>
          </cell>
          <cell r="T368">
            <v>3138400</v>
          </cell>
          <cell r="U368" t="str">
            <v>ya</v>
          </cell>
          <cell r="V368">
            <v>0</v>
          </cell>
          <cell r="W368">
            <v>0</v>
          </cell>
          <cell r="X368">
            <v>0</v>
          </cell>
          <cell r="Z368">
            <v>0</v>
          </cell>
          <cell r="AB368">
            <v>0</v>
          </cell>
          <cell r="AD368">
            <v>0</v>
          </cell>
          <cell r="AE368" t="str">
            <v>ya</v>
          </cell>
          <cell r="AF368">
            <v>210000</v>
          </cell>
          <cell r="AH368" t="str">
            <v xml:space="preserve">Angkutan Umum </v>
          </cell>
        </row>
        <row r="369">
          <cell r="A369">
            <v>368</v>
          </cell>
          <cell r="C369" t="e">
            <v>#N/A</v>
          </cell>
          <cell r="D369" t="e">
            <v>#N/A</v>
          </cell>
          <cell r="E369" t="e">
            <v>#N/A</v>
          </cell>
          <cell r="F369" t="e">
            <v>#N/A</v>
          </cell>
          <cell r="G369" t="e">
            <v>#N/A</v>
          </cell>
          <cell r="H369" t="str">
            <v>Melakukan Monitoring dan Evaluasi ke Universitas Mpu Tantular</v>
          </cell>
          <cell r="I369" t="str">
            <v>DKI Jakarta</v>
          </cell>
          <cell r="J369" t="str">
            <v>DKI Jakarta</v>
          </cell>
          <cell r="K369">
            <v>1</v>
          </cell>
          <cell r="L369" t="str">
            <v>1 November 2018</v>
          </cell>
          <cell r="M369" t="str">
            <v>1 November 2018</v>
          </cell>
          <cell r="N369">
            <v>524114</v>
          </cell>
          <cell r="O369" t="str">
            <v>Belanja Perjalanan Dinas Paket Meeting Dalam Kota</v>
          </cell>
          <cell r="R369" t="str">
            <v>ya</v>
          </cell>
          <cell r="S369">
            <v>150000</v>
          </cell>
          <cell r="T369">
            <v>3138400</v>
          </cell>
          <cell r="U369" t="str">
            <v>ya</v>
          </cell>
          <cell r="V369">
            <v>0</v>
          </cell>
          <cell r="W369">
            <v>0</v>
          </cell>
          <cell r="X369">
            <v>0</v>
          </cell>
          <cell r="Z369">
            <v>0</v>
          </cell>
          <cell r="AB369">
            <v>0</v>
          </cell>
          <cell r="AD369">
            <v>0</v>
          </cell>
          <cell r="AE369" t="str">
            <v>ya</v>
          </cell>
          <cell r="AF369">
            <v>210000</v>
          </cell>
          <cell r="AH369" t="str">
            <v xml:space="preserve">Angkutan Umum </v>
          </cell>
        </row>
        <row r="370">
          <cell r="A370">
            <v>369</v>
          </cell>
          <cell r="C370" t="e">
            <v>#N/A</v>
          </cell>
          <cell r="D370" t="e">
            <v>#N/A</v>
          </cell>
          <cell r="E370" t="e">
            <v>#N/A</v>
          </cell>
          <cell r="F370" t="e">
            <v>#N/A</v>
          </cell>
          <cell r="G370" t="e">
            <v>#N/A</v>
          </cell>
          <cell r="H370" t="str">
            <v xml:space="preserve">Melakukan Monitoring dan Evaluasi ke Institut Bisnis da Multimedia Nusantara </v>
          </cell>
          <cell r="I370" t="str">
            <v>DKI Jakarta</v>
          </cell>
          <cell r="J370" t="str">
            <v>DKI Jakarta</v>
          </cell>
          <cell r="K370">
            <v>1</v>
          </cell>
          <cell r="L370" t="str">
            <v>2 November 2018</v>
          </cell>
          <cell r="M370" t="str">
            <v>2 November 2018</v>
          </cell>
          <cell r="N370">
            <v>524114</v>
          </cell>
          <cell r="O370" t="str">
            <v>Belanja Perjalanan Dinas Paket Meeting Dalam Kota</v>
          </cell>
          <cell r="R370" t="str">
            <v>ya</v>
          </cell>
          <cell r="S370">
            <v>150000</v>
          </cell>
          <cell r="T370">
            <v>3138400</v>
          </cell>
          <cell r="U370" t="str">
            <v>ya</v>
          </cell>
          <cell r="V370">
            <v>0</v>
          </cell>
          <cell r="W370">
            <v>0</v>
          </cell>
          <cell r="X370">
            <v>0</v>
          </cell>
          <cell r="Z370">
            <v>0</v>
          </cell>
          <cell r="AB370">
            <v>0</v>
          </cell>
          <cell r="AD370">
            <v>0</v>
          </cell>
          <cell r="AE370" t="str">
            <v>ya</v>
          </cell>
          <cell r="AF370">
            <v>210000</v>
          </cell>
          <cell r="AH370" t="str">
            <v xml:space="preserve">Angkutan Umum </v>
          </cell>
        </row>
        <row r="371">
          <cell r="A371">
            <v>370</v>
          </cell>
          <cell r="C371" t="e">
            <v>#N/A</v>
          </cell>
          <cell r="D371" t="e">
            <v>#N/A</v>
          </cell>
          <cell r="E371" t="e">
            <v>#N/A</v>
          </cell>
          <cell r="F371" t="e">
            <v>#N/A</v>
          </cell>
          <cell r="G371" t="e">
            <v>#N/A</v>
          </cell>
          <cell r="H371" t="str">
            <v xml:space="preserve">Melakukan Monitoring dan Evaluasi ke Institut Bisnis da Multimedia Nusantara </v>
          </cell>
          <cell r="I371" t="str">
            <v>DKI Jakarta</v>
          </cell>
          <cell r="J371" t="str">
            <v>DKI Jakarta</v>
          </cell>
          <cell r="K371">
            <v>1</v>
          </cell>
          <cell r="L371" t="str">
            <v>2 November 2018</v>
          </cell>
          <cell r="M371" t="str">
            <v>2 November 2018</v>
          </cell>
          <cell r="N371">
            <v>524114</v>
          </cell>
          <cell r="O371" t="str">
            <v>Belanja Perjalanan Dinas Paket Meeting Dalam Kota</v>
          </cell>
          <cell r="R371" t="str">
            <v>ya</v>
          </cell>
          <cell r="S371">
            <v>150000</v>
          </cell>
          <cell r="T371">
            <v>3138400</v>
          </cell>
          <cell r="U371" t="str">
            <v>ya</v>
          </cell>
          <cell r="V371">
            <v>0</v>
          </cell>
          <cell r="W371">
            <v>0</v>
          </cell>
          <cell r="X371">
            <v>0</v>
          </cell>
          <cell r="Z371">
            <v>0</v>
          </cell>
          <cell r="AB371">
            <v>0</v>
          </cell>
          <cell r="AD371">
            <v>0</v>
          </cell>
          <cell r="AE371" t="str">
            <v>ya</v>
          </cell>
          <cell r="AF371">
            <v>210000</v>
          </cell>
          <cell r="AH371" t="str">
            <v xml:space="preserve">Angkutan Umum </v>
          </cell>
        </row>
        <row r="372">
          <cell r="A372">
            <v>371</v>
          </cell>
          <cell r="C372" t="e">
            <v>#N/A</v>
          </cell>
          <cell r="D372" t="e">
            <v>#N/A</v>
          </cell>
          <cell r="E372" t="e">
            <v>#N/A</v>
          </cell>
          <cell r="F372" t="e">
            <v>#N/A</v>
          </cell>
          <cell r="G372" t="e">
            <v>#N/A</v>
          </cell>
          <cell r="H372" t="str">
            <v xml:space="preserve">Melakukan Monitoring dan Evaluasi ke Institut Bisnis da Multimedia Nusantara </v>
          </cell>
          <cell r="I372" t="str">
            <v>DKI Jakarta</v>
          </cell>
          <cell r="J372" t="str">
            <v>DKI Jakarta</v>
          </cell>
          <cell r="K372">
            <v>1</v>
          </cell>
          <cell r="L372" t="str">
            <v>2 November 2018</v>
          </cell>
          <cell r="M372" t="str">
            <v>2 November 2018</v>
          </cell>
          <cell r="N372">
            <v>524114</v>
          </cell>
          <cell r="O372" t="str">
            <v>Belanja Perjalanan Dinas Paket Meeting Dalam Kota</v>
          </cell>
          <cell r="R372" t="str">
            <v>ya</v>
          </cell>
          <cell r="S372">
            <v>150000</v>
          </cell>
          <cell r="T372">
            <v>3138400</v>
          </cell>
          <cell r="U372" t="str">
            <v>ya</v>
          </cell>
          <cell r="V372">
            <v>0</v>
          </cell>
          <cell r="W372">
            <v>0</v>
          </cell>
          <cell r="X372">
            <v>0</v>
          </cell>
          <cell r="Z372">
            <v>0</v>
          </cell>
          <cell r="AB372">
            <v>0</v>
          </cell>
          <cell r="AD372">
            <v>0</v>
          </cell>
          <cell r="AE372" t="str">
            <v>ya</v>
          </cell>
          <cell r="AF372">
            <v>210000</v>
          </cell>
          <cell r="AH372" t="str">
            <v xml:space="preserve">Angkutan Umum </v>
          </cell>
        </row>
        <row r="373">
          <cell r="A373">
            <v>372</v>
          </cell>
          <cell r="C373" t="e">
            <v>#N/A</v>
          </cell>
          <cell r="D373" t="e">
            <v>#N/A</v>
          </cell>
          <cell r="E373" t="e">
            <v>#N/A</v>
          </cell>
          <cell r="F373" t="e">
            <v>#N/A</v>
          </cell>
          <cell r="G373" t="e">
            <v>#N/A</v>
          </cell>
          <cell r="H373" t="str">
            <v xml:space="preserve">Melakukan Monitoring dan Evaluasi ke Universitas Binawan </v>
          </cell>
          <cell r="I373" t="str">
            <v>DKI Jakarta</v>
          </cell>
          <cell r="J373" t="str">
            <v>DKI Jakarta</v>
          </cell>
          <cell r="K373">
            <v>1</v>
          </cell>
          <cell r="L373" t="str">
            <v>7 November 2018</v>
          </cell>
          <cell r="M373" t="str">
            <v>7 November 2018</v>
          </cell>
          <cell r="N373">
            <v>524114</v>
          </cell>
          <cell r="O373" t="str">
            <v>Belanja Perjalanan Dinas Paket Meeting Dalam Kota</v>
          </cell>
          <cell r="R373" t="str">
            <v>ya</v>
          </cell>
          <cell r="S373">
            <v>150000</v>
          </cell>
          <cell r="T373">
            <v>3138400</v>
          </cell>
          <cell r="U373" t="str">
            <v>ya</v>
          </cell>
          <cell r="V373">
            <v>0</v>
          </cell>
          <cell r="W373">
            <v>0</v>
          </cell>
          <cell r="X373">
            <v>0</v>
          </cell>
          <cell r="Z373">
            <v>0</v>
          </cell>
          <cell r="AB373">
            <v>0</v>
          </cell>
          <cell r="AD373">
            <v>0</v>
          </cell>
          <cell r="AE373" t="str">
            <v>ya</v>
          </cell>
          <cell r="AF373">
            <v>210000</v>
          </cell>
          <cell r="AH373" t="str">
            <v xml:space="preserve">Angkutan Umum </v>
          </cell>
        </row>
        <row r="374">
          <cell r="A374">
            <v>373</v>
          </cell>
          <cell r="C374" t="e">
            <v>#N/A</v>
          </cell>
          <cell r="D374" t="e">
            <v>#N/A</v>
          </cell>
          <cell r="E374" t="e">
            <v>#N/A</v>
          </cell>
          <cell r="F374" t="e">
            <v>#N/A</v>
          </cell>
          <cell r="G374" t="e">
            <v>#N/A</v>
          </cell>
          <cell r="H374" t="str">
            <v xml:space="preserve">Melakukan Monitoring dan Evaluasi ke Universitas Binawan </v>
          </cell>
          <cell r="I374" t="str">
            <v>DKI Jakarta</v>
          </cell>
          <cell r="J374" t="str">
            <v>DKI Jakarta</v>
          </cell>
          <cell r="K374">
            <v>1</v>
          </cell>
          <cell r="L374" t="str">
            <v>7 November 2018</v>
          </cell>
          <cell r="M374" t="str">
            <v>7 November 2018</v>
          </cell>
          <cell r="N374">
            <v>524114</v>
          </cell>
          <cell r="O374" t="str">
            <v>Belanja Perjalanan Dinas Paket Meeting Dalam Kota</v>
          </cell>
          <cell r="R374" t="str">
            <v>ya</v>
          </cell>
          <cell r="S374">
            <v>150000</v>
          </cell>
          <cell r="T374">
            <v>3138400</v>
          </cell>
          <cell r="U374" t="str">
            <v>ya</v>
          </cell>
          <cell r="V374">
            <v>0</v>
          </cell>
          <cell r="W374">
            <v>0</v>
          </cell>
          <cell r="X374">
            <v>0</v>
          </cell>
          <cell r="Z374">
            <v>0</v>
          </cell>
          <cell r="AB374">
            <v>0</v>
          </cell>
          <cell r="AD374">
            <v>0</v>
          </cell>
          <cell r="AE374" t="str">
            <v>ya</v>
          </cell>
          <cell r="AF374">
            <v>210000</v>
          </cell>
          <cell r="AH374" t="str">
            <v xml:space="preserve">Angkutan Umum </v>
          </cell>
        </row>
        <row r="375">
          <cell r="A375">
            <v>374</v>
          </cell>
          <cell r="C375" t="e">
            <v>#N/A</v>
          </cell>
          <cell r="D375" t="e">
            <v>#N/A</v>
          </cell>
          <cell r="E375" t="e">
            <v>#N/A</v>
          </cell>
          <cell r="F375" t="e">
            <v>#N/A</v>
          </cell>
          <cell r="G375" t="e">
            <v>#N/A</v>
          </cell>
          <cell r="H375" t="str">
            <v xml:space="preserve">Melakukan Monitoring dan Evaluasi ke Universitas Binawan </v>
          </cell>
          <cell r="I375" t="str">
            <v>DKI Jakarta</v>
          </cell>
          <cell r="J375" t="str">
            <v>DKI Jakarta</v>
          </cell>
          <cell r="K375">
            <v>1</v>
          </cell>
          <cell r="L375" t="str">
            <v>7 November 2018</v>
          </cell>
          <cell r="M375" t="str">
            <v>7 November 2018</v>
          </cell>
          <cell r="N375">
            <v>524114</v>
          </cell>
          <cell r="O375" t="str">
            <v>Belanja Perjalanan Dinas Paket Meeting Dalam Kota</v>
          </cell>
          <cell r="R375" t="str">
            <v>ya</v>
          </cell>
          <cell r="S375">
            <v>150000</v>
          </cell>
          <cell r="T375">
            <v>3138400</v>
          </cell>
          <cell r="U375" t="str">
            <v>ya</v>
          </cell>
          <cell r="V375">
            <v>0</v>
          </cell>
          <cell r="W375">
            <v>0</v>
          </cell>
          <cell r="X375">
            <v>0</v>
          </cell>
          <cell r="Z375">
            <v>0</v>
          </cell>
          <cell r="AB375">
            <v>0</v>
          </cell>
          <cell r="AD375">
            <v>0</v>
          </cell>
          <cell r="AE375" t="str">
            <v>ya</v>
          </cell>
          <cell r="AF375">
            <v>210000</v>
          </cell>
          <cell r="AH375" t="str">
            <v xml:space="preserve">Angkutan Umum </v>
          </cell>
        </row>
        <row r="376">
          <cell r="A376">
            <v>375</v>
          </cell>
          <cell r="C376" t="e">
            <v>#N/A</v>
          </cell>
          <cell r="D376" t="e">
            <v>#N/A</v>
          </cell>
          <cell r="E376" t="e">
            <v>#N/A</v>
          </cell>
          <cell r="F376" t="e">
            <v>#N/A</v>
          </cell>
          <cell r="G376" t="e">
            <v>#N/A</v>
          </cell>
          <cell r="H376" t="str">
            <v xml:space="preserve">Melakukan Monitoring dan Evaluasi ke Universitas Binawan </v>
          </cell>
          <cell r="I376" t="str">
            <v>DKI Jakarta</v>
          </cell>
          <cell r="J376" t="str">
            <v>DKI Jakarta</v>
          </cell>
          <cell r="K376">
            <v>1</v>
          </cell>
          <cell r="L376" t="str">
            <v>7 November 2018</v>
          </cell>
          <cell r="M376" t="str">
            <v>7 November 2018</v>
          </cell>
          <cell r="N376">
            <v>524114</v>
          </cell>
          <cell r="O376" t="str">
            <v>Belanja Perjalanan Dinas Paket Meeting Dalam Kota</v>
          </cell>
          <cell r="R376" t="str">
            <v>ya</v>
          </cell>
          <cell r="S376">
            <v>150000</v>
          </cell>
          <cell r="T376">
            <v>3138400</v>
          </cell>
          <cell r="U376" t="str">
            <v>ya</v>
          </cell>
          <cell r="V376">
            <v>0</v>
          </cell>
          <cell r="W376">
            <v>0</v>
          </cell>
          <cell r="X376">
            <v>0</v>
          </cell>
          <cell r="Z376">
            <v>0</v>
          </cell>
          <cell r="AB376">
            <v>0</v>
          </cell>
          <cell r="AD376">
            <v>0</v>
          </cell>
          <cell r="AE376" t="str">
            <v>ya</v>
          </cell>
          <cell r="AF376">
            <v>210000</v>
          </cell>
          <cell r="AH376" t="str">
            <v xml:space="preserve">Angkutan Umum </v>
          </cell>
        </row>
        <row r="377">
          <cell r="A377">
            <v>376</v>
          </cell>
          <cell r="C377" t="e">
            <v>#N/A</v>
          </cell>
          <cell r="D377" t="e">
            <v>#N/A</v>
          </cell>
          <cell r="E377" t="e">
            <v>#N/A</v>
          </cell>
          <cell r="F377" t="e">
            <v>#N/A</v>
          </cell>
          <cell r="G377" t="e">
            <v>#N/A</v>
          </cell>
          <cell r="H377" t="str">
            <v xml:space="preserve">Melakukan Monitoring dan Evaluasi ke Universitas Binawan </v>
          </cell>
          <cell r="I377" t="str">
            <v>DKI Jakarta</v>
          </cell>
          <cell r="J377" t="str">
            <v>DKI Jakarta</v>
          </cell>
          <cell r="K377">
            <v>1</v>
          </cell>
          <cell r="L377" t="str">
            <v>7 November 2018</v>
          </cell>
          <cell r="M377" t="str">
            <v>7 November 2018</v>
          </cell>
          <cell r="N377">
            <v>524114</v>
          </cell>
          <cell r="O377" t="str">
            <v>Belanja Perjalanan Dinas Paket Meeting Dalam Kota</v>
          </cell>
          <cell r="R377" t="str">
            <v>ya</v>
          </cell>
          <cell r="S377">
            <v>150000</v>
          </cell>
          <cell r="T377">
            <v>3138400</v>
          </cell>
          <cell r="U377" t="str">
            <v>ya</v>
          </cell>
          <cell r="V377">
            <v>0</v>
          </cell>
          <cell r="W377">
            <v>0</v>
          </cell>
          <cell r="X377">
            <v>0</v>
          </cell>
          <cell r="Z377">
            <v>0</v>
          </cell>
          <cell r="AB377">
            <v>0</v>
          </cell>
          <cell r="AD377">
            <v>0</v>
          </cell>
          <cell r="AE377" t="str">
            <v>ya</v>
          </cell>
          <cell r="AF377">
            <v>210000</v>
          </cell>
          <cell r="AH377" t="str">
            <v xml:space="preserve">Angkutan Umum </v>
          </cell>
        </row>
        <row r="378">
          <cell r="A378">
            <v>377</v>
          </cell>
          <cell r="C378" t="e">
            <v>#N/A</v>
          </cell>
          <cell r="D378" t="e">
            <v>#N/A</v>
          </cell>
          <cell r="E378" t="e">
            <v>#N/A</v>
          </cell>
          <cell r="F378" t="e">
            <v>#N/A</v>
          </cell>
          <cell r="G378" t="e">
            <v>#N/A</v>
          </cell>
          <cell r="H378" t="str">
            <v xml:space="preserve">Melakukan Monitoring dan Evaluasi ke Sekolah Tinggi Ilmu Ekonomi Kusuma Negara </v>
          </cell>
          <cell r="I378" t="str">
            <v>DKI Jakarta</v>
          </cell>
          <cell r="J378" t="str">
            <v>DKI Jakarta</v>
          </cell>
          <cell r="K378">
            <v>1</v>
          </cell>
          <cell r="L378" t="str">
            <v>12 November 2018</v>
          </cell>
          <cell r="M378" t="str">
            <v>12 November 2018</v>
          </cell>
          <cell r="N378">
            <v>524114</v>
          </cell>
          <cell r="O378" t="str">
            <v>Belanja Perjalanan Dinas Paket Meeting Dalam Kota</v>
          </cell>
          <cell r="R378" t="str">
            <v>ya</v>
          </cell>
          <cell r="S378">
            <v>150000</v>
          </cell>
          <cell r="T378">
            <v>3138400</v>
          </cell>
          <cell r="U378" t="str">
            <v>ya</v>
          </cell>
          <cell r="V378">
            <v>0</v>
          </cell>
          <cell r="W378">
            <v>0</v>
          </cell>
          <cell r="X378">
            <v>0</v>
          </cell>
          <cell r="Z378">
            <v>0</v>
          </cell>
          <cell r="AB378">
            <v>0</v>
          </cell>
          <cell r="AD378">
            <v>0</v>
          </cell>
          <cell r="AE378" t="str">
            <v>ya</v>
          </cell>
          <cell r="AF378">
            <v>210000</v>
          </cell>
          <cell r="AH378" t="str">
            <v xml:space="preserve">Angkutan Umum </v>
          </cell>
        </row>
        <row r="379">
          <cell r="A379">
            <v>378</v>
          </cell>
          <cell r="C379" t="e">
            <v>#N/A</v>
          </cell>
          <cell r="D379" t="e">
            <v>#N/A</v>
          </cell>
          <cell r="E379" t="e">
            <v>#N/A</v>
          </cell>
          <cell r="F379" t="e">
            <v>#N/A</v>
          </cell>
          <cell r="G379" t="e">
            <v>#N/A</v>
          </cell>
          <cell r="H379" t="str">
            <v xml:space="preserve">Melakukan Monitoring dan Evaluasi ke Sekolah Tinggi Ilmu Ekonomi Kusuma Negara </v>
          </cell>
          <cell r="I379" t="str">
            <v>DKI Jakarta</v>
          </cell>
          <cell r="J379" t="str">
            <v>DKI Jakarta</v>
          </cell>
          <cell r="K379">
            <v>1</v>
          </cell>
          <cell r="L379" t="str">
            <v>12 November 2018</v>
          </cell>
          <cell r="M379" t="str">
            <v>12 November 2018</v>
          </cell>
          <cell r="N379">
            <v>524114</v>
          </cell>
          <cell r="O379" t="str">
            <v>Belanja Perjalanan Dinas Paket Meeting Dalam Kota</v>
          </cell>
          <cell r="R379" t="str">
            <v>ya</v>
          </cell>
          <cell r="S379">
            <v>150000</v>
          </cell>
          <cell r="T379">
            <v>3138400</v>
          </cell>
          <cell r="U379" t="str">
            <v>ya</v>
          </cell>
          <cell r="V379">
            <v>0</v>
          </cell>
          <cell r="W379">
            <v>0</v>
          </cell>
          <cell r="X379">
            <v>0</v>
          </cell>
          <cell r="Z379">
            <v>0</v>
          </cell>
          <cell r="AB379">
            <v>0</v>
          </cell>
          <cell r="AD379">
            <v>0</v>
          </cell>
          <cell r="AE379" t="str">
            <v>ya</v>
          </cell>
          <cell r="AF379">
            <v>210000</v>
          </cell>
          <cell r="AH379" t="str">
            <v xml:space="preserve">Angkutan Umum </v>
          </cell>
        </row>
        <row r="380">
          <cell r="A380">
            <v>379</v>
          </cell>
          <cell r="C380" t="e">
            <v>#N/A</v>
          </cell>
          <cell r="D380" t="e">
            <v>#N/A</v>
          </cell>
          <cell r="E380" t="e">
            <v>#N/A</v>
          </cell>
          <cell r="F380" t="e">
            <v>#N/A</v>
          </cell>
          <cell r="G380" t="e">
            <v>#N/A</v>
          </cell>
          <cell r="H380" t="str">
            <v xml:space="preserve">Melakukan Monitoring dan Evaluasi ke Sekolah Tinggi Ilmu Ekonomi Kusuma Negara </v>
          </cell>
          <cell r="I380" t="str">
            <v>DKI Jakarta</v>
          </cell>
          <cell r="J380" t="str">
            <v>DKI Jakarta</v>
          </cell>
          <cell r="K380">
            <v>1</v>
          </cell>
          <cell r="L380" t="str">
            <v>12 November 2018</v>
          </cell>
          <cell r="M380" t="str">
            <v>12 November 2018</v>
          </cell>
          <cell r="N380">
            <v>524114</v>
          </cell>
          <cell r="O380" t="str">
            <v>Belanja Perjalanan Dinas Paket Meeting Dalam Kota</v>
          </cell>
          <cell r="R380" t="str">
            <v>ya</v>
          </cell>
          <cell r="S380">
            <v>150000</v>
          </cell>
          <cell r="T380">
            <v>3138400</v>
          </cell>
          <cell r="U380" t="str">
            <v>ya</v>
          </cell>
          <cell r="V380">
            <v>0</v>
          </cell>
          <cell r="W380">
            <v>0</v>
          </cell>
          <cell r="X380">
            <v>0</v>
          </cell>
          <cell r="Z380">
            <v>0</v>
          </cell>
          <cell r="AB380">
            <v>0</v>
          </cell>
          <cell r="AD380">
            <v>0</v>
          </cell>
          <cell r="AE380" t="str">
            <v>ya</v>
          </cell>
          <cell r="AF380">
            <v>210000</v>
          </cell>
          <cell r="AH380" t="str">
            <v xml:space="preserve">Angkutan Umum </v>
          </cell>
        </row>
        <row r="381">
          <cell r="A381">
            <v>380</v>
          </cell>
          <cell r="C381" t="e">
            <v>#N/A</v>
          </cell>
          <cell r="D381" t="e">
            <v>#N/A</v>
          </cell>
          <cell r="E381" t="e">
            <v>#N/A</v>
          </cell>
          <cell r="F381" t="e">
            <v>#N/A</v>
          </cell>
          <cell r="G381" t="e">
            <v>#N/A</v>
          </cell>
          <cell r="H381" t="str">
            <v xml:space="preserve">Melakukan Monitoring dan Evaluasi ke Sekolah Tinggi Ilmu Ekonomi Kusuma Negara </v>
          </cell>
          <cell r="I381" t="str">
            <v>DKI Jakarta</v>
          </cell>
          <cell r="J381" t="str">
            <v>DKI Jakarta</v>
          </cell>
          <cell r="K381">
            <v>1</v>
          </cell>
          <cell r="L381" t="str">
            <v>12 November 2018</v>
          </cell>
          <cell r="M381" t="str">
            <v>12 November 2018</v>
          </cell>
          <cell r="N381">
            <v>524114</v>
          </cell>
          <cell r="O381" t="str">
            <v>Belanja Perjalanan Dinas Paket Meeting Dalam Kota</v>
          </cell>
          <cell r="R381" t="str">
            <v>ya</v>
          </cell>
          <cell r="S381">
            <v>150000</v>
          </cell>
          <cell r="T381">
            <v>3138400</v>
          </cell>
          <cell r="U381" t="str">
            <v>ya</v>
          </cell>
          <cell r="V381">
            <v>0</v>
          </cell>
          <cell r="W381">
            <v>0</v>
          </cell>
          <cell r="X381">
            <v>0</v>
          </cell>
          <cell r="Z381">
            <v>0</v>
          </cell>
          <cell r="AB381">
            <v>0</v>
          </cell>
          <cell r="AD381">
            <v>0</v>
          </cell>
          <cell r="AE381" t="str">
            <v>ya</v>
          </cell>
          <cell r="AF381">
            <v>210000</v>
          </cell>
          <cell r="AH381" t="str">
            <v xml:space="preserve">Angkutan Umum </v>
          </cell>
        </row>
        <row r="382">
          <cell r="A382">
            <v>381</v>
          </cell>
          <cell r="C382" t="e">
            <v>#N/A</v>
          </cell>
          <cell r="D382" t="e">
            <v>#N/A</v>
          </cell>
          <cell r="E382" t="e">
            <v>#N/A</v>
          </cell>
          <cell r="F382" t="e">
            <v>#N/A</v>
          </cell>
          <cell r="G382" t="e">
            <v>#N/A</v>
          </cell>
          <cell r="H382" t="str">
            <v xml:space="preserve">Melakukan Monitoring dan Evaluasi ke Sekolah Tinggi Ilmu Ekonomi Kusuma Negara </v>
          </cell>
          <cell r="I382" t="str">
            <v>DKI Jakarta</v>
          </cell>
          <cell r="J382" t="str">
            <v>DKI Jakarta</v>
          </cell>
          <cell r="K382">
            <v>1</v>
          </cell>
          <cell r="L382" t="str">
            <v>12 November 2018</v>
          </cell>
          <cell r="M382" t="str">
            <v>12 November 2018</v>
          </cell>
          <cell r="N382">
            <v>524114</v>
          </cell>
          <cell r="O382" t="str">
            <v>Belanja Perjalanan Dinas Paket Meeting Dalam Kota</v>
          </cell>
          <cell r="R382" t="str">
            <v>ya</v>
          </cell>
          <cell r="S382">
            <v>150000</v>
          </cell>
          <cell r="T382">
            <v>3138400</v>
          </cell>
          <cell r="U382" t="str">
            <v>ya</v>
          </cell>
          <cell r="V382">
            <v>0</v>
          </cell>
          <cell r="W382">
            <v>0</v>
          </cell>
          <cell r="X382">
            <v>0</v>
          </cell>
          <cell r="Z382">
            <v>0</v>
          </cell>
          <cell r="AB382">
            <v>0</v>
          </cell>
          <cell r="AD382">
            <v>0</v>
          </cell>
          <cell r="AE382" t="str">
            <v>ya</v>
          </cell>
          <cell r="AF382">
            <v>210000</v>
          </cell>
          <cell r="AH382" t="str">
            <v xml:space="preserve">Angkutan Umum </v>
          </cell>
        </row>
        <row r="383">
          <cell r="A383">
            <v>382</v>
          </cell>
          <cell r="C383" t="e">
            <v>#N/A</v>
          </cell>
          <cell r="D383" t="e">
            <v>#N/A</v>
          </cell>
          <cell r="E383" t="e">
            <v>#N/A</v>
          </cell>
          <cell r="F383" t="e">
            <v>#N/A</v>
          </cell>
          <cell r="G383" t="e">
            <v>#N/A</v>
          </cell>
          <cell r="H383" t="str">
            <v>Melakukan Monitoring dan Evaluasi ke Sekolah Tinggi Ilmu Ekonomi Manajemen Bisnis Indonesia</v>
          </cell>
          <cell r="I383" t="str">
            <v>DKI Jakarta</v>
          </cell>
          <cell r="J383" t="str">
            <v>DKI Jakarta</v>
          </cell>
          <cell r="K383">
            <v>1</v>
          </cell>
          <cell r="L383" t="str">
            <v>19 November 2018</v>
          </cell>
          <cell r="M383" t="str">
            <v>19 November 2018</v>
          </cell>
          <cell r="N383">
            <v>524114</v>
          </cell>
          <cell r="O383" t="str">
            <v>Belanja Perjalanan Dinas Paket Meeting Dalam Kota</v>
          </cell>
          <cell r="R383" t="str">
            <v>ya</v>
          </cell>
          <cell r="S383">
            <v>150000</v>
          </cell>
          <cell r="T383">
            <v>3138400</v>
          </cell>
          <cell r="U383" t="str">
            <v>ya</v>
          </cell>
          <cell r="V383">
            <v>0</v>
          </cell>
          <cell r="W383">
            <v>0</v>
          </cell>
          <cell r="X383">
            <v>0</v>
          </cell>
          <cell r="Z383">
            <v>0</v>
          </cell>
          <cell r="AB383">
            <v>0</v>
          </cell>
          <cell r="AD383">
            <v>0</v>
          </cell>
          <cell r="AE383" t="str">
            <v>ya</v>
          </cell>
          <cell r="AF383">
            <v>210000</v>
          </cell>
          <cell r="AH383" t="str">
            <v xml:space="preserve">Angkutan Umum </v>
          </cell>
        </row>
        <row r="384">
          <cell r="A384">
            <v>383</v>
          </cell>
          <cell r="C384" t="e">
            <v>#N/A</v>
          </cell>
          <cell r="D384" t="e">
            <v>#N/A</v>
          </cell>
          <cell r="E384" t="e">
            <v>#N/A</v>
          </cell>
          <cell r="F384" t="e">
            <v>#N/A</v>
          </cell>
          <cell r="G384" t="e">
            <v>#N/A</v>
          </cell>
          <cell r="H384" t="str">
            <v>Melakukan Monitoring dan Evaluasi ke Sekolah Tinggi Ilmu Ekonomi Manajemen Bisnis Indonesia</v>
          </cell>
          <cell r="I384" t="str">
            <v>DKI Jakarta</v>
          </cell>
          <cell r="J384" t="str">
            <v>DKI Jakarta</v>
          </cell>
          <cell r="K384">
            <v>1</v>
          </cell>
          <cell r="L384" t="str">
            <v>19 November 2018</v>
          </cell>
          <cell r="M384" t="str">
            <v>19 November 2018</v>
          </cell>
          <cell r="N384">
            <v>524114</v>
          </cell>
          <cell r="O384" t="str">
            <v>Belanja Perjalanan Dinas Paket Meeting Dalam Kota</v>
          </cell>
          <cell r="R384" t="str">
            <v>ya</v>
          </cell>
          <cell r="S384">
            <v>150000</v>
          </cell>
          <cell r="T384">
            <v>3138400</v>
          </cell>
          <cell r="U384" t="str">
            <v>ya</v>
          </cell>
          <cell r="V384">
            <v>0</v>
          </cell>
          <cell r="W384">
            <v>0</v>
          </cell>
          <cell r="X384">
            <v>0</v>
          </cell>
          <cell r="Z384">
            <v>0</v>
          </cell>
          <cell r="AB384">
            <v>0</v>
          </cell>
          <cell r="AD384">
            <v>0</v>
          </cell>
          <cell r="AE384" t="str">
            <v>ya</v>
          </cell>
          <cell r="AF384">
            <v>210000</v>
          </cell>
          <cell r="AH384" t="str">
            <v xml:space="preserve">Angkutan Umum </v>
          </cell>
        </row>
        <row r="385">
          <cell r="A385">
            <v>384</v>
          </cell>
          <cell r="C385" t="e">
            <v>#N/A</v>
          </cell>
          <cell r="D385" t="e">
            <v>#N/A</v>
          </cell>
          <cell r="E385" t="e">
            <v>#N/A</v>
          </cell>
          <cell r="F385" t="e">
            <v>#N/A</v>
          </cell>
          <cell r="G385" t="e">
            <v>#N/A</v>
          </cell>
          <cell r="H385" t="str">
            <v>Melakukan Monitoring dan Evaluasi ke Sekolah Tinggi Ilmu Ekonomi Manajemen Bisnis Indonesia</v>
          </cell>
          <cell r="I385" t="str">
            <v>DKI Jakarta</v>
          </cell>
          <cell r="J385" t="str">
            <v>DKI Jakarta</v>
          </cell>
          <cell r="K385">
            <v>1</v>
          </cell>
          <cell r="L385" t="str">
            <v>19 November 2018</v>
          </cell>
          <cell r="M385" t="str">
            <v>19 November 2018</v>
          </cell>
          <cell r="N385">
            <v>524114</v>
          </cell>
          <cell r="O385" t="str">
            <v>Belanja Perjalanan Dinas Paket Meeting Dalam Kota</v>
          </cell>
          <cell r="R385" t="str">
            <v>ya</v>
          </cell>
          <cell r="S385">
            <v>150000</v>
          </cell>
          <cell r="T385">
            <v>3138400</v>
          </cell>
          <cell r="U385" t="str">
            <v>ya</v>
          </cell>
          <cell r="V385">
            <v>0</v>
          </cell>
          <cell r="W385">
            <v>0</v>
          </cell>
          <cell r="X385">
            <v>0</v>
          </cell>
          <cell r="Z385">
            <v>0</v>
          </cell>
          <cell r="AB385">
            <v>0</v>
          </cell>
          <cell r="AD385">
            <v>0</v>
          </cell>
          <cell r="AE385" t="str">
            <v>ya</v>
          </cell>
          <cell r="AF385">
            <v>210000</v>
          </cell>
          <cell r="AH385" t="str">
            <v xml:space="preserve">Angkutan Umum </v>
          </cell>
        </row>
        <row r="386">
          <cell r="A386">
            <v>385</v>
          </cell>
          <cell r="C386" t="e">
            <v>#N/A</v>
          </cell>
          <cell r="D386" t="e">
            <v>#N/A</v>
          </cell>
          <cell r="E386" t="e">
            <v>#N/A</v>
          </cell>
          <cell r="F386" t="e">
            <v>#N/A</v>
          </cell>
          <cell r="G386" t="e">
            <v>#N/A</v>
          </cell>
          <cell r="H386" t="str">
            <v>Melakukan Monitoring dan Evaluasi ke Sekolah Tinggi Ilmu Ekonomi Manajemen Bisnis Indonesia</v>
          </cell>
          <cell r="I386" t="str">
            <v>DKI Jakarta</v>
          </cell>
          <cell r="J386" t="str">
            <v>DKI Jakarta</v>
          </cell>
          <cell r="K386">
            <v>1</v>
          </cell>
          <cell r="L386" t="str">
            <v>19 November 2018</v>
          </cell>
          <cell r="M386" t="str">
            <v>19 November 2018</v>
          </cell>
          <cell r="N386">
            <v>524114</v>
          </cell>
          <cell r="O386" t="str">
            <v>Belanja Perjalanan Dinas Paket Meeting Dalam Kota</v>
          </cell>
          <cell r="R386" t="str">
            <v>ya</v>
          </cell>
          <cell r="S386">
            <v>150000</v>
          </cell>
          <cell r="T386">
            <v>3138400</v>
          </cell>
          <cell r="U386" t="str">
            <v>ya</v>
          </cell>
          <cell r="V386">
            <v>0</v>
          </cell>
          <cell r="W386">
            <v>0</v>
          </cell>
          <cell r="X386">
            <v>0</v>
          </cell>
          <cell r="Z386">
            <v>0</v>
          </cell>
          <cell r="AB386">
            <v>0</v>
          </cell>
          <cell r="AD386">
            <v>0</v>
          </cell>
          <cell r="AE386" t="str">
            <v>ya</v>
          </cell>
          <cell r="AF386">
            <v>210000</v>
          </cell>
          <cell r="AH386" t="str">
            <v xml:space="preserve">Angkutan Umum </v>
          </cell>
        </row>
        <row r="387">
          <cell r="A387">
            <v>386</v>
          </cell>
          <cell r="C387" t="e">
            <v>#N/A</v>
          </cell>
          <cell r="D387" t="e">
            <v>#N/A</v>
          </cell>
          <cell r="E387" t="e">
            <v>#N/A</v>
          </cell>
          <cell r="F387" t="e">
            <v>#N/A</v>
          </cell>
          <cell r="G387" t="e">
            <v>#N/A</v>
          </cell>
          <cell r="H387" t="str">
            <v>Melakukan Monitoring dan Evaluasi ke Sekolah Tinggi Ilmu Ekonomi Manajemen Bisnis Indonesia</v>
          </cell>
          <cell r="I387" t="str">
            <v>DKI Jakarta</v>
          </cell>
          <cell r="J387" t="str">
            <v>DKI Jakarta</v>
          </cell>
          <cell r="K387">
            <v>1</v>
          </cell>
          <cell r="L387" t="str">
            <v>19 November 2018</v>
          </cell>
          <cell r="M387" t="str">
            <v>19 November 2018</v>
          </cell>
          <cell r="N387">
            <v>524114</v>
          </cell>
          <cell r="O387" t="str">
            <v>Belanja Perjalanan Dinas Paket Meeting Dalam Kota</v>
          </cell>
          <cell r="R387" t="str">
            <v>ya</v>
          </cell>
          <cell r="S387">
            <v>150000</v>
          </cell>
          <cell r="T387">
            <v>3138400</v>
          </cell>
          <cell r="U387" t="str">
            <v>ya</v>
          </cell>
          <cell r="V387">
            <v>0</v>
          </cell>
          <cell r="W387">
            <v>0</v>
          </cell>
          <cell r="X387">
            <v>0</v>
          </cell>
          <cell r="Z387">
            <v>0</v>
          </cell>
          <cell r="AB387">
            <v>0</v>
          </cell>
          <cell r="AD387">
            <v>0</v>
          </cell>
          <cell r="AE387" t="str">
            <v>ya</v>
          </cell>
          <cell r="AF387">
            <v>210000</v>
          </cell>
          <cell r="AH387" t="str">
            <v xml:space="preserve">Angkutan Umum </v>
          </cell>
        </row>
        <row r="388">
          <cell r="A388">
            <v>387</v>
          </cell>
          <cell r="C388" t="e">
            <v>#N/A</v>
          </cell>
          <cell r="D388" t="e">
            <v>#N/A</v>
          </cell>
          <cell r="E388" t="e">
            <v>#N/A</v>
          </cell>
          <cell r="F388" t="e">
            <v>#N/A</v>
          </cell>
          <cell r="G388" t="e">
            <v>#N/A</v>
          </cell>
          <cell r="H388" t="str">
            <v>Melakukan Monitoring dan Evaluasi ke Sekolah Tinggi Ilmu Ekonomi Taman Siswa</v>
          </cell>
          <cell r="I388" t="str">
            <v>DKI Jakarta</v>
          </cell>
          <cell r="J388" t="str">
            <v>DKI Jakarta</v>
          </cell>
          <cell r="K388">
            <v>1</v>
          </cell>
          <cell r="L388" t="str">
            <v>19 November 2018</v>
          </cell>
          <cell r="M388" t="str">
            <v>19 November 2018</v>
          </cell>
          <cell r="N388">
            <v>524114</v>
          </cell>
          <cell r="O388" t="str">
            <v>Belanja Perjalanan Dinas Paket Meeting Dalam Kota</v>
          </cell>
          <cell r="R388" t="str">
            <v>ya</v>
          </cell>
          <cell r="S388">
            <v>150000</v>
          </cell>
          <cell r="T388">
            <v>3138400</v>
          </cell>
          <cell r="U388" t="str">
            <v>ya</v>
          </cell>
          <cell r="V388">
            <v>0</v>
          </cell>
          <cell r="W388">
            <v>0</v>
          </cell>
          <cell r="X388">
            <v>0</v>
          </cell>
          <cell r="Z388">
            <v>0</v>
          </cell>
          <cell r="AB388">
            <v>0</v>
          </cell>
          <cell r="AD388">
            <v>0</v>
          </cell>
          <cell r="AE388" t="str">
            <v>ya</v>
          </cell>
          <cell r="AF388">
            <v>210000</v>
          </cell>
          <cell r="AH388" t="str">
            <v xml:space="preserve">Angkutan Umum </v>
          </cell>
        </row>
        <row r="389">
          <cell r="A389">
            <v>388</v>
          </cell>
          <cell r="C389" t="e">
            <v>#N/A</v>
          </cell>
          <cell r="D389" t="e">
            <v>#N/A</v>
          </cell>
          <cell r="E389" t="e">
            <v>#N/A</v>
          </cell>
          <cell r="F389" t="e">
            <v>#N/A</v>
          </cell>
          <cell r="G389" t="e">
            <v>#N/A</v>
          </cell>
          <cell r="H389" t="str">
            <v>Melakukan Monitoring dan Evaluasi ke Sekolah Tinggi Ilmu Ekonomi Taman Siswa</v>
          </cell>
          <cell r="I389" t="str">
            <v>DKI Jakarta</v>
          </cell>
          <cell r="J389" t="str">
            <v>DKI Jakarta</v>
          </cell>
          <cell r="K389">
            <v>1</v>
          </cell>
          <cell r="L389" t="str">
            <v>19 November 2018</v>
          </cell>
          <cell r="M389" t="str">
            <v>19 November 2018</v>
          </cell>
          <cell r="N389">
            <v>524114</v>
          </cell>
          <cell r="O389" t="str">
            <v>Belanja Perjalanan Dinas Paket Meeting Dalam Kota</v>
          </cell>
          <cell r="R389" t="str">
            <v>ya</v>
          </cell>
          <cell r="S389">
            <v>150000</v>
          </cell>
          <cell r="T389">
            <v>3138400</v>
          </cell>
          <cell r="U389" t="str">
            <v>ya</v>
          </cell>
          <cell r="V389">
            <v>0</v>
          </cell>
          <cell r="W389">
            <v>0</v>
          </cell>
          <cell r="X389">
            <v>0</v>
          </cell>
          <cell r="Z389">
            <v>0</v>
          </cell>
          <cell r="AB389">
            <v>0</v>
          </cell>
          <cell r="AD389">
            <v>0</v>
          </cell>
          <cell r="AE389" t="str">
            <v>ya</v>
          </cell>
          <cell r="AF389">
            <v>210000</v>
          </cell>
          <cell r="AH389" t="str">
            <v xml:space="preserve">Angkutan Umum </v>
          </cell>
        </row>
        <row r="390">
          <cell r="A390">
            <v>389</v>
          </cell>
          <cell r="C390" t="e">
            <v>#N/A</v>
          </cell>
          <cell r="D390" t="e">
            <v>#N/A</v>
          </cell>
          <cell r="E390" t="e">
            <v>#N/A</v>
          </cell>
          <cell r="F390" t="e">
            <v>#N/A</v>
          </cell>
          <cell r="G390" t="e">
            <v>#N/A</v>
          </cell>
          <cell r="H390" t="str">
            <v>Melakukan Monitoring dan Evaluasi ke Sekolah Tinggi Ilmu Ekonomi Taman Siswa</v>
          </cell>
          <cell r="I390" t="str">
            <v>DKI Jakarta</v>
          </cell>
          <cell r="J390" t="str">
            <v>DKI Jakarta</v>
          </cell>
          <cell r="K390">
            <v>1</v>
          </cell>
          <cell r="L390" t="str">
            <v>19 November 2018</v>
          </cell>
          <cell r="M390" t="str">
            <v>19 November 2018</v>
          </cell>
          <cell r="N390">
            <v>524114</v>
          </cell>
          <cell r="O390" t="str">
            <v>Belanja Perjalanan Dinas Paket Meeting Dalam Kota</v>
          </cell>
          <cell r="R390" t="str">
            <v>ya</v>
          </cell>
          <cell r="S390">
            <v>150000</v>
          </cell>
          <cell r="T390">
            <v>3138400</v>
          </cell>
          <cell r="U390" t="str">
            <v>ya</v>
          </cell>
          <cell r="V390">
            <v>0</v>
          </cell>
          <cell r="W390">
            <v>0</v>
          </cell>
          <cell r="X390">
            <v>0</v>
          </cell>
          <cell r="Z390">
            <v>0</v>
          </cell>
          <cell r="AB390">
            <v>0</v>
          </cell>
          <cell r="AD390">
            <v>0</v>
          </cell>
          <cell r="AE390" t="str">
            <v>ya</v>
          </cell>
          <cell r="AF390">
            <v>210000</v>
          </cell>
          <cell r="AH390" t="str">
            <v xml:space="preserve">Angkutan Umum </v>
          </cell>
        </row>
        <row r="391">
          <cell r="A391">
            <v>390</v>
          </cell>
          <cell r="C391" t="e">
            <v>#N/A</v>
          </cell>
          <cell r="D391" t="e">
            <v>#N/A</v>
          </cell>
          <cell r="E391" t="e">
            <v>#N/A</v>
          </cell>
          <cell r="F391" t="e">
            <v>#N/A</v>
          </cell>
          <cell r="G391" t="e">
            <v>#N/A</v>
          </cell>
          <cell r="H391" t="str">
            <v>Melakukan Monitoring dan Evaluasi ke Sekolah Tinggi Ilmu Ekonomi Taman Siswa</v>
          </cell>
          <cell r="I391" t="str">
            <v>DKI Jakarta</v>
          </cell>
          <cell r="J391" t="str">
            <v>DKI Jakarta</v>
          </cell>
          <cell r="K391">
            <v>1</v>
          </cell>
          <cell r="L391" t="str">
            <v>19 November 2018</v>
          </cell>
          <cell r="M391" t="str">
            <v>19 November 2018</v>
          </cell>
          <cell r="N391">
            <v>524114</v>
          </cell>
          <cell r="O391" t="str">
            <v>Belanja Perjalanan Dinas Paket Meeting Dalam Kota</v>
          </cell>
          <cell r="R391" t="str">
            <v>ya</v>
          </cell>
          <cell r="S391">
            <v>150000</v>
          </cell>
          <cell r="T391">
            <v>3138400</v>
          </cell>
          <cell r="U391" t="str">
            <v>ya</v>
          </cell>
          <cell r="V391">
            <v>0</v>
          </cell>
          <cell r="W391">
            <v>0</v>
          </cell>
          <cell r="X391">
            <v>0</v>
          </cell>
          <cell r="Z391">
            <v>0</v>
          </cell>
          <cell r="AB391">
            <v>0</v>
          </cell>
          <cell r="AD391">
            <v>0</v>
          </cell>
          <cell r="AE391" t="str">
            <v>ya</v>
          </cell>
          <cell r="AF391">
            <v>210000</v>
          </cell>
          <cell r="AH391" t="str">
            <v xml:space="preserve">Angkutan Umum </v>
          </cell>
        </row>
        <row r="392">
          <cell r="A392">
            <v>391</v>
          </cell>
          <cell r="C392" t="e">
            <v>#N/A</v>
          </cell>
          <cell r="D392" t="e">
            <v>#N/A</v>
          </cell>
          <cell r="E392" t="e">
            <v>#N/A</v>
          </cell>
          <cell r="F392" t="e">
            <v>#N/A</v>
          </cell>
          <cell r="G392" t="e">
            <v>#N/A</v>
          </cell>
          <cell r="H392" t="str">
            <v xml:space="preserve">Melakukan Monitoring dan Evaluasi ke Institut Teknologi Indonesia </v>
          </cell>
          <cell r="I392" t="str">
            <v>DKI Jakarta</v>
          </cell>
          <cell r="J392" t="str">
            <v>DKI Jakarta</v>
          </cell>
          <cell r="K392">
            <v>1</v>
          </cell>
          <cell r="L392" t="str">
            <v>21 November 2018</v>
          </cell>
          <cell r="M392" t="str">
            <v>21 November 2018</v>
          </cell>
          <cell r="N392">
            <v>524114</v>
          </cell>
          <cell r="O392" t="str">
            <v>Belanja Perjalanan Dinas Paket Meeting Dalam Kota</v>
          </cell>
          <cell r="R392" t="str">
            <v>ya</v>
          </cell>
          <cell r="S392">
            <v>150000</v>
          </cell>
          <cell r="T392">
            <v>3138400</v>
          </cell>
          <cell r="U392" t="str">
            <v>ya</v>
          </cell>
          <cell r="V392">
            <v>0</v>
          </cell>
          <cell r="W392">
            <v>0</v>
          </cell>
          <cell r="X392">
            <v>0</v>
          </cell>
          <cell r="Z392">
            <v>0</v>
          </cell>
          <cell r="AB392">
            <v>0</v>
          </cell>
          <cell r="AD392">
            <v>0</v>
          </cell>
          <cell r="AE392" t="str">
            <v>ya</v>
          </cell>
          <cell r="AF392">
            <v>210000</v>
          </cell>
          <cell r="AH392" t="str">
            <v xml:space="preserve">Angkutan Umum </v>
          </cell>
        </row>
        <row r="393">
          <cell r="A393">
            <v>392</v>
          </cell>
          <cell r="C393" t="e">
            <v>#N/A</v>
          </cell>
          <cell r="D393" t="e">
            <v>#N/A</v>
          </cell>
          <cell r="E393" t="e">
            <v>#N/A</v>
          </cell>
          <cell r="F393" t="e">
            <v>#N/A</v>
          </cell>
          <cell r="G393" t="e">
            <v>#N/A</v>
          </cell>
          <cell r="H393" t="str">
            <v xml:space="preserve">Melakukan Monitoring dan Evaluasi ke Institut Teknologi Indonesia </v>
          </cell>
          <cell r="I393" t="str">
            <v>DKI Jakarta</v>
          </cell>
          <cell r="J393" t="str">
            <v>DKI Jakarta</v>
          </cell>
          <cell r="K393">
            <v>1</v>
          </cell>
          <cell r="L393" t="str">
            <v>21 November 2018</v>
          </cell>
          <cell r="M393" t="str">
            <v>21 November 2018</v>
          </cell>
          <cell r="N393">
            <v>524114</v>
          </cell>
          <cell r="O393" t="str">
            <v>Belanja Perjalanan Dinas Paket Meeting Dalam Kota</v>
          </cell>
          <cell r="R393" t="str">
            <v>ya</v>
          </cell>
          <cell r="S393">
            <v>150000</v>
          </cell>
          <cell r="T393">
            <v>3138400</v>
          </cell>
          <cell r="U393" t="str">
            <v>ya</v>
          </cell>
          <cell r="V393">
            <v>0</v>
          </cell>
          <cell r="W393">
            <v>0</v>
          </cell>
          <cell r="X393">
            <v>0</v>
          </cell>
          <cell r="Z393">
            <v>0</v>
          </cell>
          <cell r="AB393">
            <v>0</v>
          </cell>
          <cell r="AD393">
            <v>0</v>
          </cell>
          <cell r="AE393" t="str">
            <v>ya</v>
          </cell>
          <cell r="AF393">
            <v>210000</v>
          </cell>
          <cell r="AH393" t="str">
            <v xml:space="preserve">Angkutan Umum </v>
          </cell>
        </row>
        <row r="394">
          <cell r="A394">
            <v>393</v>
          </cell>
          <cell r="C394" t="e">
            <v>#N/A</v>
          </cell>
          <cell r="D394" t="e">
            <v>#N/A</v>
          </cell>
          <cell r="E394" t="e">
            <v>#N/A</v>
          </cell>
          <cell r="F394" t="e">
            <v>#N/A</v>
          </cell>
          <cell r="G394" t="e">
            <v>#N/A</v>
          </cell>
          <cell r="H394" t="str">
            <v xml:space="preserve">Melakukan Monitoring dan Evaluasi ke Institut Teknologi Indonesia </v>
          </cell>
          <cell r="I394" t="str">
            <v>DKI Jakarta</v>
          </cell>
          <cell r="J394" t="str">
            <v>DKI Jakarta</v>
          </cell>
          <cell r="K394">
            <v>1</v>
          </cell>
          <cell r="L394" t="str">
            <v>21 November 2018</v>
          </cell>
          <cell r="M394" t="str">
            <v>21 November 2018</v>
          </cell>
          <cell r="N394">
            <v>524114</v>
          </cell>
          <cell r="O394" t="str">
            <v>Belanja Perjalanan Dinas Paket Meeting Dalam Kota</v>
          </cell>
          <cell r="R394" t="str">
            <v>ya</v>
          </cell>
          <cell r="S394">
            <v>150000</v>
          </cell>
          <cell r="T394">
            <v>3138400</v>
          </cell>
          <cell r="U394" t="str">
            <v>ya</v>
          </cell>
          <cell r="V394">
            <v>0</v>
          </cell>
          <cell r="W394">
            <v>0</v>
          </cell>
          <cell r="X394">
            <v>0</v>
          </cell>
          <cell r="Z394">
            <v>0</v>
          </cell>
          <cell r="AB394">
            <v>0</v>
          </cell>
          <cell r="AD394">
            <v>0</v>
          </cell>
          <cell r="AE394" t="str">
            <v>ya</v>
          </cell>
          <cell r="AF394">
            <v>210000</v>
          </cell>
          <cell r="AH394" t="str">
            <v xml:space="preserve">Angkutan Umum </v>
          </cell>
        </row>
        <row r="395">
          <cell r="A395">
            <v>394</v>
          </cell>
          <cell r="C395" t="e">
            <v>#N/A</v>
          </cell>
          <cell r="D395" t="e">
            <v>#N/A</v>
          </cell>
          <cell r="E395" t="e">
            <v>#N/A</v>
          </cell>
          <cell r="F395" t="e">
            <v>#N/A</v>
          </cell>
          <cell r="G395" t="e">
            <v>#N/A</v>
          </cell>
          <cell r="H395" t="str">
            <v xml:space="preserve">Melakukan Monitoring dan Evaluasi ke Universitas Pelita Harapan </v>
          </cell>
          <cell r="I395" t="str">
            <v>DKI Jakarta</v>
          </cell>
          <cell r="J395" t="str">
            <v>DKI Jakarta</v>
          </cell>
          <cell r="K395">
            <v>1</v>
          </cell>
          <cell r="L395" t="str">
            <v>21 November 2018</v>
          </cell>
          <cell r="M395" t="str">
            <v>21 November 2018</v>
          </cell>
          <cell r="N395">
            <v>524114</v>
          </cell>
          <cell r="O395" t="str">
            <v>Belanja Perjalanan Dinas Paket Meeting Dalam Kota</v>
          </cell>
          <cell r="R395" t="str">
            <v>ya</v>
          </cell>
          <cell r="S395">
            <v>150000</v>
          </cell>
          <cell r="T395">
            <v>3138400</v>
          </cell>
          <cell r="U395" t="str">
            <v>ya</v>
          </cell>
          <cell r="V395">
            <v>0</v>
          </cell>
          <cell r="W395">
            <v>0</v>
          </cell>
          <cell r="X395">
            <v>0</v>
          </cell>
          <cell r="Z395">
            <v>0</v>
          </cell>
          <cell r="AB395">
            <v>0</v>
          </cell>
          <cell r="AD395">
            <v>0</v>
          </cell>
          <cell r="AE395" t="str">
            <v>ya</v>
          </cell>
          <cell r="AF395">
            <v>210000</v>
          </cell>
          <cell r="AH395" t="str">
            <v xml:space="preserve">Angkutan Umum </v>
          </cell>
        </row>
        <row r="396">
          <cell r="A396">
            <v>395</v>
          </cell>
          <cell r="C396" t="e">
            <v>#N/A</v>
          </cell>
          <cell r="D396" t="e">
            <v>#N/A</v>
          </cell>
          <cell r="E396" t="e">
            <v>#N/A</v>
          </cell>
          <cell r="F396" t="e">
            <v>#N/A</v>
          </cell>
          <cell r="G396" t="e">
            <v>#N/A</v>
          </cell>
          <cell r="H396" t="str">
            <v xml:space="preserve">Melakukan Monitoring dan Evaluasi ke Universitas Pelita Harapan </v>
          </cell>
          <cell r="I396" t="str">
            <v>DKI Jakarta</v>
          </cell>
          <cell r="J396" t="str">
            <v>DKI Jakarta</v>
          </cell>
          <cell r="K396">
            <v>1</v>
          </cell>
          <cell r="L396" t="str">
            <v>21 November 2018</v>
          </cell>
          <cell r="M396" t="str">
            <v>21 November 2018</v>
          </cell>
          <cell r="N396">
            <v>524114</v>
          </cell>
          <cell r="O396" t="str">
            <v>Belanja Perjalanan Dinas Paket Meeting Dalam Kota</v>
          </cell>
          <cell r="R396" t="str">
            <v>ya</v>
          </cell>
          <cell r="S396">
            <v>150000</v>
          </cell>
          <cell r="T396">
            <v>3138400</v>
          </cell>
          <cell r="U396" t="str">
            <v>ya</v>
          </cell>
          <cell r="V396">
            <v>0</v>
          </cell>
          <cell r="W396">
            <v>0</v>
          </cell>
          <cell r="X396">
            <v>0</v>
          </cell>
          <cell r="Z396">
            <v>0</v>
          </cell>
          <cell r="AB396">
            <v>0</v>
          </cell>
          <cell r="AD396">
            <v>0</v>
          </cell>
          <cell r="AE396" t="str">
            <v>ya</v>
          </cell>
          <cell r="AF396">
            <v>210000</v>
          </cell>
          <cell r="AH396" t="str">
            <v xml:space="preserve">Angkutan Umum </v>
          </cell>
        </row>
        <row r="397">
          <cell r="A397">
            <v>396</v>
          </cell>
          <cell r="C397" t="e">
            <v>#N/A</v>
          </cell>
          <cell r="D397" t="e">
            <v>#N/A</v>
          </cell>
          <cell r="E397" t="e">
            <v>#N/A</v>
          </cell>
          <cell r="F397" t="e">
            <v>#N/A</v>
          </cell>
          <cell r="G397" t="e">
            <v>#N/A</v>
          </cell>
          <cell r="H397" t="str">
            <v xml:space="preserve">Melakukan Monitoring dan Evaluasi ke Universitas Pelita Harapan </v>
          </cell>
          <cell r="I397" t="str">
            <v>DKI Jakarta</v>
          </cell>
          <cell r="J397" t="str">
            <v>DKI Jakarta</v>
          </cell>
          <cell r="K397">
            <v>1</v>
          </cell>
          <cell r="L397" t="str">
            <v>21 November 2018</v>
          </cell>
          <cell r="M397" t="str">
            <v>21 November 2018</v>
          </cell>
          <cell r="N397">
            <v>524114</v>
          </cell>
          <cell r="O397" t="str">
            <v>Belanja Perjalanan Dinas Paket Meeting Dalam Kota</v>
          </cell>
          <cell r="R397" t="str">
            <v>ya</v>
          </cell>
          <cell r="S397">
            <v>150000</v>
          </cell>
          <cell r="T397">
            <v>3138400</v>
          </cell>
          <cell r="U397" t="str">
            <v>ya</v>
          </cell>
          <cell r="V397">
            <v>0</v>
          </cell>
          <cell r="W397">
            <v>0</v>
          </cell>
          <cell r="X397">
            <v>0</v>
          </cell>
          <cell r="Z397">
            <v>0</v>
          </cell>
          <cell r="AB397">
            <v>0</v>
          </cell>
          <cell r="AD397">
            <v>0</v>
          </cell>
          <cell r="AE397" t="str">
            <v>ya</v>
          </cell>
          <cell r="AF397">
            <v>210000</v>
          </cell>
          <cell r="AH397" t="str">
            <v xml:space="preserve">Angkutan Umum </v>
          </cell>
        </row>
        <row r="398">
          <cell r="A398">
            <v>397</v>
          </cell>
          <cell r="C398" t="e">
            <v>#N/A</v>
          </cell>
          <cell r="D398" t="e">
            <v>#N/A</v>
          </cell>
          <cell r="E398" t="e">
            <v>#N/A</v>
          </cell>
          <cell r="F398" t="e">
            <v>#N/A</v>
          </cell>
          <cell r="G398" t="e">
            <v>#N/A</v>
          </cell>
          <cell r="H398" t="str">
            <v xml:space="preserve">Melakukan Monitoring dan Evaluasi ke Universitas Pelita Harapan </v>
          </cell>
          <cell r="I398" t="str">
            <v>DKI Jakarta</v>
          </cell>
          <cell r="J398" t="str">
            <v>DKI Jakarta</v>
          </cell>
          <cell r="K398">
            <v>1</v>
          </cell>
          <cell r="L398" t="str">
            <v>21 November 2018</v>
          </cell>
          <cell r="M398" t="str">
            <v>21 November 2018</v>
          </cell>
          <cell r="N398">
            <v>524114</v>
          </cell>
          <cell r="O398" t="str">
            <v>Belanja Perjalanan Dinas Paket Meeting Dalam Kota</v>
          </cell>
          <cell r="R398" t="str">
            <v>ya</v>
          </cell>
          <cell r="S398">
            <v>150000</v>
          </cell>
          <cell r="T398">
            <v>3138400</v>
          </cell>
          <cell r="U398" t="str">
            <v>ya</v>
          </cell>
          <cell r="V398">
            <v>0</v>
          </cell>
          <cell r="W398">
            <v>0</v>
          </cell>
          <cell r="X398">
            <v>0</v>
          </cell>
          <cell r="Z398">
            <v>0</v>
          </cell>
          <cell r="AB398">
            <v>0</v>
          </cell>
          <cell r="AD398">
            <v>0</v>
          </cell>
          <cell r="AE398" t="str">
            <v>ya</v>
          </cell>
          <cell r="AF398">
            <v>210000</v>
          </cell>
          <cell r="AH398" t="str">
            <v xml:space="preserve">Angkutan Umum </v>
          </cell>
        </row>
        <row r="399">
          <cell r="A399">
            <v>398</v>
          </cell>
          <cell r="C399" t="e">
            <v>#N/A</v>
          </cell>
          <cell r="D399" t="e">
            <v>#N/A</v>
          </cell>
          <cell r="E399" t="e">
            <v>#N/A</v>
          </cell>
          <cell r="F399" t="e">
            <v>#N/A</v>
          </cell>
          <cell r="G399" t="e">
            <v>#N/A</v>
          </cell>
          <cell r="H399" t="str">
            <v xml:space="preserve">Melakukan Monitoring dan Evaluasi ke Universitas Pelita Harapan </v>
          </cell>
          <cell r="I399" t="str">
            <v>DKI Jakarta</v>
          </cell>
          <cell r="J399" t="str">
            <v>DKI Jakarta</v>
          </cell>
          <cell r="K399">
            <v>1</v>
          </cell>
          <cell r="L399" t="str">
            <v>21 November 2018</v>
          </cell>
          <cell r="M399" t="str">
            <v>21 November 2018</v>
          </cell>
          <cell r="N399">
            <v>524114</v>
          </cell>
          <cell r="O399" t="str">
            <v>Belanja Perjalanan Dinas Paket Meeting Dalam Kota</v>
          </cell>
          <cell r="R399" t="str">
            <v>ya</v>
          </cell>
          <cell r="S399">
            <v>150000</v>
          </cell>
          <cell r="T399">
            <v>3138400</v>
          </cell>
          <cell r="U399" t="str">
            <v>ya</v>
          </cell>
          <cell r="V399">
            <v>0</v>
          </cell>
          <cell r="W399">
            <v>0</v>
          </cell>
          <cell r="X399">
            <v>0</v>
          </cell>
          <cell r="Z399">
            <v>0</v>
          </cell>
          <cell r="AB399">
            <v>0</v>
          </cell>
          <cell r="AD399">
            <v>0</v>
          </cell>
          <cell r="AE399" t="str">
            <v>ya</v>
          </cell>
          <cell r="AF399">
            <v>210000</v>
          </cell>
          <cell r="AH399" t="str">
            <v xml:space="preserve">Angkutan Umum </v>
          </cell>
        </row>
        <row r="400">
          <cell r="A400">
            <v>399</v>
          </cell>
          <cell r="C400" t="e">
            <v>#N/A</v>
          </cell>
          <cell r="D400" t="e">
            <v>#N/A</v>
          </cell>
          <cell r="E400" t="e">
            <v>#N/A</v>
          </cell>
          <cell r="F400" t="e">
            <v>#N/A</v>
          </cell>
          <cell r="G400" t="e">
            <v>#N/A</v>
          </cell>
          <cell r="H400" t="str">
            <v>Melakukan Monitoring dan Evaluasi ke Sekolah Tinggi Ilmu Ekonomi Widya Jayakarta</v>
          </cell>
          <cell r="I400" t="str">
            <v>DKI Jakarta</v>
          </cell>
          <cell r="J400" t="str">
            <v>DKI Jakarta</v>
          </cell>
          <cell r="K400">
            <v>1</v>
          </cell>
          <cell r="L400" t="str">
            <v>22 November 2018</v>
          </cell>
          <cell r="M400" t="str">
            <v>22 November 2018</v>
          </cell>
          <cell r="N400">
            <v>524114</v>
          </cell>
          <cell r="O400" t="str">
            <v>Belanja Perjalanan Dinas Paket Meeting Dalam Kota</v>
          </cell>
          <cell r="R400" t="str">
            <v>ya</v>
          </cell>
          <cell r="S400">
            <v>150000</v>
          </cell>
          <cell r="T400">
            <v>3138400</v>
          </cell>
          <cell r="U400" t="str">
            <v>ya</v>
          </cell>
          <cell r="V400">
            <v>0</v>
          </cell>
          <cell r="W400">
            <v>0</v>
          </cell>
          <cell r="X400">
            <v>0</v>
          </cell>
          <cell r="Z400">
            <v>0</v>
          </cell>
          <cell r="AB400">
            <v>0</v>
          </cell>
          <cell r="AD400">
            <v>0</v>
          </cell>
          <cell r="AE400" t="str">
            <v>ya</v>
          </cell>
          <cell r="AF400">
            <v>210000</v>
          </cell>
          <cell r="AH400" t="str">
            <v xml:space="preserve">Angkutan Umum </v>
          </cell>
        </row>
        <row r="401">
          <cell r="A401">
            <v>400</v>
          </cell>
          <cell r="C401" t="e">
            <v>#N/A</v>
          </cell>
          <cell r="D401" t="e">
            <v>#N/A</v>
          </cell>
          <cell r="E401" t="e">
            <v>#N/A</v>
          </cell>
          <cell r="F401" t="e">
            <v>#N/A</v>
          </cell>
          <cell r="G401" t="e">
            <v>#N/A</v>
          </cell>
          <cell r="H401" t="str">
            <v>Melakukan Monitoring dan Evaluasi ke Sekolah Tinggi Ilmu Ekonomi Widya Jayakarta</v>
          </cell>
          <cell r="I401" t="str">
            <v>DKI Jakarta</v>
          </cell>
          <cell r="J401" t="str">
            <v>DKI Jakarta</v>
          </cell>
          <cell r="K401">
            <v>1</v>
          </cell>
          <cell r="L401" t="str">
            <v>22 November 2018</v>
          </cell>
          <cell r="M401" t="str">
            <v>22 November 2018</v>
          </cell>
          <cell r="N401">
            <v>524114</v>
          </cell>
          <cell r="O401" t="str">
            <v>Belanja Perjalanan Dinas Paket Meeting Dalam Kota</v>
          </cell>
          <cell r="R401" t="str">
            <v>ya</v>
          </cell>
          <cell r="S401">
            <v>150000</v>
          </cell>
          <cell r="T401">
            <v>3138400</v>
          </cell>
          <cell r="U401" t="str">
            <v>ya</v>
          </cell>
          <cell r="V401">
            <v>0</v>
          </cell>
          <cell r="W401">
            <v>0</v>
          </cell>
          <cell r="X401">
            <v>0</v>
          </cell>
          <cell r="Z401">
            <v>0</v>
          </cell>
          <cell r="AB401">
            <v>0</v>
          </cell>
          <cell r="AD401">
            <v>0</v>
          </cell>
          <cell r="AE401" t="str">
            <v>ya</v>
          </cell>
          <cell r="AF401">
            <v>210000</v>
          </cell>
          <cell r="AH401" t="str">
            <v xml:space="preserve">Angkutan Umum </v>
          </cell>
        </row>
        <row r="402">
          <cell r="A402">
            <v>401</v>
          </cell>
          <cell r="C402" t="e">
            <v>#N/A</v>
          </cell>
          <cell r="D402" t="e">
            <v>#N/A</v>
          </cell>
          <cell r="E402" t="e">
            <v>#N/A</v>
          </cell>
          <cell r="F402" t="e">
            <v>#N/A</v>
          </cell>
          <cell r="G402" t="e">
            <v>#N/A</v>
          </cell>
          <cell r="H402" t="str">
            <v>Melakukan Monitoring dan Evaluasi ke Sekolah Tinggi Ilmu Ekonomi Widya Jayakarta</v>
          </cell>
          <cell r="I402" t="str">
            <v>DKI Jakarta</v>
          </cell>
          <cell r="J402" t="str">
            <v>DKI Jakarta</v>
          </cell>
          <cell r="K402">
            <v>1</v>
          </cell>
          <cell r="L402" t="str">
            <v>22 November 2018</v>
          </cell>
          <cell r="M402" t="str">
            <v>22 November 2018</v>
          </cell>
          <cell r="N402">
            <v>524114</v>
          </cell>
          <cell r="O402" t="str">
            <v>Belanja Perjalanan Dinas Paket Meeting Dalam Kota</v>
          </cell>
          <cell r="R402" t="str">
            <v>ya</v>
          </cell>
          <cell r="S402">
            <v>150000</v>
          </cell>
          <cell r="T402">
            <v>3138400</v>
          </cell>
          <cell r="U402" t="str">
            <v>ya</v>
          </cell>
          <cell r="V402">
            <v>0</v>
          </cell>
          <cell r="W402">
            <v>0</v>
          </cell>
          <cell r="X402">
            <v>0</v>
          </cell>
          <cell r="Z402">
            <v>0</v>
          </cell>
          <cell r="AB402">
            <v>0</v>
          </cell>
          <cell r="AD402">
            <v>0</v>
          </cell>
          <cell r="AE402" t="str">
            <v>ya</v>
          </cell>
          <cell r="AF402">
            <v>210000</v>
          </cell>
          <cell r="AH402" t="str">
            <v xml:space="preserve">Angkutan Umum </v>
          </cell>
        </row>
        <row r="403">
          <cell r="A403">
            <v>402</v>
          </cell>
          <cell r="C403" t="e">
            <v>#N/A</v>
          </cell>
          <cell r="D403" t="e">
            <v>#N/A</v>
          </cell>
          <cell r="E403" t="e">
            <v>#N/A</v>
          </cell>
          <cell r="F403" t="e">
            <v>#N/A</v>
          </cell>
          <cell r="G403" t="e">
            <v>#N/A</v>
          </cell>
          <cell r="H403" t="str">
            <v>Melakukan Monitoring dan Evaluasi ke Sekolah Tinggi Ilmu Ekonomi Widya Jayakarta</v>
          </cell>
          <cell r="I403" t="str">
            <v>DKI Jakarta</v>
          </cell>
          <cell r="J403" t="str">
            <v>DKI Jakarta</v>
          </cell>
          <cell r="K403">
            <v>1</v>
          </cell>
          <cell r="L403" t="str">
            <v>22 November 2018</v>
          </cell>
          <cell r="M403" t="str">
            <v>22 November 2018</v>
          </cell>
          <cell r="N403">
            <v>524114</v>
          </cell>
          <cell r="O403" t="str">
            <v>Belanja Perjalanan Dinas Paket Meeting Dalam Kota</v>
          </cell>
          <cell r="R403" t="str">
            <v>ya</v>
          </cell>
          <cell r="S403">
            <v>150000</v>
          </cell>
          <cell r="T403">
            <v>3138400</v>
          </cell>
          <cell r="U403" t="str">
            <v>ya</v>
          </cell>
          <cell r="V403">
            <v>0</v>
          </cell>
          <cell r="W403">
            <v>0</v>
          </cell>
          <cell r="X403">
            <v>0</v>
          </cell>
          <cell r="Z403">
            <v>0</v>
          </cell>
          <cell r="AB403">
            <v>0</v>
          </cell>
          <cell r="AD403">
            <v>0</v>
          </cell>
          <cell r="AE403" t="str">
            <v>ya</v>
          </cell>
          <cell r="AF403">
            <v>210000</v>
          </cell>
          <cell r="AH403" t="str">
            <v xml:space="preserve">Angkutan Umum </v>
          </cell>
        </row>
        <row r="404">
          <cell r="A404">
            <v>403</v>
          </cell>
          <cell r="C404" t="e">
            <v>#N/A</v>
          </cell>
          <cell r="D404" t="e">
            <v>#N/A</v>
          </cell>
          <cell r="E404" t="e">
            <v>#N/A</v>
          </cell>
          <cell r="F404" t="e">
            <v>#N/A</v>
          </cell>
          <cell r="G404" t="e">
            <v>#N/A</v>
          </cell>
          <cell r="H404" t="str">
            <v>Melakukan Monitoring dan Evaluasi ke IKPIA Perbanas</v>
          </cell>
          <cell r="I404" t="str">
            <v>DKI Jakarta</v>
          </cell>
          <cell r="J404" t="str">
            <v>DKI Jakarta</v>
          </cell>
          <cell r="K404">
            <v>1</v>
          </cell>
          <cell r="L404" t="str">
            <v>22 November 2018</v>
          </cell>
          <cell r="M404" t="str">
            <v>22 November 2018</v>
          </cell>
          <cell r="N404">
            <v>524114</v>
          </cell>
          <cell r="O404" t="str">
            <v>Belanja Perjalanan Dinas Paket Meeting Dalam Kota</v>
          </cell>
          <cell r="R404" t="str">
            <v>ya</v>
          </cell>
          <cell r="S404">
            <v>150000</v>
          </cell>
          <cell r="T404">
            <v>3138400</v>
          </cell>
          <cell r="U404" t="str">
            <v>ya</v>
          </cell>
          <cell r="V404">
            <v>0</v>
          </cell>
          <cell r="W404">
            <v>0</v>
          </cell>
          <cell r="X404">
            <v>0</v>
          </cell>
          <cell r="Z404">
            <v>0</v>
          </cell>
          <cell r="AB404">
            <v>0</v>
          </cell>
          <cell r="AD404">
            <v>0</v>
          </cell>
          <cell r="AE404" t="str">
            <v>ya</v>
          </cell>
          <cell r="AF404">
            <v>210000</v>
          </cell>
          <cell r="AH404" t="str">
            <v xml:space="preserve">Angkutan Umum </v>
          </cell>
        </row>
        <row r="405">
          <cell r="A405">
            <v>404</v>
          </cell>
          <cell r="C405" t="e">
            <v>#N/A</v>
          </cell>
          <cell r="D405" t="e">
            <v>#N/A</v>
          </cell>
          <cell r="E405" t="e">
            <v>#N/A</v>
          </cell>
          <cell r="F405" t="e">
            <v>#N/A</v>
          </cell>
          <cell r="G405" t="e">
            <v>#N/A</v>
          </cell>
          <cell r="H405" t="str">
            <v>Melakukan Monitoring dan Evaluasi ke IKPIA Perbanas</v>
          </cell>
          <cell r="I405" t="str">
            <v>DKI Jakarta</v>
          </cell>
          <cell r="J405" t="str">
            <v>DKI Jakarta</v>
          </cell>
          <cell r="K405">
            <v>1</v>
          </cell>
          <cell r="L405" t="str">
            <v>22 November 2018</v>
          </cell>
          <cell r="M405" t="str">
            <v>22 November 2018</v>
          </cell>
          <cell r="N405">
            <v>524114</v>
          </cell>
          <cell r="O405" t="str">
            <v>Belanja Perjalanan Dinas Paket Meeting Dalam Kota</v>
          </cell>
          <cell r="R405" t="str">
            <v>ya</v>
          </cell>
          <cell r="S405">
            <v>150000</v>
          </cell>
          <cell r="T405">
            <v>3138400</v>
          </cell>
          <cell r="U405" t="str">
            <v>ya</v>
          </cell>
          <cell r="V405">
            <v>0</v>
          </cell>
          <cell r="W405">
            <v>0</v>
          </cell>
          <cell r="X405">
            <v>0</v>
          </cell>
          <cell r="Z405">
            <v>0</v>
          </cell>
          <cell r="AB405">
            <v>0</v>
          </cell>
          <cell r="AD405">
            <v>0</v>
          </cell>
          <cell r="AE405" t="str">
            <v>ya</v>
          </cell>
          <cell r="AF405">
            <v>210000</v>
          </cell>
          <cell r="AH405" t="str">
            <v xml:space="preserve">Angkutan Umum </v>
          </cell>
        </row>
        <row r="406">
          <cell r="A406">
            <v>405</v>
          </cell>
          <cell r="C406" t="e">
            <v>#N/A</v>
          </cell>
          <cell r="D406" t="e">
            <v>#N/A</v>
          </cell>
          <cell r="E406" t="e">
            <v>#N/A</v>
          </cell>
          <cell r="F406" t="e">
            <v>#N/A</v>
          </cell>
          <cell r="G406" t="e">
            <v>#N/A</v>
          </cell>
          <cell r="H406" t="str">
            <v>Melakukan Monitoring dan Evaluasi ke IKPIA Perbanas</v>
          </cell>
          <cell r="I406" t="str">
            <v>DKI Jakarta</v>
          </cell>
          <cell r="J406" t="str">
            <v>DKI Jakarta</v>
          </cell>
          <cell r="K406">
            <v>1</v>
          </cell>
          <cell r="L406" t="str">
            <v>22 November 2018</v>
          </cell>
          <cell r="M406" t="str">
            <v>22 November 2018</v>
          </cell>
          <cell r="N406">
            <v>524114</v>
          </cell>
          <cell r="O406" t="str">
            <v>Belanja Perjalanan Dinas Paket Meeting Dalam Kota</v>
          </cell>
          <cell r="R406" t="str">
            <v>ya</v>
          </cell>
          <cell r="S406">
            <v>150000</v>
          </cell>
          <cell r="T406">
            <v>3138400</v>
          </cell>
          <cell r="U406" t="str">
            <v>ya</v>
          </cell>
          <cell r="V406">
            <v>0</v>
          </cell>
          <cell r="W406">
            <v>0</v>
          </cell>
          <cell r="X406">
            <v>0</v>
          </cell>
          <cell r="Z406">
            <v>0</v>
          </cell>
          <cell r="AB406">
            <v>0</v>
          </cell>
          <cell r="AD406">
            <v>0</v>
          </cell>
          <cell r="AE406" t="str">
            <v>ya</v>
          </cell>
          <cell r="AF406">
            <v>210000</v>
          </cell>
          <cell r="AH406" t="str">
            <v xml:space="preserve">Angkutan Umum </v>
          </cell>
        </row>
        <row r="407">
          <cell r="A407">
            <v>406</v>
          </cell>
          <cell r="C407" t="e">
            <v>#N/A</v>
          </cell>
          <cell r="D407" t="e">
            <v>#N/A</v>
          </cell>
          <cell r="E407" t="e">
            <v>#N/A</v>
          </cell>
          <cell r="F407" t="e">
            <v>#N/A</v>
          </cell>
          <cell r="G407" t="e">
            <v>#N/A</v>
          </cell>
          <cell r="H407" t="str">
            <v>Melakukan Monitoring dan Evaluasi ke IKPIA Perbanas</v>
          </cell>
          <cell r="I407" t="str">
            <v>DKI Jakarta</v>
          </cell>
          <cell r="J407" t="str">
            <v>DKI Jakarta</v>
          </cell>
          <cell r="K407">
            <v>1</v>
          </cell>
          <cell r="L407" t="str">
            <v>22 November 2018</v>
          </cell>
          <cell r="M407" t="str">
            <v>22 November 2018</v>
          </cell>
          <cell r="N407">
            <v>524114</v>
          </cell>
          <cell r="O407" t="str">
            <v>Belanja Perjalanan Dinas Paket Meeting Dalam Kota</v>
          </cell>
          <cell r="R407" t="str">
            <v>ya</v>
          </cell>
          <cell r="S407">
            <v>150000</v>
          </cell>
          <cell r="T407">
            <v>3138400</v>
          </cell>
          <cell r="U407" t="str">
            <v>ya</v>
          </cell>
          <cell r="V407">
            <v>0</v>
          </cell>
          <cell r="W407">
            <v>0</v>
          </cell>
          <cell r="X407">
            <v>0</v>
          </cell>
          <cell r="Z407">
            <v>0</v>
          </cell>
          <cell r="AB407">
            <v>0</v>
          </cell>
          <cell r="AD407">
            <v>0</v>
          </cell>
          <cell r="AE407" t="str">
            <v>ya</v>
          </cell>
          <cell r="AF407">
            <v>210000</v>
          </cell>
          <cell r="AH407" t="str">
            <v xml:space="preserve">Angkutan Umum </v>
          </cell>
        </row>
        <row r="408">
          <cell r="A408">
            <v>407</v>
          </cell>
          <cell r="C408" t="e">
            <v>#N/A</v>
          </cell>
          <cell r="D408" t="e">
            <v>#N/A</v>
          </cell>
          <cell r="E408" t="e">
            <v>#N/A</v>
          </cell>
          <cell r="F408" t="e">
            <v>#N/A</v>
          </cell>
          <cell r="G408" t="e">
            <v>#N/A</v>
          </cell>
          <cell r="H408" t="str">
            <v xml:space="preserve">Melakukan Monitoring dan Evaluasi ke Universitas Kristen Krida Wacana </v>
          </cell>
          <cell r="I408" t="str">
            <v>DKI Jakarta</v>
          </cell>
          <cell r="J408" t="str">
            <v>DKI Jakarta</v>
          </cell>
          <cell r="K408">
            <v>1</v>
          </cell>
          <cell r="L408" t="str">
            <v>28 November 2018</v>
          </cell>
          <cell r="M408" t="str">
            <v>28 November 2018</v>
          </cell>
          <cell r="N408">
            <v>524114</v>
          </cell>
          <cell r="O408" t="str">
            <v>Belanja Perjalanan Dinas Paket Meeting Dalam Kota</v>
          </cell>
          <cell r="R408" t="str">
            <v>ya</v>
          </cell>
          <cell r="S408">
            <v>150000</v>
          </cell>
          <cell r="T408">
            <v>3138400</v>
          </cell>
          <cell r="U408" t="str">
            <v>ya</v>
          </cell>
          <cell r="V408">
            <v>0</v>
          </cell>
          <cell r="W408">
            <v>0</v>
          </cell>
          <cell r="X408">
            <v>0</v>
          </cell>
          <cell r="Z408">
            <v>0</v>
          </cell>
          <cell r="AB408">
            <v>0</v>
          </cell>
          <cell r="AD408">
            <v>0</v>
          </cell>
          <cell r="AE408" t="str">
            <v>ya</v>
          </cell>
          <cell r="AF408">
            <v>210000</v>
          </cell>
          <cell r="AH408" t="str">
            <v xml:space="preserve">Angkutan Umum </v>
          </cell>
        </row>
        <row r="409">
          <cell r="A409">
            <v>408</v>
          </cell>
          <cell r="C409" t="e">
            <v>#N/A</v>
          </cell>
          <cell r="D409" t="e">
            <v>#N/A</v>
          </cell>
          <cell r="E409" t="e">
            <v>#N/A</v>
          </cell>
          <cell r="F409" t="e">
            <v>#N/A</v>
          </cell>
          <cell r="G409" t="e">
            <v>#N/A</v>
          </cell>
          <cell r="H409" t="str">
            <v xml:space="preserve">Melakukan Monitoring dan Evaluasi ke Universitas Kristen Krida Wacana </v>
          </cell>
          <cell r="I409" t="str">
            <v>DKI Jakarta</v>
          </cell>
          <cell r="J409" t="str">
            <v>DKI Jakarta</v>
          </cell>
          <cell r="K409">
            <v>1</v>
          </cell>
          <cell r="L409" t="str">
            <v>28 November 2018</v>
          </cell>
          <cell r="M409" t="str">
            <v>28 November 2018</v>
          </cell>
          <cell r="N409">
            <v>524114</v>
          </cell>
          <cell r="O409" t="str">
            <v>Belanja Perjalanan Dinas Paket Meeting Dalam Kota</v>
          </cell>
          <cell r="R409" t="str">
            <v>ya</v>
          </cell>
          <cell r="S409">
            <v>150000</v>
          </cell>
          <cell r="T409">
            <v>3138400</v>
          </cell>
          <cell r="U409" t="str">
            <v>ya</v>
          </cell>
          <cell r="V409">
            <v>0</v>
          </cell>
          <cell r="W409">
            <v>0</v>
          </cell>
          <cell r="X409">
            <v>0</v>
          </cell>
          <cell r="Z409">
            <v>0</v>
          </cell>
          <cell r="AB409">
            <v>0</v>
          </cell>
          <cell r="AD409">
            <v>0</v>
          </cell>
          <cell r="AE409" t="str">
            <v>ya</v>
          </cell>
          <cell r="AF409">
            <v>210000</v>
          </cell>
          <cell r="AH409" t="str">
            <v xml:space="preserve">Angkutan Umum </v>
          </cell>
        </row>
        <row r="410">
          <cell r="A410">
            <v>409</v>
          </cell>
          <cell r="C410" t="e">
            <v>#N/A</v>
          </cell>
          <cell r="D410" t="e">
            <v>#N/A</v>
          </cell>
          <cell r="E410" t="e">
            <v>#N/A</v>
          </cell>
          <cell r="F410" t="e">
            <v>#N/A</v>
          </cell>
          <cell r="G410" t="e">
            <v>#N/A</v>
          </cell>
          <cell r="H410" t="str">
            <v xml:space="preserve">Melakukan Monitoring dan Evaluasi ke Universitas Kristen Krida Wacana </v>
          </cell>
          <cell r="I410" t="str">
            <v>DKI Jakarta</v>
          </cell>
          <cell r="J410" t="str">
            <v>DKI Jakarta</v>
          </cell>
          <cell r="K410">
            <v>1</v>
          </cell>
          <cell r="L410" t="str">
            <v>28 November 2018</v>
          </cell>
          <cell r="M410" t="str">
            <v>28 November 2018</v>
          </cell>
          <cell r="N410">
            <v>524114</v>
          </cell>
          <cell r="O410" t="str">
            <v>Belanja Perjalanan Dinas Paket Meeting Dalam Kota</v>
          </cell>
          <cell r="R410" t="str">
            <v>ya</v>
          </cell>
          <cell r="S410">
            <v>150000</v>
          </cell>
          <cell r="T410">
            <v>3138400</v>
          </cell>
          <cell r="U410" t="str">
            <v>ya</v>
          </cell>
          <cell r="V410">
            <v>0</v>
          </cell>
          <cell r="W410">
            <v>0</v>
          </cell>
          <cell r="X410">
            <v>0</v>
          </cell>
          <cell r="Z410">
            <v>0</v>
          </cell>
          <cell r="AB410">
            <v>0</v>
          </cell>
          <cell r="AD410">
            <v>0</v>
          </cell>
          <cell r="AE410" t="str">
            <v>ya</v>
          </cell>
          <cell r="AF410">
            <v>210000</v>
          </cell>
          <cell r="AH410" t="str">
            <v xml:space="preserve">Angkutan Umum </v>
          </cell>
        </row>
        <row r="411">
          <cell r="A411">
            <v>410</v>
          </cell>
          <cell r="C411" t="e">
            <v>#N/A</v>
          </cell>
          <cell r="D411" t="e">
            <v>#N/A</v>
          </cell>
          <cell r="E411" t="e">
            <v>#N/A</v>
          </cell>
          <cell r="F411" t="e">
            <v>#N/A</v>
          </cell>
          <cell r="G411" t="e">
            <v>#N/A</v>
          </cell>
          <cell r="H411" t="str">
            <v xml:space="preserve">Melakukan Monitoring dan Evaluasi ke Universitas Kristen Krida Wacana </v>
          </cell>
          <cell r="I411" t="str">
            <v>DKI Jakarta</v>
          </cell>
          <cell r="J411" t="str">
            <v>DKI Jakarta</v>
          </cell>
          <cell r="K411">
            <v>1</v>
          </cell>
          <cell r="L411" t="str">
            <v>28 November 2018</v>
          </cell>
          <cell r="M411" t="str">
            <v>28 November 2018</v>
          </cell>
          <cell r="N411">
            <v>524114</v>
          </cell>
          <cell r="O411" t="str">
            <v>Belanja Perjalanan Dinas Paket Meeting Dalam Kota</v>
          </cell>
          <cell r="R411" t="str">
            <v>ya</v>
          </cell>
          <cell r="S411">
            <v>150000</v>
          </cell>
          <cell r="T411">
            <v>3138400</v>
          </cell>
          <cell r="U411" t="str">
            <v>ya</v>
          </cell>
          <cell r="V411">
            <v>0</v>
          </cell>
          <cell r="W411">
            <v>0</v>
          </cell>
          <cell r="X411">
            <v>0</v>
          </cell>
          <cell r="Z411">
            <v>0</v>
          </cell>
          <cell r="AB411">
            <v>0</v>
          </cell>
          <cell r="AD411">
            <v>0</v>
          </cell>
          <cell r="AE411" t="str">
            <v>ya</v>
          </cell>
          <cell r="AF411">
            <v>210000</v>
          </cell>
          <cell r="AH411" t="str">
            <v xml:space="preserve">Angkutan Umum </v>
          </cell>
        </row>
        <row r="412">
          <cell r="A412">
            <v>411</v>
          </cell>
          <cell r="C412" t="e">
            <v>#N/A</v>
          </cell>
          <cell r="D412" t="e">
            <v>#N/A</v>
          </cell>
          <cell r="E412" t="e">
            <v>#N/A</v>
          </cell>
          <cell r="F412" t="e">
            <v>#N/A</v>
          </cell>
          <cell r="G412" t="e">
            <v>#N/A</v>
          </cell>
          <cell r="H412" t="str">
            <v>Melakukan Monitoring dan Evaluasi ke Universitas Darma Persada</v>
          </cell>
          <cell r="I412" t="str">
            <v>DKI Jakarta</v>
          </cell>
          <cell r="J412" t="str">
            <v>DKI Jakarta</v>
          </cell>
          <cell r="K412">
            <v>1</v>
          </cell>
          <cell r="L412" t="str">
            <v>29 November 2018</v>
          </cell>
          <cell r="M412" t="str">
            <v>29 November 2018</v>
          </cell>
          <cell r="N412">
            <v>524114</v>
          </cell>
          <cell r="O412" t="str">
            <v>Belanja Perjalanan Dinas Paket Meeting Dalam Kota</v>
          </cell>
          <cell r="R412" t="str">
            <v>ya</v>
          </cell>
          <cell r="S412">
            <v>150000</v>
          </cell>
          <cell r="T412">
            <v>3138400</v>
          </cell>
          <cell r="U412" t="str">
            <v>ya</v>
          </cell>
          <cell r="V412">
            <v>0</v>
          </cell>
          <cell r="W412">
            <v>0</v>
          </cell>
          <cell r="X412">
            <v>0</v>
          </cell>
          <cell r="Z412">
            <v>0</v>
          </cell>
          <cell r="AB412">
            <v>0</v>
          </cell>
          <cell r="AD412">
            <v>0</v>
          </cell>
          <cell r="AE412" t="str">
            <v>ya</v>
          </cell>
          <cell r="AF412">
            <v>210000</v>
          </cell>
          <cell r="AH412" t="str">
            <v xml:space="preserve">Angkutan Umum </v>
          </cell>
        </row>
        <row r="413">
          <cell r="A413">
            <v>412</v>
          </cell>
          <cell r="C413" t="e">
            <v>#N/A</v>
          </cell>
          <cell r="D413" t="e">
            <v>#N/A</v>
          </cell>
          <cell r="E413" t="e">
            <v>#N/A</v>
          </cell>
          <cell r="F413" t="e">
            <v>#N/A</v>
          </cell>
          <cell r="G413" t="e">
            <v>#N/A</v>
          </cell>
          <cell r="H413" t="str">
            <v>Melakukan Monitoring dan Evaluasi ke Universitas Darma Persada</v>
          </cell>
          <cell r="I413" t="str">
            <v>DKI Jakarta</v>
          </cell>
          <cell r="J413" t="str">
            <v>DKI Jakarta</v>
          </cell>
          <cell r="K413">
            <v>1</v>
          </cell>
          <cell r="L413" t="str">
            <v>29 November 2018</v>
          </cell>
          <cell r="M413" t="str">
            <v>29 November 2018</v>
          </cell>
          <cell r="N413">
            <v>524114</v>
          </cell>
          <cell r="O413" t="str">
            <v>Belanja Perjalanan Dinas Paket Meeting Dalam Kota</v>
          </cell>
          <cell r="R413" t="str">
            <v>ya</v>
          </cell>
          <cell r="S413">
            <v>150000</v>
          </cell>
          <cell r="T413">
            <v>3138400</v>
          </cell>
          <cell r="U413" t="str">
            <v>ya</v>
          </cell>
          <cell r="V413">
            <v>0</v>
          </cell>
          <cell r="W413">
            <v>0</v>
          </cell>
          <cell r="X413">
            <v>0</v>
          </cell>
          <cell r="Z413">
            <v>0</v>
          </cell>
          <cell r="AB413">
            <v>0</v>
          </cell>
          <cell r="AD413">
            <v>0</v>
          </cell>
          <cell r="AE413" t="str">
            <v>ya</v>
          </cell>
          <cell r="AF413">
            <v>210000</v>
          </cell>
          <cell r="AH413" t="str">
            <v xml:space="preserve">Angkutan Umum </v>
          </cell>
        </row>
        <row r="414">
          <cell r="A414">
            <v>413</v>
          </cell>
          <cell r="C414" t="e">
            <v>#N/A</v>
          </cell>
          <cell r="D414" t="e">
            <v>#N/A</v>
          </cell>
          <cell r="E414" t="e">
            <v>#N/A</v>
          </cell>
          <cell r="F414" t="e">
            <v>#N/A</v>
          </cell>
          <cell r="G414" t="e">
            <v>#N/A</v>
          </cell>
          <cell r="H414" t="str">
            <v>Melakukan Monitoring dan Evaluasi ke Universitas Darma Persada</v>
          </cell>
          <cell r="I414" t="str">
            <v>DKI Jakarta</v>
          </cell>
          <cell r="J414" t="str">
            <v>DKI Jakarta</v>
          </cell>
          <cell r="K414">
            <v>1</v>
          </cell>
          <cell r="L414" t="str">
            <v>29 November 2018</v>
          </cell>
          <cell r="M414" t="str">
            <v>29 November 2018</v>
          </cell>
          <cell r="N414">
            <v>524114</v>
          </cell>
          <cell r="O414" t="str">
            <v>Belanja Perjalanan Dinas Paket Meeting Dalam Kota</v>
          </cell>
          <cell r="R414" t="str">
            <v>ya</v>
          </cell>
          <cell r="S414">
            <v>150000</v>
          </cell>
          <cell r="T414">
            <v>3138400</v>
          </cell>
          <cell r="U414" t="str">
            <v>ya</v>
          </cell>
          <cell r="V414">
            <v>0</v>
          </cell>
          <cell r="W414">
            <v>0</v>
          </cell>
          <cell r="X414">
            <v>0</v>
          </cell>
          <cell r="Z414">
            <v>0</v>
          </cell>
          <cell r="AB414">
            <v>0</v>
          </cell>
          <cell r="AD414">
            <v>0</v>
          </cell>
          <cell r="AE414" t="str">
            <v>ya</v>
          </cell>
          <cell r="AF414">
            <v>210000</v>
          </cell>
          <cell r="AH414" t="str">
            <v xml:space="preserve">Angkutan Umum </v>
          </cell>
        </row>
        <row r="415">
          <cell r="A415">
            <v>414</v>
          </cell>
          <cell r="C415" t="e">
            <v>#N/A</v>
          </cell>
          <cell r="D415" t="e">
            <v>#N/A</v>
          </cell>
          <cell r="E415" t="e">
            <v>#N/A</v>
          </cell>
          <cell r="F415" t="e">
            <v>#N/A</v>
          </cell>
          <cell r="G415" t="e">
            <v>#N/A</v>
          </cell>
          <cell r="H415" t="str">
            <v>Melakukan Monitoring dan Evaluasi ke Universitas Darma Persada</v>
          </cell>
          <cell r="I415" t="str">
            <v>DKI Jakarta</v>
          </cell>
          <cell r="J415" t="str">
            <v>DKI Jakarta</v>
          </cell>
          <cell r="K415">
            <v>1</v>
          </cell>
          <cell r="L415" t="str">
            <v>29 November 2018</v>
          </cell>
          <cell r="M415" t="str">
            <v>29 November 2018</v>
          </cell>
          <cell r="N415">
            <v>524114</v>
          </cell>
          <cell r="O415" t="str">
            <v>Belanja Perjalanan Dinas Paket Meeting Dalam Kota</v>
          </cell>
          <cell r="R415" t="str">
            <v>ya</v>
          </cell>
          <cell r="S415">
            <v>150000</v>
          </cell>
          <cell r="T415">
            <v>3138400</v>
          </cell>
          <cell r="U415" t="str">
            <v>ya</v>
          </cell>
          <cell r="V415">
            <v>0</v>
          </cell>
          <cell r="W415">
            <v>0</v>
          </cell>
          <cell r="X415">
            <v>0</v>
          </cell>
          <cell r="Z415">
            <v>0</v>
          </cell>
          <cell r="AB415">
            <v>0</v>
          </cell>
          <cell r="AD415">
            <v>0</v>
          </cell>
          <cell r="AE415" t="str">
            <v>ya</v>
          </cell>
          <cell r="AF415">
            <v>210000</v>
          </cell>
          <cell r="AH415" t="str">
            <v xml:space="preserve">Angkutan Umum </v>
          </cell>
        </row>
        <row r="416">
          <cell r="A416">
            <v>415</v>
          </cell>
          <cell r="C416" t="e">
            <v>#N/A</v>
          </cell>
          <cell r="D416" t="e">
            <v>#N/A</v>
          </cell>
          <cell r="E416" t="e">
            <v>#N/A</v>
          </cell>
          <cell r="F416" t="e">
            <v>#N/A</v>
          </cell>
          <cell r="G416" t="e">
            <v>#N/A</v>
          </cell>
          <cell r="H416" t="str">
            <v>Melakukan Monitoring dan Evaluasi ke Universitas Darma Persada</v>
          </cell>
          <cell r="I416" t="str">
            <v>DKI Jakarta</v>
          </cell>
          <cell r="J416" t="str">
            <v>DKI Jakarta</v>
          </cell>
          <cell r="K416">
            <v>1</v>
          </cell>
          <cell r="L416" t="str">
            <v>29 November 2018</v>
          </cell>
          <cell r="M416" t="str">
            <v>29 November 2018</v>
          </cell>
          <cell r="N416">
            <v>524114</v>
          </cell>
          <cell r="O416" t="str">
            <v>Belanja Perjalanan Dinas Paket Meeting Dalam Kota</v>
          </cell>
          <cell r="R416" t="str">
            <v>ya</v>
          </cell>
          <cell r="S416">
            <v>150000</v>
          </cell>
          <cell r="T416">
            <v>3138400</v>
          </cell>
          <cell r="U416" t="str">
            <v>ya</v>
          </cell>
          <cell r="V416">
            <v>0</v>
          </cell>
          <cell r="W416">
            <v>0</v>
          </cell>
          <cell r="X416">
            <v>0</v>
          </cell>
          <cell r="Z416">
            <v>0</v>
          </cell>
          <cell r="AB416">
            <v>0</v>
          </cell>
          <cell r="AD416">
            <v>0</v>
          </cell>
          <cell r="AE416" t="str">
            <v>ya</v>
          </cell>
          <cell r="AF416">
            <v>210000</v>
          </cell>
          <cell r="AH416" t="str">
            <v xml:space="preserve">Angkutan Umum </v>
          </cell>
        </row>
        <row r="417">
          <cell r="A417">
            <v>416</v>
          </cell>
          <cell r="C417" t="e">
            <v>#N/A</v>
          </cell>
          <cell r="D417" t="e">
            <v>#N/A</v>
          </cell>
          <cell r="E417" t="e">
            <v>#N/A</v>
          </cell>
          <cell r="F417" t="e">
            <v>#N/A</v>
          </cell>
          <cell r="G417" t="e">
            <v>#N/A</v>
          </cell>
          <cell r="H417" t="str">
            <v xml:space="preserve">Melakukan Monitoring dan Evaluasi ke Universitas Satyagama </v>
          </cell>
          <cell r="I417" t="str">
            <v>DKI Jakarta</v>
          </cell>
          <cell r="J417" t="str">
            <v>DKI Jakarta</v>
          </cell>
          <cell r="K417">
            <v>1</v>
          </cell>
          <cell r="L417" t="str">
            <v>30 November 2018</v>
          </cell>
          <cell r="M417" t="str">
            <v>30 November 2018</v>
          </cell>
          <cell r="N417">
            <v>524114</v>
          </cell>
          <cell r="O417" t="str">
            <v>Belanja Perjalanan Dinas Paket Meeting Dalam Kota</v>
          </cell>
          <cell r="R417" t="str">
            <v>ya</v>
          </cell>
          <cell r="S417">
            <v>150000</v>
          </cell>
          <cell r="T417">
            <v>3138400</v>
          </cell>
          <cell r="U417" t="str">
            <v>ya</v>
          </cell>
          <cell r="V417">
            <v>0</v>
          </cell>
          <cell r="W417">
            <v>0</v>
          </cell>
          <cell r="X417">
            <v>0</v>
          </cell>
          <cell r="Z417">
            <v>0</v>
          </cell>
          <cell r="AB417">
            <v>0</v>
          </cell>
          <cell r="AD417">
            <v>0</v>
          </cell>
          <cell r="AE417" t="str">
            <v>ya</v>
          </cell>
          <cell r="AF417">
            <v>210000</v>
          </cell>
          <cell r="AH417" t="str">
            <v xml:space="preserve">Angkutan Umum </v>
          </cell>
        </row>
        <row r="418">
          <cell r="A418">
            <v>417</v>
          </cell>
          <cell r="C418" t="e">
            <v>#N/A</v>
          </cell>
          <cell r="D418" t="e">
            <v>#N/A</v>
          </cell>
          <cell r="E418" t="e">
            <v>#N/A</v>
          </cell>
          <cell r="F418" t="e">
            <v>#N/A</v>
          </cell>
          <cell r="G418" t="e">
            <v>#N/A</v>
          </cell>
          <cell r="H418" t="str">
            <v xml:space="preserve">Melakukan Monitoring dan Evaluasi ke Universitas Satyagama </v>
          </cell>
          <cell r="I418" t="str">
            <v>DKI Jakarta</v>
          </cell>
          <cell r="J418" t="str">
            <v>DKI Jakarta</v>
          </cell>
          <cell r="K418">
            <v>1</v>
          </cell>
          <cell r="L418" t="str">
            <v>30 November 2018</v>
          </cell>
          <cell r="M418" t="str">
            <v>30 November 2018</v>
          </cell>
          <cell r="N418">
            <v>524114</v>
          </cell>
          <cell r="O418" t="str">
            <v>Belanja Perjalanan Dinas Paket Meeting Dalam Kota</v>
          </cell>
          <cell r="R418" t="str">
            <v>ya</v>
          </cell>
          <cell r="S418">
            <v>150000</v>
          </cell>
          <cell r="T418">
            <v>3138400</v>
          </cell>
          <cell r="U418" t="str">
            <v>ya</v>
          </cell>
          <cell r="V418">
            <v>0</v>
          </cell>
          <cell r="W418">
            <v>0</v>
          </cell>
          <cell r="X418">
            <v>0</v>
          </cell>
          <cell r="Z418">
            <v>0</v>
          </cell>
          <cell r="AB418">
            <v>0</v>
          </cell>
          <cell r="AD418">
            <v>0</v>
          </cell>
          <cell r="AE418" t="str">
            <v>ya</v>
          </cell>
          <cell r="AF418">
            <v>210000</v>
          </cell>
          <cell r="AH418" t="str">
            <v xml:space="preserve">Angkutan Umum </v>
          </cell>
        </row>
        <row r="419">
          <cell r="A419">
            <v>418</v>
          </cell>
          <cell r="C419" t="e">
            <v>#N/A</v>
          </cell>
          <cell r="D419" t="e">
            <v>#N/A</v>
          </cell>
          <cell r="E419" t="e">
            <v>#N/A</v>
          </cell>
          <cell r="F419" t="e">
            <v>#N/A</v>
          </cell>
          <cell r="G419" t="e">
            <v>#N/A</v>
          </cell>
          <cell r="H419" t="str">
            <v xml:space="preserve">Melakukan Monitoring dan Evaluasi ke Universitas Satyagama </v>
          </cell>
          <cell r="I419" t="str">
            <v>DKI Jakarta</v>
          </cell>
          <cell r="J419" t="str">
            <v>DKI Jakarta</v>
          </cell>
          <cell r="K419">
            <v>1</v>
          </cell>
          <cell r="L419" t="str">
            <v>30 November 2018</v>
          </cell>
          <cell r="M419" t="str">
            <v>30 November 2018</v>
          </cell>
          <cell r="N419">
            <v>524114</v>
          </cell>
          <cell r="O419" t="str">
            <v>Belanja Perjalanan Dinas Paket Meeting Dalam Kota</v>
          </cell>
          <cell r="R419" t="str">
            <v>ya</v>
          </cell>
          <cell r="S419">
            <v>150000</v>
          </cell>
          <cell r="T419">
            <v>3138400</v>
          </cell>
          <cell r="U419" t="str">
            <v>ya</v>
          </cell>
          <cell r="V419">
            <v>0</v>
          </cell>
          <cell r="W419">
            <v>0</v>
          </cell>
          <cell r="X419">
            <v>0</v>
          </cell>
          <cell r="Z419">
            <v>0</v>
          </cell>
          <cell r="AB419">
            <v>0</v>
          </cell>
          <cell r="AD419">
            <v>0</v>
          </cell>
          <cell r="AE419" t="str">
            <v>ya</v>
          </cell>
          <cell r="AF419">
            <v>210000</v>
          </cell>
          <cell r="AH419" t="str">
            <v xml:space="preserve">Angkutan Umum </v>
          </cell>
        </row>
        <row r="420">
          <cell r="A420">
            <v>419</v>
          </cell>
          <cell r="C420" t="e">
            <v>#N/A</v>
          </cell>
          <cell r="D420" t="e">
            <v>#N/A</v>
          </cell>
          <cell r="E420" t="e">
            <v>#N/A</v>
          </cell>
          <cell r="F420" t="e">
            <v>#N/A</v>
          </cell>
          <cell r="G420" t="e">
            <v>#N/A</v>
          </cell>
          <cell r="H420" t="str">
            <v xml:space="preserve">Melakukan Monitoring dan Evaluasi ke Universitas Satyagama </v>
          </cell>
          <cell r="I420" t="str">
            <v>DKI Jakarta</v>
          </cell>
          <cell r="J420" t="str">
            <v>DKI Jakarta</v>
          </cell>
          <cell r="K420">
            <v>1</v>
          </cell>
          <cell r="L420" t="str">
            <v>30 November 2018</v>
          </cell>
          <cell r="M420" t="str">
            <v>30 November 2018</v>
          </cell>
          <cell r="N420">
            <v>524114</v>
          </cell>
          <cell r="O420" t="str">
            <v>Belanja Perjalanan Dinas Paket Meeting Dalam Kota</v>
          </cell>
          <cell r="R420" t="str">
            <v>ya</v>
          </cell>
          <cell r="S420">
            <v>150000</v>
          </cell>
          <cell r="T420">
            <v>3138400</v>
          </cell>
          <cell r="U420" t="str">
            <v>ya</v>
          </cell>
          <cell r="V420">
            <v>0</v>
          </cell>
          <cell r="W420">
            <v>0</v>
          </cell>
          <cell r="X420">
            <v>0</v>
          </cell>
          <cell r="Z420">
            <v>0</v>
          </cell>
          <cell r="AB420">
            <v>0</v>
          </cell>
          <cell r="AD420">
            <v>0</v>
          </cell>
          <cell r="AE420" t="str">
            <v>ya</v>
          </cell>
          <cell r="AF420">
            <v>210000</v>
          </cell>
          <cell r="AH420" t="str">
            <v xml:space="preserve">Angkutan Umum </v>
          </cell>
        </row>
        <row r="421">
          <cell r="A421">
            <v>420</v>
          </cell>
          <cell r="C421" t="e">
            <v>#N/A</v>
          </cell>
          <cell r="D421" t="e">
            <v>#N/A</v>
          </cell>
          <cell r="E421" t="e">
            <v>#N/A</v>
          </cell>
          <cell r="F421" t="e">
            <v>#N/A</v>
          </cell>
          <cell r="G421" t="e">
            <v>#N/A</v>
          </cell>
          <cell r="H421" t="str">
            <v xml:space="preserve">Melakukan Monitoring dan Evaluasi ke Universitas Satyagama </v>
          </cell>
          <cell r="I421" t="str">
            <v>DKI Jakarta</v>
          </cell>
          <cell r="J421" t="str">
            <v>DKI Jakarta</v>
          </cell>
          <cell r="K421">
            <v>1</v>
          </cell>
          <cell r="L421" t="str">
            <v>30 November 2018</v>
          </cell>
          <cell r="M421" t="str">
            <v>30 November 2018</v>
          </cell>
          <cell r="N421">
            <v>524114</v>
          </cell>
          <cell r="O421" t="str">
            <v>Belanja Perjalanan Dinas Paket Meeting Dalam Kota</v>
          </cell>
          <cell r="R421" t="str">
            <v>ya</v>
          </cell>
          <cell r="S421">
            <v>150000</v>
          </cell>
          <cell r="T421">
            <v>3138400</v>
          </cell>
          <cell r="U421" t="str">
            <v>ya</v>
          </cell>
          <cell r="V421">
            <v>0</v>
          </cell>
          <cell r="W421">
            <v>0</v>
          </cell>
          <cell r="X421">
            <v>0</v>
          </cell>
          <cell r="Z421">
            <v>0</v>
          </cell>
          <cell r="AB421">
            <v>0</v>
          </cell>
          <cell r="AD421">
            <v>0</v>
          </cell>
          <cell r="AE421" t="str">
            <v>ya</v>
          </cell>
          <cell r="AF421">
            <v>210000</v>
          </cell>
          <cell r="AH421" t="str">
            <v xml:space="preserve">Angkutan Umum </v>
          </cell>
        </row>
        <row r="422">
          <cell r="A422">
            <v>421</v>
          </cell>
          <cell r="C422" t="e">
            <v>#N/A</v>
          </cell>
          <cell r="D422" t="e">
            <v>#N/A</v>
          </cell>
          <cell r="E422" t="e">
            <v>#N/A</v>
          </cell>
          <cell r="F422" t="e">
            <v>#N/A</v>
          </cell>
          <cell r="G422" t="e">
            <v>#N/A</v>
          </cell>
          <cell r="H422" t="str">
            <v xml:space="preserve">Melakukan Monitoring dan Evaluasi ke Sekolah Tinggi Bahasa Asing Pertiwi Indonesia </v>
          </cell>
          <cell r="I422" t="str">
            <v>DKI Jakarta</v>
          </cell>
          <cell r="J422" t="str">
            <v>DKI Jakarta</v>
          </cell>
          <cell r="K422">
            <v>1</v>
          </cell>
          <cell r="L422" t="str">
            <v>4 Desember 2018</v>
          </cell>
          <cell r="M422" t="str">
            <v>4 Desember 2018</v>
          </cell>
          <cell r="N422">
            <v>524114</v>
          </cell>
          <cell r="O422" t="str">
            <v>Belanja Perjalanan Dinas Paket Meeting Dalam Kota</v>
          </cell>
          <cell r="R422" t="str">
            <v>ya</v>
          </cell>
          <cell r="S422">
            <v>150000</v>
          </cell>
          <cell r="T422">
            <v>3138400</v>
          </cell>
          <cell r="U422" t="str">
            <v>ya</v>
          </cell>
          <cell r="V422">
            <v>0</v>
          </cell>
          <cell r="W422">
            <v>0</v>
          </cell>
          <cell r="X422">
            <v>0</v>
          </cell>
          <cell r="Z422">
            <v>0</v>
          </cell>
          <cell r="AB422">
            <v>0</v>
          </cell>
          <cell r="AD422">
            <v>0</v>
          </cell>
          <cell r="AE422" t="str">
            <v>ya</v>
          </cell>
          <cell r="AF422">
            <v>210000</v>
          </cell>
          <cell r="AH422" t="str">
            <v xml:space="preserve">Angkutan Umum </v>
          </cell>
        </row>
        <row r="423">
          <cell r="A423">
            <v>422</v>
          </cell>
          <cell r="C423" t="e">
            <v>#N/A</v>
          </cell>
          <cell r="D423" t="e">
            <v>#N/A</v>
          </cell>
          <cell r="E423" t="e">
            <v>#N/A</v>
          </cell>
          <cell r="F423" t="e">
            <v>#N/A</v>
          </cell>
          <cell r="G423" t="e">
            <v>#N/A</v>
          </cell>
          <cell r="H423" t="str">
            <v xml:space="preserve">Melakukan Monitoring dan Evaluasi ke Sekolah Tinggi Bahasa Asing Pertiwi Indonesia </v>
          </cell>
          <cell r="I423" t="str">
            <v>DKI Jakarta</v>
          </cell>
          <cell r="J423" t="str">
            <v>DKI Jakarta</v>
          </cell>
          <cell r="K423">
            <v>1</v>
          </cell>
          <cell r="L423" t="str">
            <v>4 Desember 2018</v>
          </cell>
          <cell r="M423" t="str">
            <v>4 Desember 2018</v>
          </cell>
          <cell r="N423">
            <v>524114</v>
          </cell>
          <cell r="O423" t="str">
            <v>Belanja Perjalanan Dinas Paket Meeting Dalam Kota</v>
          </cell>
          <cell r="R423" t="str">
            <v>ya</v>
          </cell>
          <cell r="S423">
            <v>150000</v>
          </cell>
          <cell r="T423">
            <v>3138400</v>
          </cell>
          <cell r="U423" t="str">
            <v>ya</v>
          </cell>
          <cell r="V423">
            <v>0</v>
          </cell>
          <cell r="W423">
            <v>0</v>
          </cell>
          <cell r="X423">
            <v>0</v>
          </cell>
          <cell r="Z423">
            <v>0</v>
          </cell>
          <cell r="AB423">
            <v>0</v>
          </cell>
          <cell r="AD423">
            <v>0</v>
          </cell>
          <cell r="AE423" t="str">
            <v>ya</v>
          </cell>
          <cell r="AF423">
            <v>210000</v>
          </cell>
          <cell r="AH423" t="str">
            <v xml:space="preserve">Angkutan Umum </v>
          </cell>
        </row>
        <row r="424">
          <cell r="A424">
            <v>423</v>
          </cell>
          <cell r="C424" t="e">
            <v>#N/A</v>
          </cell>
          <cell r="D424" t="e">
            <v>#N/A</v>
          </cell>
          <cell r="E424" t="e">
            <v>#N/A</v>
          </cell>
          <cell r="F424" t="e">
            <v>#N/A</v>
          </cell>
          <cell r="G424" t="e">
            <v>#N/A</v>
          </cell>
          <cell r="H424" t="str">
            <v xml:space="preserve">Melakukan Monitoring dan Evaluasi ke Sekolah Tinggi Bahasa Asing Pertiwi Indonesia </v>
          </cell>
          <cell r="I424" t="str">
            <v>DKI Jakarta</v>
          </cell>
          <cell r="J424" t="str">
            <v>DKI Jakarta</v>
          </cell>
          <cell r="K424">
            <v>1</v>
          </cell>
          <cell r="L424" t="str">
            <v>4 Desember 2018</v>
          </cell>
          <cell r="M424" t="str">
            <v>4 Desember 2018</v>
          </cell>
          <cell r="N424">
            <v>524114</v>
          </cell>
          <cell r="O424" t="str">
            <v>Belanja Perjalanan Dinas Paket Meeting Dalam Kota</v>
          </cell>
          <cell r="R424" t="str">
            <v>ya</v>
          </cell>
          <cell r="S424">
            <v>150000</v>
          </cell>
          <cell r="T424">
            <v>3138400</v>
          </cell>
          <cell r="U424" t="str">
            <v>ya</v>
          </cell>
          <cell r="V424">
            <v>0</v>
          </cell>
          <cell r="W424">
            <v>0</v>
          </cell>
          <cell r="X424">
            <v>0</v>
          </cell>
          <cell r="Z424">
            <v>0</v>
          </cell>
          <cell r="AB424">
            <v>0</v>
          </cell>
          <cell r="AD424">
            <v>0</v>
          </cell>
          <cell r="AE424" t="str">
            <v>ya</v>
          </cell>
          <cell r="AF424">
            <v>0</v>
          </cell>
          <cell r="AH424" t="str">
            <v xml:space="preserve">Angkutan Umum </v>
          </cell>
        </row>
        <row r="425">
          <cell r="A425">
            <v>424</v>
          </cell>
          <cell r="C425" t="e">
            <v>#N/A</v>
          </cell>
          <cell r="D425" t="e">
            <v>#N/A</v>
          </cell>
          <cell r="E425" t="e">
            <v>#N/A</v>
          </cell>
          <cell r="F425" t="e">
            <v>#N/A</v>
          </cell>
          <cell r="G425" t="e">
            <v>#N/A</v>
          </cell>
          <cell r="H425" t="str">
            <v xml:space="preserve">Melakukan Monitoring dan Evaluasi ke Sekolah Tinggi Bahasa Asing Pertiwi Indonesia </v>
          </cell>
          <cell r="I425" t="str">
            <v>DKI Jakarta</v>
          </cell>
          <cell r="J425" t="str">
            <v>DKI Jakarta</v>
          </cell>
          <cell r="K425">
            <v>1</v>
          </cell>
          <cell r="L425" t="str">
            <v>4 Desember 2018</v>
          </cell>
          <cell r="M425" t="str">
            <v>4 Desember 2018</v>
          </cell>
          <cell r="N425">
            <v>524114</v>
          </cell>
          <cell r="O425" t="str">
            <v>Belanja Perjalanan Dinas Paket Meeting Dalam Kota</v>
          </cell>
          <cell r="R425" t="str">
            <v>ya</v>
          </cell>
          <cell r="S425">
            <v>150000</v>
          </cell>
          <cell r="T425">
            <v>3138400</v>
          </cell>
          <cell r="U425" t="str">
            <v>ya</v>
          </cell>
          <cell r="V425">
            <v>0</v>
          </cell>
          <cell r="W425">
            <v>0</v>
          </cell>
          <cell r="X425">
            <v>0</v>
          </cell>
          <cell r="Z425">
            <v>0</v>
          </cell>
          <cell r="AB425">
            <v>0</v>
          </cell>
          <cell r="AD425">
            <v>0</v>
          </cell>
          <cell r="AE425" t="str">
            <v>ya</v>
          </cell>
          <cell r="AF425">
            <v>210000</v>
          </cell>
          <cell r="AH425" t="str">
            <v xml:space="preserve">Angkutan Umum </v>
          </cell>
        </row>
        <row r="426">
          <cell r="A426">
            <v>425</v>
          </cell>
          <cell r="C426" t="e">
            <v>#N/A</v>
          </cell>
          <cell r="D426" t="e">
            <v>#N/A</v>
          </cell>
          <cell r="E426" t="e">
            <v>#N/A</v>
          </cell>
          <cell r="F426" t="e">
            <v>#N/A</v>
          </cell>
          <cell r="G426" t="e">
            <v>#N/A</v>
          </cell>
          <cell r="H426" t="str">
            <v xml:space="preserve">Melakukan Monitoring dan Evaluasi ke Sekolah Tinggi Bahasa Asing Pertiwi Indonesia </v>
          </cell>
          <cell r="I426" t="str">
            <v>DKI Jakarta</v>
          </cell>
          <cell r="J426" t="str">
            <v>DKI Jakarta</v>
          </cell>
          <cell r="K426">
            <v>1</v>
          </cell>
          <cell r="L426" t="str">
            <v>4 Desember 2018</v>
          </cell>
          <cell r="M426" t="str">
            <v>4 Desember 2018</v>
          </cell>
          <cell r="N426">
            <v>524114</v>
          </cell>
          <cell r="O426" t="str">
            <v>Belanja Perjalanan Dinas Paket Meeting Dalam Kota</v>
          </cell>
          <cell r="R426" t="str">
            <v>ya</v>
          </cell>
          <cell r="S426">
            <v>150000</v>
          </cell>
          <cell r="T426">
            <v>3138400</v>
          </cell>
          <cell r="U426" t="str">
            <v>ya</v>
          </cell>
          <cell r="V426">
            <v>0</v>
          </cell>
          <cell r="W426">
            <v>0</v>
          </cell>
          <cell r="X426">
            <v>0</v>
          </cell>
          <cell r="Z426">
            <v>0</v>
          </cell>
          <cell r="AB426">
            <v>0</v>
          </cell>
          <cell r="AD426">
            <v>0</v>
          </cell>
          <cell r="AE426" t="str">
            <v>ya</v>
          </cell>
          <cell r="AF426">
            <v>210000</v>
          </cell>
          <cell r="AH426" t="str">
            <v xml:space="preserve">Angkutan Umum </v>
          </cell>
        </row>
        <row r="427">
          <cell r="A427">
            <v>426</v>
          </cell>
          <cell r="C427" t="e">
            <v>#N/A</v>
          </cell>
          <cell r="D427" t="e">
            <v>#N/A</v>
          </cell>
          <cell r="E427" t="e">
            <v>#N/A</v>
          </cell>
          <cell r="F427" t="e">
            <v>#N/A</v>
          </cell>
          <cell r="G427" t="e">
            <v>#N/A</v>
          </cell>
          <cell r="H427" t="str">
            <v>Melakukan Monitoring dan Evaluasi ke Sekolah Tinggi Keguruan dan Ilmu Pendidikan Albana</v>
          </cell>
          <cell r="I427" t="str">
            <v>DKI Jakarta</v>
          </cell>
          <cell r="J427" t="str">
            <v>DKI Jakarta</v>
          </cell>
          <cell r="K427">
            <v>1</v>
          </cell>
          <cell r="L427" t="str">
            <v>6 Desember 2018</v>
          </cell>
          <cell r="M427" t="str">
            <v>6 Desember 2018</v>
          </cell>
          <cell r="N427">
            <v>524114</v>
          </cell>
          <cell r="O427" t="str">
            <v>Belanja Perjalanan Dinas Paket Meeting Dalam Kota</v>
          </cell>
          <cell r="R427" t="str">
            <v>ya</v>
          </cell>
          <cell r="S427">
            <v>150000</v>
          </cell>
          <cell r="T427">
            <v>3138400</v>
          </cell>
          <cell r="U427" t="str">
            <v>ya</v>
          </cell>
          <cell r="V427">
            <v>0</v>
          </cell>
          <cell r="W427">
            <v>0</v>
          </cell>
          <cell r="X427">
            <v>0</v>
          </cell>
          <cell r="Z427">
            <v>0</v>
          </cell>
          <cell r="AB427">
            <v>0</v>
          </cell>
          <cell r="AD427">
            <v>0</v>
          </cell>
          <cell r="AE427" t="str">
            <v>ya</v>
          </cell>
          <cell r="AF427">
            <v>0</v>
          </cell>
          <cell r="AH427" t="str">
            <v xml:space="preserve">Angkutan Umum </v>
          </cell>
        </row>
        <row r="428">
          <cell r="A428">
            <v>427</v>
          </cell>
          <cell r="C428" t="e">
            <v>#N/A</v>
          </cell>
          <cell r="D428" t="e">
            <v>#N/A</v>
          </cell>
          <cell r="E428" t="e">
            <v>#N/A</v>
          </cell>
          <cell r="F428" t="e">
            <v>#N/A</v>
          </cell>
          <cell r="G428" t="e">
            <v>#N/A</v>
          </cell>
          <cell r="H428" t="str">
            <v>Melakukan Monitoring dan Evaluasi ke Sekolah Tinggi Keguruan dan Ilmu Pendidikan Albana</v>
          </cell>
          <cell r="I428" t="str">
            <v>DKI Jakarta</v>
          </cell>
          <cell r="J428" t="str">
            <v>DKI Jakarta</v>
          </cell>
          <cell r="K428">
            <v>1</v>
          </cell>
          <cell r="L428" t="str">
            <v>6 Desember 2018</v>
          </cell>
          <cell r="M428" t="str">
            <v>6 Desember 2018</v>
          </cell>
          <cell r="N428">
            <v>524114</v>
          </cell>
          <cell r="O428" t="str">
            <v>Belanja Perjalanan Dinas Paket Meeting Dalam Kota</v>
          </cell>
          <cell r="R428" t="str">
            <v>ya</v>
          </cell>
          <cell r="S428">
            <v>150000</v>
          </cell>
          <cell r="T428">
            <v>3138400</v>
          </cell>
          <cell r="U428" t="str">
            <v>ya</v>
          </cell>
          <cell r="V428">
            <v>0</v>
          </cell>
          <cell r="W428">
            <v>0</v>
          </cell>
          <cell r="X428">
            <v>0</v>
          </cell>
          <cell r="Z428">
            <v>0</v>
          </cell>
          <cell r="AB428">
            <v>0</v>
          </cell>
          <cell r="AD428">
            <v>0</v>
          </cell>
          <cell r="AE428" t="str">
            <v>ya</v>
          </cell>
          <cell r="AF428">
            <v>210000</v>
          </cell>
          <cell r="AH428" t="str">
            <v xml:space="preserve">Angkutan Umum </v>
          </cell>
        </row>
        <row r="429">
          <cell r="A429">
            <v>428</v>
          </cell>
          <cell r="C429" t="e">
            <v>#N/A</v>
          </cell>
          <cell r="D429" t="e">
            <v>#N/A</v>
          </cell>
          <cell r="E429" t="e">
            <v>#N/A</v>
          </cell>
          <cell r="F429" t="e">
            <v>#N/A</v>
          </cell>
          <cell r="G429" t="e">
            <v>#N/A</v>
          </cell>
          <cell r="H429" t="str">
            <v>Melakukan Monitoring dan Evaluasi ke Sekolah Tinggi Keguruan dan Ilmu Pendidikan Albana</v>
          </cell>
          <cell r="I429" t="str">
            <v>DKI Jakarta</v>
          </cell>
          <cell r="J429" t="str">
            <v>DKI Jakarta</v>
          </cell>
          <cell r="K429">
            <v>1</v>
          </cell>
          <cell r="L429" t="str">
            <v>6 Desember 2018</v>
          </cell>
          <cell r="M429" t="str">
            <v>6 Desember 2018</v>
          </cell>
          <cell r="N429">
            <v>524114</v>
          </cell>
          <cell r="O429" t="str">
            <v>Belanja Perjalanan Dinas Paket Meeting Dalam Kota</v>
          </cell>
          <cell r="R429" t="str">
            <v>ya</v>
          </cell>
          <cell r="S429">
            <v>150000</v>
          </cell>
          <cell r="T429">
            <v>3138400</v>
          </cell>
          <cell r="U429" t="str">
            <v>ya</v>
          </cell>
          <cell r="V429">
            <v>0</v>
          </cell>
          <cell r="W429">
            <v>0</v>
          </cell>
          <cell r="X429">
            <v>0</v>
          </cell>
          <cell r="Z429">
            <v>0</v>
          </cell>
          <cell r="AB429">
            <v>0</v>
          </cell>
          <cell r="AD429">
            <v>0</v>
          </cell>
          <cell r="AE429" t="str">
            <v>ya</v>
          </cell>
          <cell r="AF429">
            <v>210000</v>
          </cell>
          <cell r="AH429" t="str">
            <v xml:space="preserve">Angkutan Umum </v>
          </cell>
        </row>
        <row r="430">
          <cell r="A430">
            <v>429</v>
          </cell>
          <cell r="C430" t="e">
            <v>#N/A</v>
          </cell>
          <cell r="D430" t="e">
            <v>#N/A</v>
          </cell>
          <cell r="E430" t="e">
            <v>#N/A</v>
          </cell>
          <cell r="F430" t="e">
            <v>#N/A</v>
          </cell>
          <cell r="G430" t="e">
            <v>#N/A</v>
          </cell>
          <cell r="H430" t="str">
            <v>Melakukan Monitoring dan Evaluasi ke Sekolah Tinggi Keguruan dan Ilmu Pendidikan Albana</v>
          </cell>
          <cell r="I430" t="str">
            <v>DKI Jakarta</v>
          </cell>
          <cell r="J430" t="str">
            <v>DKI Jakarta</v>
          </cell>
          <cell r="K430">
            <v>1</v>
          </cell>
          <cell r="L430" t="str">
            <v>6 Desember 2018</v>
          </cell>
          <cell r="M430" t="str">
            <v>6 Desember 2018</v>
          </cell>
          <cell r="N430">
            <v>524114</v>
          </cell>
          <cell r="O430" t="str">
            <v>Belanja Perjalanan Dinas Paket Meeting Dalam Kota</v>
          </cell>
          <cell r="R430" t="str">
            <v>ya</v>
          </cell>
          <cell r="S430">
            <v>150000</v>
          </cell>
          <cell r="T430">
            <v>3138400</v>
          </cell>
          <cell r="U430" t="str">
            <v>ya</v>
          </cell>
          <cell r="V430">
            <v>0</v>
          </cell>
          <cell r="W430">
            <v>0</v>
          </cell>
          <cell r="X430">
            <v>0</v>
          </cell>
          <cell r="Z430">
            <v>0</v>
          </cell>
          <cell r="AB430">
            <v>0</v>
          </cell>
          <cell r="AD430">
            <v>0</v>
          </cell>
          <cell r="AE430" t="str">
            <v>ya</v>
          </cell>
          <cell r="AF430">
            <v>210000</v>
          </cell>
          <cell r="AH430" t="str">
            <v xml:space="preserve">Angkutan Umum </v>
          </cell>
        </row>
        <row r="431">
          <cell r="A431">
            <v>430</v>
          </cell>
          <cell r="C431" t="e">
            <v>#N/A</v>
          </cell>
          <cell r="D431" t="e">
            <v>#N/A</v>
          </cell>
          <cell r="E431" t="e">
            <v>#N/A</v>
          </cell>
          <cell r="F431" t="e">
            <v>#N/A</v>
          </cell>
          <cell r="G431" t="e">
            <v>#N/A</v>
          </cell>
          <cell r="H431" t="str">
            <v>Melakukan Monitoring dan Evaluasi ke Sekolah Tinggi Keguruan dan Ilmu Pendidikan Albana</v>
          </cell>
          <cell r="I431" t="str">
            <v>DKI Jakarta</v>
          </cell>
          <cell r="J431" t="str">
            <v>DKI Jakarta</v>
          </cell>
          <cell r="K431">
            <v>1</v>
          </cell>
          <cell r="L431" t="str">
            <v>6 Desember 2018</v>
          </cell>
          <cell r="M431" t="str">
            <v>6 Desember 2018</v>
          </cell>
          <cell r="N431">
            <v>524114</v>
          </cell>
          <cell r="O431" t="str">
            <v>Belanja Perjalanan Dinas Paket Meeting Dalam Kota</v>
          </cell>
          <cell r="R431" t="str">
            <v>ya</v>
          </cell>
          <cell r="S431">
            <v>150000</v>
          </cell>
          <cell r="T431">
            <v>3138400</v>
          </cell>
          <cell r="U431" t="str">
            <v>ya</v>
          </cell>
          <cell r="V431">
            <v>0</v>
          </cell>
          <cell r="W431">
            <v>0</v>
          </cell>
          <cell r="X431">
            <v>0</v>
          </cell>
          <cell r="Z431">
            <v>0</v>
          </cell>
          <cell r="AB431">
            <v>0</v>
          </cell>
          <cell r="AD431">
            <v>0</v>
          </cell>
          <cell r="AE431" t="str">
            <v>ya</v>
          </cell>
          <cell r="AF431">
            <v>210000</v>
          </cell>
          <cell r="AH431" t="str">
            <v xml:space="preserve">Angkutan Umum </v>
          </cell>
        </row>
        <row r="432">
          <cell r="A432">
            <v>431</v>
          </cell>
          <cell r="C432" t="e">
            <v>#N/A</v>
          </cell>
          <cell r="D432" t="e">
            <v>#N/A</v>
          </cell>
          <cell r="E432" t="e">
            <v>#N/A</v>
          </cell>
          <cell r="F432" t="e">
            <v>#N/A</v>
          </cell>
          <cell r="G432" t="e">
            <v>#N/A</v>
          </cell>
          <cell r="H432" t="str">
            <v xml:space="preserve">Melakukan Monitoring dan Evaluasi ke Sekolah Tinggi Ilmu Ekonomi Jayakarta </v>
          </cell>
          <cell r="I432" t="str">
            <v>DKI Jakarta</v>
          </cell>
          <cell r="J432" t="str">
            <v>DKI Jakarta</v>
          </cell>
          <cell r="K432">
            <v>1</v>
          </cell>
          <cell r="L432" t="str">
            <v>6 Desember 2018</v>
          </cell>
          <cell r="M432" t="str">
            <v>6 Desember 2018</v>
          </cell>
          <cell r="N432">
            <v>524114</v>
          </cell>
          <cell r="O432" t="str">
            <v>Belanja Perjalanan Dinas Paket Meeting Dalam Kota</v>
          </cell>
          <cell r="R432" t="str">
            <v>ya</v>
          </cell>
          <cell r="S432">
            <v>150000</v>
          </cell>
          <cell r="T432">
            <v>3138400</v>
          </cell>
          <cell r="U432" t="str">
            <v>ya</v>
          </cell>
          <cell r="V432">
            <v>0</v>
          </cell>
          <cell r="W432">
            <v>0</v>
          </cell>
          <cell r="X432">
            <v>0</v>
          </cell>
          <cell r="Z432">
            <v>0</v>
          </cell>
          <cell r="AB432">
            <v>0</v>
          </cell>
          <cell r="AD432">
            <v>0</v>
          </cell>
          <cell r="AE432" t="str">
            <v>ya</v>
          </cell>
          <cell r="AF432">
            <v>0</v>
          </cell>
          <cell r="AH432" t="str">
            <v xml:space="preserve">Angkutan Umum </v>
          </cell>
        </row>
        <row r="433">
          <cell r="A433">
            <v>432</v>
          </cell>
          <cell r="C433" t="e">
            <v>#N/A</v>
          </cell>
          <cell r="D433" t="e">
            <v>#N/A</v>
          </cell>
          <cell r="E433" t="e">
            <v>#N/A</v>
          </cell>
          <cell r="F433" t="e">
            <v>#N/A</v>
          </cell>
          <cell r="G433" t="e">
            <v>#N/A</v>
          </cell>
          <cell r="H433" t="str">
            <v xml:space="preserve">Melakukan Monitoring dan Evaluasi ke Sekolah Tinggi Ilmu Ekonomi Jayakarta </v>
          </cell>
          <cell r="I433" t="str">
            <v>DKI Jakarta</v>
          </cell>
          <cell r="J433" t="str">
            <v>DKI Jakarta</v>
          </cell>
          <cell r="K433">
            <v>1</v>
          </cell>
          <cell r="L433" t="str">
            <v>6 Desember 2018</v>
          </cell>
          <cell r="M433" t="str">
            <v>6 Desember 2018</v>
          </cell>
          <cell r="N433">
            <v>524114</v>
          </cell>
          <cell r="O433" t="str">
            <v>Belanja Perjalanan Dinas Paket Meeting Dalam Kota</v>
          </cell>
          <cell r="R433" t="str">
            <v>ya</v>
          </cell>
          <cell r="S433">
            <v>150000</v>
          </cell>
          <cell r="T433">
            <v>3138400</v>
          </cell>
          <cell r="U433" t="str">
            <v>ya</v>
          </cell>
          <cell r="V433">
            <v>0</v>
          </cell>
          <cell r="W433">
            <v>0</v>
          </cell>
          <cell r="X433">
            <v>0</v>
          </cell>
          <cell r="Z433">
            <v>0</v>
          </cell>
          <cell r="AB433">
            <v>0</v>
          </cell>
          <cell r="AD433">
            <v>0</v>
          </cell>
          <cell r="AE433" t="str">
            <v>ya</v>
          </cell>
          <cell r="AF433">
            <v>210000</v>
          </cell>
          <cell r="AH433" t="str">
            <v xml:space="preserve">Angkutan Umum </v>
          </cell>
        </row>
        <row r="434">
          <cell r="A434">
            <v>433</v>
          </cell>
          <cell r="C434" t="e">
            <v>#N/A</v>
          </cell>
          <cell r="D434" t="e">
            <v>#N/A</v>
          </cell>
          <cell r="E434" t="e">
            <v>#N/A</v>
          </cell>
          <cell r="F434" t="e">
            <v>#N/A</v>
          </cell>
          <cell r="G434" t="e">
            <v>#N/A</v>
          </cell>
          <cell r="H434" t="str">
            <v xml:space="preserve">Melakukan Monitoring dan Evaluasi ke Sekolah Tinggi Ilmu Ekonomi Jayakarta </v>
          </cell>
          <cell r="I434" t="str">
            <v>DKI Jakarta</v>
          </cell>
          <cell r="J434" t="str">
            <v>DKI Jakarta</v>
          </cell>
          <cell r="K434">
            <v>1</v>
          </cell>
          <cell r="L434" t="str">
            <v>6 Desember 2018</v>
          </cell>
          <cell r="M434" t="str">
            <v>6 Desember 2018</v>
          </cell>
          <cell r="N434">
            <v>524114</v>
          </cell>
          <cell r="O434" t="str">
            <v>Belanja Perjalanan Dinas Paket Meeting Dalam Kota</v>
          </cell>
          <cell r="R434" t="str">
            <v>ya</v>
          </cell>
          <cell r="S434">
            <v>150000</v>
          </cell>
          <cell r="T434">
            <v>3138400</v>
          </cell>
          <cell r="U434" t="str">
            <v>ya</v>
          </cell>
          <cell r="V434">
            <v>0</v>
          </cell>
          <cell r="W434">
            <v>0</v>
          </cell>
          <cell r="X434">
            <v>0</v>
          </cell>
          <cell r="Z434">
            <v>0</v>
          </cell>
          <cell r="AB434">
            <v>0</v>
          </cell>
          <cell r="AD434">
            <v>0</v>
          </cell>
          <cell r="AE434" t="str">
            <v>ya</v>
          </cell>
          <cell r="AF434">
            <v>210000</v>
          </cell>
          <cell r="AH434" t="str">
            <v xml:space="preserve">Angkutan Umum </v>
          </cell>
        </row>
        <row r="435">
          <cell r="A435">
            <v>434</v>
          </cell>
          <cell r="C435" t="e">
            <v>#N/A</v>
          </cell>
          <cell r="D435" t="e">
            <v>#N/A</v>
          </cell>
          <cell r="E435" t="e">
            <v>#N/A</v>
          </cell>
          <cell r="F435" t="e">
            <v>#N/A</v>
          </cell>
          <cell r="G435" t="e">
            <v>#N/A</v>
          </cell>
          <cell r="H435" t="str">
            <v xml:space="preserve">Melakukan Monitoring dan Evaluasi ke Sekolah Tinggi Ilmu Ekonomi Jayakarta </v>
          </cell>
          <cell r="I435" t="str">
            <v>DKI Jakarta</v>
          </cell>
          <cell r="J435" t="str">
            <v>DKI Jakarta</v>
          </cell>
          <cell r="K435">
            <v>1</v>
          </cell>
          <cell r="L435" t="str">
            <v>6 Desember 2018</v>
          </cell>
          <cell r="M435" t="str">
            <v>6 Desember 2018</v>
          </cell>
          <cell r="N435">
            <v>524114</v>
          </cell>
          <cell r="O435" t="str">
            <v>Belanja Perjalanan Dinas Paket Meeting Dalam Kota</v>
          </cell>
          <cell r="R435" t="str">
            <v>ya</v>
          </cell>
          <cell r="S435">
            <v>150000</v>
          </cell>
          <cell r="T435">
            <v>3138400</v>
          </cell>
          <cell r="U435" t="str">
            <v>ya</v>
          </cell>
          <cell r="V435">
            <v>0</v>
          </cell>
          <cell r="W435">
            <v>0</v>
          </cell>
          <cell r="X435">
            <v>0</v>
          </cell>
          <cell r="Z435">
            <v>0</v>
          </cell>
          <cell r="AB435">
            <v>0</v>
          </cell>
          <cell r="AD435">
            <v>0</v>
          </cell>
          <cell r="AE435" t="str">
            <v>ya</v>
          </cell>
          <cell r="AF435">
            <v>210000</v>
          </cell>
          <cell r="AH435" t="str">
            <v xml:space="preserve">Angkutan Umum </v>
          </cell>
        </row>
        <row r="436">
          <cell r="A436">
            <v>435</v>
          </cell>
          <cell r="C436" t="e">
            <v>#N/A</v>
          </cell>
          <cell r="D436" t="e">
            <v>#N/A</v>
          </cell>
          <cell r="E436" t="e">
            <v>#N/A</v>
          </cell>
          <cell r="F436" t="e">
            <v>#N/A</v>
          </cell>
          <cell r="G436" t="e">
            <v>#N/A</v>
          </cell>
          <cell r="H436" t="str">
            <v>Melakukan Monitoring dan Evaluasi ke Akademi Akuntansi Borobudur</v>
          </cell>
          <cell r="I436" t="str">
            <v>DKI Jakarta</v>
          </cell>
          <cell r="J436" t="str">
            <v>DKI Jakarta</v>
          </cell>
          <cell r="K436">
            <v>1</v>
          </cell>
          <cell r="L436" t="str">
            <v>7 Desember 2018</v>
          </cell>
          <cell r="M436" t="str">
            <v>7 Desember 2018</v>
          </cell>
          <cell r="N436">
            <v>524114</v>
          </cell>
          <cell r="O436" t="str">
            <v>Belanja Perjalanan Dinas Paket Meeting Dalam Kota</v>
          </cell>
          <cell r="R436" t="str">
            <v>ya</v>
          </cell>
          <cell r="S436">
            <v>150000</v>
          </cell>
          <cell r="T436">
            <v>3138400</v>
          </cell>
          <cell r="U436" t="str">
            <v>ya</v>
          </cell>
          <cell r="V436">
            <v>0</v>
          </cell>
          <cell r="W436">
            <v>0</v>
          </cell>
          <cell r="X436">
            <v>0</v>
          </cell>
          <cell r="Z436">
            <v>0</v>
          </cell>
          <cell r="AB436">
            <v>0</v>
          </cell>
          <cell r="AD436">
            <v>0</v>
          </cell>
          <cell r="AE436" t="str">
            <v>ya</v>
          </cell>
          <cell r="AF436">
            <v>0</v>
          </cell>
          <cell r="AH436" t="str">
            <v xml:space="preserve">Angkutan Umum </v>
          </cell>
        </row>
        <row r="437">
          <cell r="A437">
            <v>436</v>
          </cell>
          <cell r="C437" t="e">
            <v>#N/A</v>
          </cell>
          <cell r="D437" t="e">
            <v>#N/A</v>
          </cell>
          <cell r="E437" t="e">
            <v>#N/A</v>
          </cell>
          <cell r="F437" t="e">
            <v>#N/A</v>
          </cell>
          <cell r="G437" t="e">
            <v>#N/A</v>
          </cell>
          <cell r="H437" t="str">
            <v>Melakukan Monitoring dan Evaluasi ke Akademi Akuntansi Borobudur</v>
          </cell>
          <cell r="I437" t="str">
            <v>DKI Jakarta</v>
          </cell>
          <cell r="J437" t="str">
            <v>DKI Jakarta</v>
          </cell>
          <cell r="K437">
            <v>1</v>
          </cell>
          <cell r="L437" t="str">
            <v>7 Desember 2018</v>
          </cell>
          <cell r="M437" t="str">
            <v>7 Desember 2018</v>
          </cell>
          <cell r="N437">
            <v>524114</v>
          </cell>
          <cell r="O437" t="str">
            <v>Belanja Perjalanan Dinas Paket Meeting Dalam Kota</v>
          </cell>
          <cell r="R437" t="str">
            <v>ya</v>
          </cell>
          <cell r="S437">
            <v>150000</v>
          </cell>
          <cell r="T437">
            <v>3138400</v>
          </cell>
          <cell r="U437" t="str">
            <v>ya</v>
          </cell>
          <cell r="V437">
            <v>0</v>
          </cell>
          <cell r="W437">
            <v>0</v>
          </cell>
          <cell r="X437">
            <v>0</v>
          </cell>
          <cell r="Z437">
            <v>0</v>
          </cell>
          <cell r="AB437">
            <v>0</v>
          </cell>
          <cell r="AD437">
            <v>0</v>
          </cell>
          <cell r="AE437" t="str">
            <v>ya</v>
          </cell>
          <cell r="AF437">
            <v>210000</v>
          </cell>
          <cell r="AH437" t="str">
            <v xml:space="preserve">Angkutan Umum </v>
          </cell>
        </row>
        <row r="438">
          <cell r="A438">
            <v>437</v>
          </cell>
          <cell r="C438" t="e">
            <v>#N/A</v>
          </cell>
          <cell r="D438" t="e">
            <v>#N/A</v>
          </cell>
          <cell r="E438" t="e">
            <v>#N/A</v>
          </cell>
          <cell r="F438" t="e">
            <v>#N/A</v>
          </cell>
          <cell r="G438" t="e">
            <v>#N/A</v>
          </cell>
          <cell r="H438" t="str">
            <v>Melakukan Monitoring dan Evaluasi ke Akademi Akuntansi Borobudur</v>
          </cell>
          <cell r="I438" t="str">
            <v>DKI Jakarta</v>
          </cell>
          <cell r="J438" t="str">
            <v>DKI Jakarta</v>
          </cell>
          <cell r="K438">
            <v>1</v>
          </cell>
          <cell r="L438" t="str">
            <v>7 Desember 2018</v>
          </cell>
          <cell r="M438" t="str">
            <v>7 Desember 2018</v>
          </cell>
          <cell r="N438">
            <v>524114</v>
          </cell>
          <cell r="O438" t="str">
            <v>Belanja Perjalanan Dinas Paket Meeting Dalam Kota</v>
          </cell>
          <cell r="R438" t="str">
            <v>ya</v>
          </cell>
          <cell r="S438">
            <v>150000</v>
          </cell>
          <cell r="T438">
            <v>3138400</v>
          </cell>
          <cell r="U438" t="str">
            <v>ya</v>
          </cell>
          <cell r="V438">
            <v>0</v>
          </cell>
          <cell r="W438">
            <v>0</v>
          </cell>
          <cell r="X438">
            <v>0</v>
          </cell>
          <cell r="Z438">
            <v>0</v>
          </cell>
          <cell r="AB438">
            <v>0</v>
          </cell>
          <cell r="AD438">
            <v>0</v>
          </cell>
          <cell r="AE438" t="str">
            <v>ya</v>
          </cell>
          <cell r="AF438">
            <v>0</v>
          </cell>
          <cell r="AH438" t="str">
            <v xml:space="preserve">Angkutan Umum </v>
          </cell>
        </row>
        <row r="439">
          <cell r="A439">
            <v>438</v>
          </cell>
          <cell r="C439" t="e">
            <v>#N/A</v>
          </cell>
          <cell r="D439" t="e">
            <v>#N/A</v>
          </cell>
          <cell r="E439" t="e">
            <v>#N/A</v>
          </cell>
          <cell r="F439" t="e">
            <v>#N/A</v>
          </cell>
          <cell r="G439" t="e">
            <v>#N/A</v>
          </cell>
          <cell r="H439" t="str">
            <v>Melakukan Monitoring dan Evaluasi ke Akademi Akuntansi Borobudur</v>
          </cell>
          <cell r="I439" t="str">
            <v>DKI Jakarta</v>
          </cell>
          <cell r="J439" t="str">
            <v>DKI Jakarta</v>
          </cell>
          <cell r="K439">
            <v>1</v>
          </cell>
          <cell r="L439" t="str">
            <v>7 Desember 2018</v>
          </cell>
          <cell r="M439" t="str">
            <v>7 Desember 2018</v>
          </cell>
          <cell r="N439">
            <v>524114</v>
          </cell>
          <cell r="O439" t="str">
            <v>Belanja Perjalanan Dinas Paket Meeting Dalam Kota</v>
          </cell>
          <cell r="R439" t="str">
            <v>ya</v>
          </cell>
          <cell r="S439">
            <v>150000</v>
          </cell>
          <cell r="T439">
            <v>3138400</v>
          </cell>
          <cell r="U439" t="str">
            <v>ya</v>
          </cell>
          <cell r="V439">
            <v>0</v>
          </cell>
          <cell r="W439">
            <v>0</v>
          </cell>
          <cell r="X439">
            <v>0</v>
          </cell>
          <cell r="Z439">
            <v>0</v>
          </cell>
          <cell r="AB439">
            <v>0</v>
          </cell>
          <cell r="AD439">
            <v>0</v>
          </cell>
          <cell r="AE439" t="str">
            <v>ya</v>
          </cell>
          <cell r="AF439">
            <v>210000</v>
          </cell>
          <cell r="AH439" t="str">
            <v xml:space="preserve">Angkutan Umum </v>
          </cell>
        </row>
        <row r="440">
          <cell r="A440">
            <v>439</v>
          </cell>
          <cell r="C440" t="e">
            <v>#N/A</v>
          </cell>
          <cell r="D440" t="e">
            <v>#N/A</v>
          </cell>
          <cell r="E440" t="e">
            <v>#N/A</v>
          </cell>
          <cell r="F440" t="e">
            <v>#N/A</v>
          </cell>
          <cell r="G440" t="e">
            <v>#N/A</v>
          </cell>
          <cell r="H440" t="str">
            <v>Melakukan Monitoring dan Evaluasi ke Akademi Akuntansi Borobudur</v>
          </cell>
          <cell r="I440" t="str">
            <v>DKI Jakarta</v>
          </cell>
          <cell r="J440" t="str">
            <v>DKI Jakarta</v>
          </cell>
          <cell r="K440">
            <v>1</v>
          </cell>
          <cell r="L440" t="str">
            <v>7 Desember 2018</v>
          </cell>
          <cell r="M440" t="str">
            <v>7 Desember 2018</v>
          </cell>
          <cell r="N440">
            <v>524114</v>
          </cell>
          <cell r="O440" t="str">
            <v>Belanja Perjalanan Dinas Paket Meeting Dalam Kota</v>
          </cell>
          <cell r="R440" t="str">
            <v>ya</v>
          </cell>
          <cell r="S440">
            <v>150000</v>
          </cell>
          <cell r="T440">
            <v>3138400</v>
          </cell>
          <cell r="U440" t="str">
            <v>ya</v>
          </cell>
          <cell r="V440">
            <v>0</v>
          </cell>
          <cell r="W440">
            <v>0</v>
          </cell>
          <cell r="X440">
            <v>0</v>
          </cell>
          <cell r="Z440">
            <v>0</v>
          </cell>
          <cell r="AB440">
            <v>0</v>
          </cell>
          <cell r="AD440">
            <v>0</v>
          </cell>
          <cell r="AE440" t="str">
            <v>ya</v>
          </cell>
          <cell r="AF440">
            <v>210000</v>
          </cell>
          <cell r="AH440" t="str">
            <v xml:space="preserve">Angkutan Umum </v>
          </cell>
        </row>
        <row r="441">
          <cell r="A441">
            <v>440</v>
          </cell>
          <cell r="C441" t="e">
            <v>#N/A</v>
          </cell>
          <cell r="D441" t="e">
            <v>#N/A</v>
          </cell>
          <cell r="E441" t="e">
            <v>#N/A</v>
          </cell>
          <cell r="F441" t="e">
            <v>#N/A</v>
          </cell>
          <cell r="G441" t="e">
            <v>#N/A</v>
          </cell>
          <cell r="H441" t="str">
            <v>Melakukan Monitoring dan Evaluasi ke Akademi Bahasa Asing Borobudur</v>
          </cell>
          <cell r="I441" t="str">
            <v>DKI Jakarta</v>
          </cell>
          <cell r="J441" t="str">
            <v>DKI Jakarta</v>
          </cell>
          <cell r="K441">
            <v>1</v>
          </cell>
          <cell r="L441" t="str">
            <v>7 Desember 2018</v>
          </cell>
          <cell r="M441" t="str">
            <v>7 Desember 2018</v>
          </cell>
          <cell r="N441">
            <v>524114</v>
          </cell>
          <cell r="O441" t="str">
            <v>Belanja Perjalanan Dinas Paket Meeting Dalam Kota</v>
          </cell>
          <cell r="R441" t="str">
            <v>ya</v>
          </cell>
          <cell r="S441">
            <v>150000</v>
          </cell>
          <cell r="T441">
            <v>3138400</v>
          </cell>
          <cell r="U441" t="str">
            <v>ya</v>
          </cell>
          <cell r="V441">
            <v>0</v>
          </cell>
          <cell r="W441">
            <v>0</v>
          </cell>
          <cell r="X441">
            <v>0</v>
          </cell>
          <cell r="Z441">
            <v>0</v>
          </cell>
          <cell r="AB441">
            <v>0</v>
          </cell>
          <cell r="AD441">
            <v>0</v>
          </cell>
          <cell r="AE441" t="str">
            <v>ya</v>
          </cell>
          <cell r="AF441">
            <v>0</v>
          </cell>
          <cell r="AH441" t="str">
            <v xml:space="preserve">Angkutan Umum </v>
          </cell>
        </row>
        <row r="442">
          <cell r="A442">
            <v>441</v>
          </cell>
          <cell r="C442" t="e">
            <v>#N/A</v>
          </cell>
          <cell r="D442" t="e">
            <v>#N/A</v>
          </cell>
          <cell r="E442" t="e">
            <v>#N/A</v>
          </cell>
          <cell r="F442" t="e">
            <v>#N/A</v>
          </cell>
          <cell r="G442" t="e">
            <v>#N/A</v>
          </cell>
          <cell r="H442" t="str">
            <v>Melakukan Monitoring dan Evaluasi ke Akademi Bahasa Asing Borobudur</v>
          </cell>
          <cell r="I442" t="str">
            <v>DKI Jakarta</v>
          </cell>
          <cell r="J442" t="str">
            <v>DKI Jakarta</v>
          </cell>
          <cell r="K442">
            <v>1</v>
          </cell>
          <cell r="L442" t="str">
            <v>7 Desember 2018</v>
          </cell>
          <cell r="M442" t="str">
            <v>7 Desember 2018</v>
          </cell>
          <cell r="N442">
            <v>524114</v>
          </cell>
          <cell r="O442" t="str">
            <v>Belanja Perjalanan Dinas Paket Meeting Dalam Kota</v>
          </cell>
          <cell r="R442" t="str">
            <v>ya</v>
          </cell>
          <cell r="S442">
            <v>150000</v>
          </cell>
          <cell r="T442">
            <v>3138400</v>
          </cell>
          <cell r="U442" t="str">
            <v>ya</v>
          </cell>
          <cell r="V442">
            <v>0</v>
          </cell>
          <cell r="W442">
            <v>0</v>
          </cell>
          <cell r="X442">
            <v>0</v>
          </cell>
          <cell r="Z442">
            <v>0</v>
          </cell>
          <cell r="AB442">
            <v>0</v>
          </cell>
          <cell r="AD442">
            <v>0</v>
          </cell>
          <cell r="AE442" t="str">
            <v>ya</v>
          </cell>
          <cell r="AF442">
            <v>210000</v>
          </cell>
          <cell r="AH442" t="str">
            <v xml:space="preserve">Angkutan Umum </v>
          </cell>
        </row>
        <row r="443">
          <cell r="A443">
            <v>442</v>
          </cell>
          <cell r="C443" t="e">
            <v>#N/A</v>
          </cell>
          <cell r="D443" t="e">
            <v>#N/A</v>
          </cell>
          <cell r="E443" t="e">
            <v>#N/A</v>
          </cell>
          <cell r="F443" t="e">
            <v>#N/A</v>
          </cell>
          <cell r="G443" t="e">
            <v>#N/A</v>
          </cell>
          <cell r="H443" t="str">
            <v>Melakukan Monitoring dan Evaluasi ke Akademi Bahasa Asing Borobudur</v>
          </cell>
          <cell r="I443" t="str">
            <v>DKI Jakarta</v>
          </cell>
          <cell r="J443" t="str">
            <v>DKI Jakarta</v>
          </cell>
          <cell r="K443">
            <v>1</v>
          </cell>
          <cell r="L443" t="str">
            <v>7 Desember 2018</v>
          </cell>
          <cell r="M443" t="str">
            <v>7 Desember 2018</v>
          </cell>
          <cell r="N443">
            <v>524114</v>
          </cell>
          <cell r="O443" t="str">
            <v>Belanja Perjalanan Dinas Paket Meeting Dalam Kota</v>
          </cell>
          <cell r="R443" t="str">
            <v>ya</v>
          </cell>
          <cell r="S443">
            <v>150000</v>
          </cell>
          <cell r="T443">
            <v>3138400</v>
          </cell>
          <cell r="U443" t="str">
            <v>ya</v>
          </cell>
          <cell r="V443">
            <v>0</v>
          </cell>
          <cell r="W443">
            <v>0</v>
          </cell>
          <cell r="X443">
            <v>0</v>
          </cell>
          <cell r="Z443">
            <v>0</v>
          </cell>
          <cell r="AB443">
            <v>0</v>
          </cell>
          <cell r="AD443">
            <v>0</v>
          </cell>
          <cell r="AE443" t="str">
            <v>ya</v>
          </cell>
          <cell r="AF443">
            <v>210000</v>
          </cell>
          <cell r="AH443" t="str">
            <v xml:space="preserve">Angkutan Umum </v>
          </cell>
        </row>
        <row r="444">
          <cell r="A444">
            <v>443</v>
          </cell>
          <cell r="C444" t="e">
            <v>#N/A</v>
          </cell>
          <cell r="D444" t="e">
            <v>#N/A</v>
          </cell>
          <cell r="E444" t="e">
            <v>#N/A</v>
          </cell>
          <cell r="F444" t="e">
            <v>#N/A</v>
          </cell>
          <cell r="G444" t="e">
            <v>#N/A</v>
          </cell>
          <cell r="H444" t="str">
            <v>Melakukan Monitoring dan Evaluasi ke Akademi Bahasa Asing Borobudur</v>
          </cell>
          <cell r="I444" t="str">
            <v>DKI Jakarta</v>
          </cell>
          <cell r="J444" t="str">
            <v>DKI Jakarta</v>
          </cell>
          <cell r="K444">
            <v>1</v>
          </cell>
          <cell r="L444" t="str">
            <v>7 Desember 2018</v>
          </cell>
          <cell r="M444" t="str">
            <v>7 Desember 2018</v>
          </cell>
          <cell r="N444">
            <v>524114</v>
          </cell>
          <cell r="O444" t="str">
            <v>Belanja Perjalanan Dinas Paket Meeting Dalam Kota</v>
          </cell>
          <cell r="R444" t="str">
            <v>ya</v>
          </cell>
          <cell r="S444">
            <v>150000</v>
          </cell>
          <cell r="T444">
            <v>3138400</v>
          </cell>
          <cell r="U444" t="str">
            <v>ya</v>
          </cell>
          <cell r="V444">
            <v>0</v>
          </cell>
          <cell r="W444">
            <v>0</v>
          </cell>
          <cell r="X444">
            <v>0</v>
          </cell>
          <cell r="Z444">
            <v>0</v>
          </cell>
          <cell r="AB444">
            <v>0</v>
          </cell>
          <cell r="AD444">
            <v>0</v>
          </cell>
          <cell r="AE444" t="str">
            <v>ya</v>
          </cell>
          <cell r="AF444">
            <v>210000</v>
          </cell>
          <cell r="AH444" t="str">
            <v xml:space="preserve">Angkutan Umum </v>
          </cell>
        </row>
        <row r="445">
          <cell r="A445">
            <v>444</v>
          </cell>
          <cell r="C445" t="e">
            <v>#N/A</v>
          </cell>
          <cell r="D445" t="e">
            <v>#N/A</v>
          </cell>
          <cell r="E445" t="e">
            <v>#N/A</v>
          </cell>
          <cell r="F445" t="e">
            <v>#N/A</v>
          </cell>
          <cell r="G445" t="e">
            <v>#N/A</v>
          </cell>
          <cell r="H445" t="str">
            <v>Melakukan Monitoring dan Evaluasi ke Akademi Bahasa Asing Borobudur</v>
          </cell>
          <cell r="I445" t="str">
            <v>DKI Jakarta</v>
          </cell>
          <cell r="J445" t="str">
            <v>DKI Jakarta</v>
          </cell>
          <cell r="K445">
            <v>1</v>
          </cell>
          <cell r="L445" t="str">
            <v>7 Desember 2018</v>
          </cell>
          <cell r="M445" t="str">
            <v>7 Desember 2018</v>
          </cell>
          <cell r="N445">
            <v>524114</v>
          </cell>
          <cell r="O445" t="str">
            <v>Belanja Perjalanan Dinas Paket Meeting Dalam Kota</v>
          </cell>
          <cell r="R445" t="str">
            <v>ya</v>
          </cell>
          <cell r="S445">
            <v>150000</v>
          </cell>
          <cell r="T445">
            <v>3138400</v>
          </cell>
          <cell r="U445" t="str">
            <v>ya</v>
          </cell>
          <cell r="V445">
            <v>0</v>
          </cell>
          <cell r="W445">
            <v>0</v>
          </cell>
          <cell r="X445">
            <v>0</v>
          </cell>
          <cell r="Z445">
            <v>0</v>
          </cell>
          <cell r="AB445">
            <v>0</v>
          </cell>
          <cell r="AD445">
            <v>0</v>
          </cell>
          <cell r="AE445" t="str">
            <v>ya</v>
          </cell>
          <cell r="AF445">
            <v>0</v>
          </cell>
          <cell r="AH445" t="str">
            <v xml:space="preserve">Angkutan Umum </v>
          </cell>
        </row>
        <row r="446">
          <cell r="A446">
            <v>445</v>
          </cell>
          <cell r="C446" t="e">
            <v>#N/A</v>
          </cell>
          <cell r="D446" t="e">
            <v>#N/A</v>
          </cell>
          <cell r="E446" t="e">
            <v>#N/A</v>
          </cell>
          <cell r="F446" t="e">
            <v>#N/A</v>
          </cell>
          <cell r="G446" t="e">
            <v>#N/A</v>
          </cell>
          <cell r="H446" t="str">
            <v xml:space="preserve">Melakukan Monitoring dan Evaluasi ke Universitas Islam Jakarta </v>
          </cell>
          <cell r="I446" t="str">
            <v>DKI Jakarta</v>
          </cell>
          <cell r="J446" t="str">
            <v>DKI Jakarta</v>
          </cell>
          <cell r="K446">
            <v>1</v>
          </cell>
          <cell r="L446" t="str">
            <v>7 Desember 2018</v>
          </cell>
          <cell r="M446" t="str">
            <v>7 Desember 2018</v>
          </cell>
          <cell r="N446">
            <v>524114</v>
          </cell>
          <cell r="O446" t="str">
            <v>Belanja Perjalanan Dinas Paket Meeting Dalam Kota</v>
          </cell>
          <cell r="R446" t="str">
            <v>ya</v>
          </cell>
          <cell r="S446">
            <v>150000</v>
          </cell>
          <cell r="T446">
            <v>3138400</v>
          </cell>
          <cell r="U446" t="str">
            <v>ya</v>
          </cell>
          <cell r="V446">
            <v>0</v>
          </cell>
          <cell r="W446">
            <v>0</v>
          </cell>
          <cell r="X446">
            <v>0</v>
          </cell>
          <cell r="Z446">
            <v>0</v>
          </cell>
          <cell r="AB446">
            <v>0</v>
          </cell>
          <cell r="AD446">
            <v>0</v>
          </cell>
          <cell r="AE446" t="str">
            <v>ya</v>
          </cell>
          <cell r="AF446">
            <v>0</v>
          </cell>
          <cell r="AH446" t="str">
            <v xml:space="preserve">Angkutan Umum </v>
          </cell>
        </row>
        <row r="447">
          <cell r="A447">
            <v>446</v>
          </cell>
          <cell r="C447" t="e">
            <v>#N/A</v>
          </cell>
          <cell r="D447" t="e">
            <v>#N/A</v>
          </cell>
          <cell r="E447" t="e">
            <v>#N/A</v>
          </cell>
          <cell r="F447" t="e">
            <v>#N/A</v>
          </cell>
          <cell r="G447" t="e">
            <v>#N/A</v>
          </cell>
          <cell r="H447" t="str">
            <v xml:space="preserve">Melakukan Monitoring dan Evaluasi ke Universitas Islam Jakarta </v>
          </cell>
          <cell r="I447" t="str">
            <v>DKI Jakarta</v>
          </cell>
          <cell r="J447" t="str">
            <v>DKI Jakarta</v>
          </cell>
          <cell r="K447">
            <v>1</v>
          </cell>
          <cell r="L447" t="str">
            <v>7 Desember 2018</v>
          </cell>
          <cell r="M447" t="str">
            <v>7 Desember 2018</v>
          </cell>
          <cell r="N447">
            <v>524114</v>
          </cell>
          <cell r="O447" t="str">
            <v>Belanja Perjalanan Dinas Paket Meeting Dalam Kota</v>
          </cell>
          <cell r="R447" t="str">
            <v>ya</v>
          </cell>
          <cell r="S447">
            <v>150000</v>
          </cell>
          <cell r="T447">
            <v>3138400</v>
          </cell>
          <cell r="U447" t="str">
            <v>ya</v>
          </cell>
          <cell r="V447">
            <v>0</v>
          </cell>
          <cell r="W447">
            <v>0</v>
          </cell>
          <cell r="X447">
            <v>0</v>
          </cell>
          <cell r="Z447">
            <v>0</v>
          </cell>
          <cell r="AB447">
            <v>0</v>
          </cell>
          <cell r="AD447">
            <v>0</v>
          </cell>
          <cell r="AE447" t="str">
            <v>ya</v>
          </cell>
          <cell r="AF447">
            <v>210000</v>
          </cell>
          <cell r="AH447" t="str">
            <v xml:space="preserve">Angkutan Umum </v>
          </cell>
        </row>
        <row r="448">
          <cell r="A448">
            <v>447</v>
          </cell>
          <cell r="C448" t="e">
            <v>#N/A</v>
          </cell>
          <cell r="D448" t="e">
            <v>#N/A</v>
          </cell>
          <cell r="E448" t="e">
            <v>#N/A</v>
          </cell>
          <cell r="F448" t="e">
            <v>#N/A</v>
          </cell>
          <cell r="G448" t="e">
            <v>#N/A</v>
          </cell>
          <cell r="H448" t="str">
            <v xml:space="preserve">Melakukan Monitoring dan Evaluasi ke Universitas Islam Jakarta </v>
          </cell>
          <cell r="I448" t="str">
            <v>DKI Jakarta</v>
          </cell>
          <cell r="J448" t="str">
            <v>DKI Jakarta</v>
          </cell>
          <cell r="K448">
            <v>1</v>
          </cell>
          <cell r="L448" t="str">
            <v>7 Desember 2018</v>
          </cell>
          <cell r="M448" t="str">
            <v>7 Desember 2018</v>
          </cell>
          <cell r="N448">
            <v>524114</v>
          </cell>
          <cell r="O448" t="str">
            <v>Belanja Perjalanan Dinas Paket Meeting Dalam Kota</v>
          </cell>
          <cell r="R448" t="str">
            <v>ya</v>
          </cell>
          <cell r="S448">
            <v>150000</v>
          </cell>
          <cell r="T448">
            <v>3138400</v>
          </cell>
          <cell r="U448" t="str">
            <v>ya</v>
          </cell>
          <cell r="V448">
            <v>0</v>
          </cell>
          <cell r="W448">
            <v>0</v>
          </cell>
          <cell r="X448">
            <v>0</v>
          </cell>
          <cell r="Z448">
            <v>0</v>
          </cell>
          <cell r="AB448">
            <v>0</v>
          </cell>
          <cell r="AD448">
            <v>0</v>
          </cell>
          <cell r="AE448" t="str">
            <v>ya</v>
          </cell>
          <cell r="AF448">
            <v>210000</v>
          </cell>
          <cell r="AH448" t="str">
            <v xml:space="preserve">Angkutan Umum </v>
          </cell>
        </row>
        <row r="449">
          <cell r="A449">
            <v>448</v>
          </cell>
          <cell r="C449" t="e">
            <v>#N/A</v>
          </cell>
          <cell r="D449" t="e">
            <v>#N/A</v>
          </cell>
          <cell r="E449" t="e">
            <v>#N/A</v>
          </cell>
          <cell r="F449" t="e">
            <v>#N/A</v>
          </cell>
          <cell r="G449" t="e">
            <v>#N/A</v>
          </cell>
          <cell r="H449" t="str">
            <v xml:space="preserve">Melakukan Monitoring dan Evaluasi ke Universitas Islam Jakarta </v>
          </cell>
          <cell r="I449" t="str">
            <v>DKI Jakarta</v>
          </cell>
          <cell r="J449" t="str">
            <v>DKI Jakarta</v>
          </cell>
          <cell r="K449">
            <v>1</v>
          </cell>
          <cell r="L449" t="str">
            <v>7 Desember 2018</v>
          </cell>
          <cell r="M449" t="str">
            <v>7 Desember 2018</v>
          </cell>
          <cell r="N449">
            <v>524114</v>
          </cell>
          <cell r="O449" t="str">
            <v>Belanja Perjalanan Dinas Paket Meeting Dalam Kota</v>
          </cell>
          <cell r="R449" t="str">
            <v>ya</v>
          </cell>
          <cell r="S449">
            <v>150000</v>
          </cell>
          <cell r="T449">
            <v>3138400</v>
          </cell>
          <cell r="U449" t="str">
            <v>ya</v>
          </cell>
          <cell r="V449">
            <v>0</v>
          </cell>
          <cell r="W449">
            <v>0</v>
          </cell>
          <cell r="X449">
            <v>0</v>
          </cell>
          <cell r="Z449">
            <v>0</v>
          </cell>
          <cell r="AB449">
            <v>0</v>
          </cell>
          <cell r="AD449">
            <v>0</v>
          </cell>
          <cell r="AE449" t="str">
            <v>ya</v>
          </cell>
          <cell r="AF449">
            <v>0</v>
          </cell>
          <cell r="AH449" t="str">
            <v xml:space="preserve">Angkutan Umum </v>
          </cell>
        </row>
        <row r="450">
          <cell r="A450">
            <v>449</v>
          </cell>
          <cell r="C450" t="e">
            <v>#N/A</v>
          </cell>
          <cell r="D450" t="e">
            <v>#N/A</v>
          </cell>
          <cell r="E450" t="e">
            <v>#N/A</v>
          </cell>
          <cell r="F450" t="e">
            <v>#N/A</v>
          </cell>
          <cell r="G450" t="e">
            <v>#N/A</v>
          </cell>
          <cell r="H450" t="str">
            <v xml:space="preserve">Melakukan Monitoring dan Evaluasi ke Universitas Islam Jakarta </v>
          </cell>
          <cell r="I450" t="str">
            <v>DKI Jakarta</v>
          </cell>
          <cell r="J450" t="str">
            <v>DKI Jakarta</v>
          </cell>
          <cell r="K450">
            <v>1</v>
          </cell>
          <cell r="L450" t="str">
            <v>7 Desember 2018</v>
          </cell>
          <cell r="M450" t="str">
            <v>7 Desember 2018</v>
          </cell>
          <cell r="N450">
            <v>524114</v>
          </cell>
          <cell r="O450" t="str">
            <v>Belanja Perjalanan Dinas Paket Meeting Dalam Kota</v>
          </cell>
          <cell r="R450" t="str">
            <v>ya</v>
          </cell>
          <cell r="S450">
            <v>150000</v>
          </cell>
          <cell r="T450">
            <v>3138400</v>
          </cell>
          <cell r="U450" t="str">
            <v>ya</v>
          </cell>
          <cell r="V450">
            <v>0</v>
          </cell>
          <cell r="W450">
            <v>0</v>
          </cell>
          <cell r="X450">
            <v>0</v>
          </cell>
          <cell r="Z450">
            <v>0</v>
          </cell>
          <cell r="AB450">
            <v>0</v>
          </cell>
          <cell r="AD450">
            <v>0</v>
          </cell>
          <cell r="AE450" t="str">
            <v>ya</v>
          </cell>
          <cell r="AF450">
            <v>210000</v>
          </cell>
          <cell r="AH450" t="str">
            <v xml:space="preserve">Angkutan Umum </v>
          </cell>
        </row>
        <row r="451">
          <cell r="A451">
            <v>450</v>
          </cell>
          <cell r="C451" t="e">
            <v>#N/A</v>
          </cell>
          <cell r="D451" t="e">
            <v>#N/A</v>
          </cell>
          <cell r="E451" t="e">
            <v>#N/A</v>
          </cell>
          <cell r="F451" t="e">
            <v>#N/A</v>
          </cell>
          <cell r="G451" t="e">
            <v>#N/A</v>
          </cell>
          <cell r="H451" t="str">
            <v xml:space="preserve">Melakukan Monitoring dan Evaluasi ke Sekolah Tinggi Ilmu Ekonomi Pengembangan Bisnis dan Manajemen </v>
          </cell>
          <cell r="I451" t="str">
            <v>DKI Jakarta</v>
          </cell>
          <cell r="J451" t="str">
            <v>DKI Jakarta</v>
          </cell>
          <cell r="K451">
            <v>1</v>
          </cell>
          <cell r="L451" t="str">
            <v>13 Desember 2018</v>
          </cell>
          <cell r="M451" t="str">
            <v>13 Desember 2018</v>
          </cell>
          <cell r="N451">
            <v>524114</v>
          </cell>
          <cell r="O451" t="str">
            <v>Belanja Perjalanan Dinas Paket Meeting Dalam Kota</v>
          </cell>
          <cell r="R451" t="str">
            <v>ya</v>
          </cell>
          <cell r="S451">
            <v>150000</v>
          </cell>
          <cell r="T451">
            <v>3138400</v>
          </cell>
          <cell r="U451" t="str">
            <v>ya</v>
          </cell>
          <cell r="V451">
            <v>0</v>
          </cell>
          <cell r="W451">
            <v>0</v>
          </cell>
          <cell r="X451">
            <v>0</v>
          </cell>
          <cell r="Z451">
            <v>0</v>
          </cell>
          <cell r="AB451">
            <v>0</v>
          </cell>
          <cell r="AD451">
            <v>0</v>
          </cell>
          <cell r="AE451" t="str">
            <v>ya</v>
          </cell>
          <cell r="AF451">
            <v>210000</v>
          </cell>
          <cell r="AH451" t="str">
            <v xml:space="preserve">Angkutan Umum </v>
          </cell>
        </row>
        <row r="452">
          <cell r="A452">
            <v>451</v>
          </cell>
          <cell r="C452" t="e">
            <v>#N/A</v>
          </cell>
          <cell r="D452" t="e">
            <v>#N/A</v>
          </cell>
          <cell r="E452" t="e">
            <v>#N/A</v>
          </cell>
          <cell r="F452" t="e">
            <v>#N/A</v>
          </cell>
          <cell r="G452" t="e">
            <v>#N/A</v>
          </cell>
          <cell r="H452" t="str">
            <v xml:space="preserve">Melakukan Monitoring dan Evaluasi ke Sekolah Tinggi Ilmu Ekonomi Pengembangan Bisnis dan Manajemen </v>
          </cell>
          <cell r="I452" t="str">
            <v>DKI Jakarta</v>
          </cell>
          <cell r="J452" t="str">
            <v>DKI Jakarta</v>
          </cell>
          <cell r="K452">
            <v>1</v>
          </cell>
          <cell r="L452" t="str">
            <v>13 Desember 2018</v>
          </cell>
          <cell r="M452" t="str">
            <v>13 Desember 2018</v>
          </cell>
          <cell r="N452">
            <v>524114</v>
          </cell>
          <cell r="O452" t="str">
            <v>Belanja Perjalanan Dinas Paket Meeting Dalam Kota</v>
          </cell>
          <cell r="R452" t="str">
            <v>ya</v>
          </cell>
          <cell r="S452">
            <v>150000</v>
          </cell>
          <cell r="T452">
            <v>3138400</v>
          </cell>
          <cell r="U452" t="str">
            <v>ya</v>
          </cell>
          <cell r="V452">
            <v>0</v>
          </cell>
          <cell r="W452">
            <v>0</v>
          </cell>
          <cell r="X452">
            <v>0</v>
          </cell>
          <cell r="Z452">
            <v>0</v>
          </cell>
          <cell r="AB452">
            <v>0</v>
          </cell>
          <cell r="AD452">
            <v>0</v>
          </cell>
          <cell r="AE452" t="str">
            <v>ya</v>
          </cell>
          <cell r="AF452">
            <v>210000</v>
          </cell>
          <cell r="AH452" t="str">
            <v xml:space="preserve">Angkutan Umum </v>
          </cell>
        </row>
        <row r="453">
          <cell r="A453">
            <v>452</v>
          </cell>
          <cell r="C453" t="e">
            <v>#N/A</v>
          </cell>
          <cell r="D453" t="e">
            <v>#N/A</v>
          </cell>
          <cell r="E453" t="e">
            <v>#N/A</v>
          </cell>
          <cell r="F453" t="e">
            <v>#N/A</v>
          </cell>
          <cell r="G453" t="e">
            <v>#N/A</v>
          </cell>
          <cell r="H453" t="str">
            <v xml:space="preserve">Melakukan Monitoring dan Evaluasi ke Sekolah Tinggi Ilmu Ekonomi Pengembangan Bisnis dan Manajemen </v>
          </cell>
          <cell r="I453" t="str">
            <v>DKI Jakarta</v>
          </cell>
          <cell r="J453" t="str">
            <v>DKI Jakarta</v>
          </cell>
          <cell r="K453">
            <v>1</v>
          </cell>
          <cell r="L453" t="str">
            <v>13 Desember 2018</v>
          </cell>
          <cell r="M453" t="str">
            <v>13 Desember 2018</v>
          </cell>
          <cell r="N453">
            <v>524114</v>
          </cell>
          <cell r="O453" t="str">
            <v>Belanja Perjalanan Dinas Paket Meeting Dalam Kota</v>
          </cell>
          <cell r="R453" t="str">
            <v>ya</v>
          </cell>
          <cell r="S453">
            <v>150000</v>
          </cell>
          <cell r="T453">
            <v>3138400</v>
          </cell>
          <cell r="U453" t="str">
            <v>ya</v>
          </cell>
          <cell r="V453">
            <v>0</v>
          </cell>
          <cell r="W453">
            <v>0</v>
          </cell>
          <cell r="X453">
            <v>0</v>
          </cell>
          <cell r="Z453">
            <v>0</v>
          </cell>
          <cell r="AB453">
            <v>0</v>
          </cell>
          <cell r="AD453">
            <v>0</v>
          </cell>
          <cell r="AE453" t="str">
            <v>ya</v>
          </cell>
          <cell r="AF453">
            <v>210000</v>
          </cell>
          <cell r="AH453" t="str">
            <v xml:space="preserve">Angkutan Umum </v>
          </cell>
        </row>
        <row r="454">
          <cell r="A454">
            <v>453</v>
          </cell>
          <cell r="C454" t="e">
            <v>#N/A</v>
          </cell>
          <cell r="D454" t="e">
            <v>#N/A</v>
          </cell>
          <cell r="E454" t="e">
            <v>#N/A</v>
          </cell>
          <cell r="F454" t="e">
            <v>#N/A</v>
          </cell>
          <cell r="G454" t="e">
            <v>#N/A</v>
          </cell>
          <cell r="H454" t="str">
            <v xml:space="preserve">Melakukan Monitoring dan Evaluasi ke Sekolah Tinggi Ilmu Ekonomi Pengembangan Bisnis dan Manajemen </v>
          </cell>
          <cell r="I454" t="str">
            <v>DKI Jakarta</v>
          </cell>
          <cell r="J454" t="str">
            <v>DKI Jakarta</v>
          </cell>
          <cell r="K454">
            <v>1</v>
          </cell>
          <cell r="L454" t="str">
            <v>13 Desember 2018</v>
          </cell>
          <cell r="M454" t="str">
            <v>13 Desember 2018</v>
          </cell>
          <cell r="N454">
            <v>524114</v>
          </cell>
          <cell r="O454" t="str">
            <v>Belanja Perjalanan Dinas Paket Meeting Dalam Kota</v>
          </cell>
          <cell r="R454" t="str">
            <v>ya</v>
          </cell>
          <cell r="S454">
            <v>150000</v>
          </cell>
          <cell r="T454">
            <v>3138400</v>
          </cell>
          <cell r="U454" t="str">
            <v>ya</v>
          </cell>
          <cell r="V454">
            <v>0</v>
          </cell>
          <cell r="W454">
            <v>0</v>
          </cell>
          <cell r="X454">
            <v>0</v>
          </cell>
          <cell r="Z454">
            <v>0</v>
          </cell>
          <cell r="AB454">
            <v>0</v>
          </cell>
          <cell r="AD454">
            <v>0</v>
          </cell>
          <cell r="AE454" t="str">
            <v>ya</v>
          </cell>
          <cell r="AF454">
            <v>210000</v>
          </cell>
          <cell r="AH454" t="str">
            <v xml:space="preserve">Angkutan Umum </v>
          </cell>
        </row>
        <row r="455">
          <cell r="A455">
            <v>454</v>
          </cell>
          <cell r="C455" t="e">
            <v>#N/A</v>
          </cell>
          <cell r="D455" t="e">
            <v>#N/A</v>
          </cell>
          <cell r="E455" t="e">
            <v>#N/A</v>
          </cell>
          <cell r="F455" t="e">
            <v>#N/A</v>
          </cell>
          <cell r="G455" t="e">
            <v>#N/A</v>
          </cell>
          <cell r="H455" t="str">
            <v xml:space="preserve">Melakukan Monitoring dan Evaluasi ke Sekolah Tinggi Ilmu Ekonomi Pengembangan Bisnis dan Manajemen </v>
          </cell>
          <cell r="I455" t="str">
            <v>DKI Jakarta</v>
          </cell>
          <cell r="J455" t="str">
            <v>DKI Jakarta</v>
          </cell>
          <cell r="K455">
            <v>1</v>
          </cell>
          <cell r="L455" t="str">
            <v>13 Desember 2018</v>
          </cell>
          <cell r="M455" t="str">
            <v>13 Desember 2018</v>
          </cell>
          <cell r="N455">
            <v>524114</v>
          </cell>
          <cell r="O455" t="str">
            <v>Belanja Perjalanan Dinas Paket Meeting Dalam Kota</v>
          </cell>
          <cell r="R455" t="str">
            <v>ya</v>
          </cell>
          <cell r="S455">
            <v>150000</v>
          </cell>
          <cell r="T455">
            <v>3138400</v>
          </cell>
          <cell r="U455" t="str">
            <v>ya</v>
          </cell>
          <cell r="V455">
            <v>0</v>
          </cell>
          <cell r="W455">
            <v>0</v>
          </cell>
          <cell r="X455">
            <v>0</v>
          </cell>
          <cell r="Z455">
            <v>0</v>
          </cell>
          <cell r="AB455">
            <v>0</v>
          </cell>
          <cell r="AD455">
            <v>0</v>
          </cell>
          <cell r="AE455" t="str">
            <v>ya</v>
          </cell>
          <cell r="AF455">
            <v>210000</v>
          </cell>
          <cell r="AH455" t="str">
            <v xml:space="preserve">Angkutan Umum </v>
          </cell>
        </row>
        <row r="456">
          <cell r="A456">
            <v>455</v>
          </cell>
          <cell r="C456" t="e">
            <v>#N/A</v>
          </cell>
          <cell r="D456" t="e">
            <v>#N/A</v>
          </cell>
          <cell r="E456" t="e">
            <v>#N/A</v>
          </cell>
          <cell r="F456" t="e">
            <v>#N/A</v>
          </cell>
          <cell r="G456" t="e">
            <v>#N/A</v>
          </cell>
          <cell r="H456" t="str">
            <v>Melakukan Monitoring dan Evaluasi ke Sekolah Tinggi Ilmu Ekonomi Gandhi</v>
          </cell>
          <cell r="I456" t="str">
            <v>DKI Jakarta</v>
          </cell>
          <cell r="J456" t="str">
            <v>DKI Jakarta</v>
          </cell>
          <cell r="K456">
            <v>1</v>
          </cell>
          <cell r="L456" t="str">
            <v>17 Desember 2018</v>
          </cell>
          <cell r="M456" t="str">
            <v>17 Desember 2018</v>
          </cell>
          <cell r="N456">
            <v>524114</v>
          </cell>
          <cell r="O456" t="str">
            <v>Belanja Perjalanan Dinas Paket Meeting Dalam Kota</v>
          </cell>
          <cell r="R456" t="str">
            <v>ya</v>
          </cell>
          <cell r="S456">
            <v>150000</v>
          </cell>
          <cell r="T456">
            <v>3138400</v>
          </cell>
          <cell r="U456" t="str">
            <v>ya</v>
          </cell>
          <cell r="V456">
            <v>0</v>
          </cell>
          <cell r="W456">
            <v>0</v>
          </cell>
          <cell r="X456">
            <v>0</v>
          </cell>
          <cell r="Z456">
            <v>0</v>
          </cell>
          <cell r="AB456">
            <v>0</v>
          </cell>
          <cell r="AD456">
            <v>0</v>
          </cell>
          <cell r="AE456" t="str">
            <v>ya</v>
          </cell>
          <cell r="AF456">
            <v>210000</v>
          </cell>
          <cell r="AH456" t="str">
            <v xml:space="preserve">Angkutan Umum </v>
          </cell>
        </row>
        <row r="457">
          <cell r="A457">
            <v>456</v>
          </cell>
          <cell r="C457" t="e">
            <v>#N/A</v>
          </cell>
          <cell r="D457" t="e">
            <v>#N/A</v>
          </cell>
          <cell r="E457" t="e">
            <v>#N/A</v>
          </cell>
          <cell r="F457" t="e">
            <v>#N/A</v>
          </cell>
          <cell r="G457" t="e">
            <v>#N/A</v>
          </cell>
          <cell r="H457" t="str">
            <v>Melakukan Monitoring dan Evaluasi ke Sekolah Tinggi Ilmu Ekonomi Gandhi</v>
          </cell>
          <cell r="I457" t="str">
            <v>DKI Jakarta</v>
          </cell>
          <cell r="J457" t="str">
            <v>DKI Jakarta</v>
          </cell>
          <cell r="K457">
            <v>1</v>
          </cell>
          <cell r="L457" t="str">
            <v>17 Desember 2018</v>
          </cell>
          <cell r="M457" t="str">
            <v>17 Desember 2018</v>
          </cell>
          <cell r="N457">
            <v>524114</v>
          </cell>
          <cell r="O457" t="str">
            <v>Belanja Perjalanan Dinas Paket Meeting Dalam Kota</v>
          </cell>
          <cell r="R457" t="str">
            <v>ya</v>
          </cell>
          <cell r="S457">
            <v>150000</v>
          </cell>
          <cell r="T457">
            <v>3138400</v>
          </cell>
          <cell r="U457" t="str">
            <v>ya</v>
          </cell>
          <cell r="V457">
            <v>0</v>
          </cell>
          <cell r="W457">
            <v>0</v>
          </cell>
          <cell r="X457">
            <v>0</v>
          </cell>
          <cell r="Z457">
            <v>0</v>
          </cell>
          <cell r="AB457">
            <v>0</v>
          </cell>
          <cell r="AD457">
            <v>0</v>
          </cell>
          <cell r="AE457" t="str">
            <v>ya</v>
          </cell>
          <cell r="AF457">
            <v>210000</v>
          </cell>
          <cell r="AH457" t="str">
            <v xml:space="preserve">Angkutan Umum </v>
          </cell>
        </row>
        <row r="458">
          <cell r="A458">
            <v>457</v>
          </cell>
          <cell r="C458" t="e">
            <v>#N/A</v>
          </cell>
          <cell r="D458" t="e">
            <v>#N/A</v>
          </cell>
          <cell r="E458" t="e">
            <v>#N/A</v>
          </cell>
          <cell r="F458" t="e">
            <v>#N/A</v>
          </cell>
          <cell r="G458" t="e">
            <v>#N/A</v>
          </cell>
          <cell r="H458" t="str">
            <v>Melakukan Monitoring dan Evaluasi ke Sekolah Tinggi Ilmu Ekonomi Gandhi</v>
          </cell>
          <cell r="I458" t="str">
            <v>DKI Jakarta</v>
          </cell>
          <cell r="J458" t="str">
            <v>DKI Jakarta</v>
          </cell>
          <cell r="K458">
            <v>1</v>
          </cell>
          <cell r="L458" t="str">
            <v>17 Desember 2018</v>
          </cell>
          <cell r="M458" t="str">
            <v>17 Desember 2018</v>
          </cell>
          <cell r="N458">
            <v>524114</v>
          </cell>
          <cell r="O458" t="str">
            <v>Belanja Perjalanan Dinas Paket Meeting Dalam Kota</v>
          </cell>
          <cell r="R458" t="str">
            <v>ya</v>
          </cell>
          <cell r="S458">
            <v>150000</v>
          </cell>
          <cell r="T458">
            <v>3138400</v>
          </cell>
          <cell r="U458" t="str">
            <v>ya</v>
          </cell>
          <cell r="V458">
            <v>0</v>
          </cell>
          <cell r="W458">
            <v>0</v>
          </cell>
          <cell r="X458">
            <v>0</v>
          </cell>
          <cell r="Z458">
            <v>0</v>
          </cell>
          <cell r="AB458">
            <v>0</v>
          </cell>
          <cell r="AD458">
            <v>0</v>
          </cell>
          <cell r="AE458" t="str">
            <v>ya</v>
          </cell>
          <cell r="AF458">
            <v>210000</v>
          </cell>
          <cell r="AH458" t="str">
            <v xml:space="preserve">Angkutan Umum </v>
          </cell>
        </row>
        <row r="459">
          <cell r="A459">
            <v>458</v>
          </cell>
          <cell r="C459" t="e">
            <v>#N/A</v>
          </cell>
          <cell r="D459" t="e">
            <v>#N/A</v>
          </cell>
          <cell r="E459" t="e">
            <v>#N/A</v>
          </cell>
          <cell r="F459" t="e">
            <v>#N/A</v>
          </cell>
          <cell r="G459" t="e">
            <v>#N/A</v>
          </cell>
          <cell r="H459" t="str">
            <v>Melakukan Monitoring dan Evaluasi ke AMIK Laksi-31</v>
          </cell>
          <cell r="I459" t="str">
            <v>DKI Jakarta</v>
          </cell>
          <cell r="J459" t="str">
            <v>DKI Jakarta</v>
          </cell>
          <cell r="K459">
            <v>1</v>
          </cell>
          <cell r="L459" t="str">
            <v>17 Desember 2018</v>
          </cell>
          <cell r="M459" t="str">
            <v>17 Desember 2018</v>
          </cell>
          <cell r="N459">
            <v>524114</v>
          </cell>
          <cell r="O459" t="str">
            <v>Belanja Perjalanan Dinas Paket Meeting Dalam Kota</v>
          </cell>
          <cell r="R459" t="str">
            <v>ya</v>
          </cell>
          <cell r="S459">
            <v>150000</v>
          </cell>
          <cell r="T459">
            <v>3138400</v>
          </cell>
          <cell r="U459" t="str">
            <v>ya</v>
          </cell>
          <cell r="V459">
            <v>0</v>
          </cell>
          <cell r="W459">
            <v>0</v>
          </cell>
          <cell r="X459">
            <v>0</v>
          </cell>
          <cell r="Z459">
            <v>0</v>
          </cell>
          <cell r="AB459">
            <v>0</v>
          </cell>
          <cell r="AD459">
            <v>0</v>
          </cell>
          <cell r="AF459">
            <v>0</v>
          </cell>
          <cell r="AH459" t="str">
            <v xml:space="preserve">Angkutan Umum </v>
          </cell>
        </row>
        <row r="460">
          <cell r="A460">
            <v>459</v>
          </cell>
          <cell r="C460" t="e">
            <v>#N/A</v>
          </cell>
          <cell r="D460" t="e">
            <v>#N/A</v>
          </cell>
          <cell r="E460" t="e">
            <v>#N/A</v>
          </cell>
          <cell r="F460" t="e">
            <v>#N/A</v>
          </cell>
          <cell r="G460" t="e">
            <v>#N/A</v>
          </cell>
          <cell r="H460" t="str">
            <v>Melakukan Monitoring dan Evaluasi ke AMIK Laksi-31</v>
          </cell>
          <cell r="I460" t="str">
            <v>DKI Jakarta</v>
          </cell>
          <cell r="J460" t="str">
            <v>DKI Jakarta</v>
          </cell>
          <cell r="K460">
            <v>1</v>
          </cell>
          <cell r="L460" t="str">
            <v>17 Desember 2018</v>
          </cell>
          <cell r="M460" t="str">
            <v>17 Desember 2018</v>
          </cell>
          <cell r="N460">
            <v>524114</v>
          </cell>
          <cell r="O460" t="str">
            <v>Belanja Perjalanan Dinas Paket Meeting Dalam Kota</v>
          </cell>
          <cell r="R460" t="str">
            <v>ya</v>
          </cell>
          <cell r="S460">
            <v>150000</v>
          </cell>
          <cell r="T460">
            <v>3138400</v>
          </cell>
          <cell r="U460" t="str">
            <v>ya</v>
          </cell>
          <cell r="V460">
            <v>0</v>
          </cell>
          <cell r="W460">
            <v>0</v>
          </cell>
          <cell r="X460">
            <v>0</v>
          </cell>
          <cell r="Z460">
            <v>0</v>
          </cell>
          <cell r="AB460">
            <v>0</v>
          </cell>
          <cell r="AD460">
            <v>0</v>
          </cell>
          <cell r="AF460">
            <v>0</v>
          </cell>
          <cell r="AH460" t="str">
            <v xml:space="preserve">Angkutan Umum </v>
          </cell>
        </row>
        <row r="461">
          <cell r="A461">
            <v>460</v>
          </cell>
          <cell r="C461" t="e">
            <v>#N/A</v>
          </cell>
          <cell r="D461" t="e">
            <v>#N/A</v>
          </cell>
          <cell r="E461" t="e">
            <v>#N/A</v>
          </cell>
          <cell r="F461" t="e">
            <v>#N/A</v>
          </cell>
          <cell r="G461" t="e">
            <v>#N/A</v>
          </cell>
          <cell r="H461" t="str">
            <v>Melakukan Monitoring dan Evaluasi ke AMIK Laksi-31</v>
          </cell>
          <cell r="I461" t="str">
            <v>DKI Jakarta</v>
          </cell>
          <cell r="J461" t="str">
            <v>DKI Jakarta</v>
          </cell>
          <cell r="K461">
            <v>1</v>
          </cell>
          <cell r="L461" t="str">
            <v>17 Desember 2018</v>
          </cell>
          <cell r="M461" t="str">
            <v>17 Desember 2018</v>
          </cell>
          <cell r="N461">
            <v>524114</v>
          </cell>
          <cell r="O461" t="str">
            <v>Belanja Perjalanan Dinas Paket Meeting Dalam Kota</v>
          </cell>
          <cell r="R461" t="str">
            <v>ya</v>
          </cell>
          <cell r="S461">
            <v>150000</v>
          </cell>
          <cell r="T461">
            <v>3138400</v>
          </cell>
          <cell r="U461" t="str">
            <v>ya</v>
          </cell>
          <cell r="V461">
            <v>0</v>
          </cell>
          <cell r="W461">
            <v>0</v>
          </cell>
          <cell r="X461">
            <v>0</v>
          </cell>
          <cell r="Z461">
            <v>0</v>
          </cell>
          <cell r="AB461">
            <v>0</v>
          </cell>
          <cell r="AD461">
            <v>0</v>
          </cell>
          <cell r="AE461" t="str">
            <v>ya</v>
          </cell>
          <cell r="AF461">
            <v>210000</v>
          </cell>
          <cell r="AH461" t="str">
            <v xml:space="preserve">Angkutan Umum </v>
          </cell>
        </row>
        <row r="462">
          <cell r="A462">
            <v>461</v>
          </cell>
          <cell r="C462" t="e">
            <v>#N/A</v>
          </cell>
          <cell r="D462" t="e">
            <v>#N/A</v>
          </cell>
          <cell r="E462" t="e">
            <v>#N/A</v>
          </cell>
          <cell r="F462" t="e">
            <v>#N/A</v>
          </cell>
          <cell r="G462" t="e">
            <v>#N/A</v>
          </cell>
          <cell r="H462" t="str">
            <v>Melakukan Monitoring dan Evaluasi ke AMIK Laksi-31</v>
          </cell>
          <cell r="I462" t="str">
            <v>DKI Jakarta</v>
          </cell>
          <cell r="J462" t="str">
            <v>DKI Jakarta</v>
          </cell>
          <cell r="K462">
            <v>1</v>
          </cell>
          <cell r="L462" t="str">
            <v>17 Desember 2018</v>
          </cell>
          <cell r="M462" t="str">
            <v>17 Desember 2018</v>
          </cell>
          <cell r="N462">
            <v>524114</v>
          </cell>
          <cell r="O462" t="str">
            <v>Belanja Perjalanan Dinas Paket Meeting Dalam Kota</v>
          </cell>
          <cell r="R462" t="str">
            <v>ya</v>
          </cell>
          <cell r="S462">
            <v>150000</v>
          </cell>
          <cell r="T462">
            <v>3138400</v>
          </cell>
          <cell r="U462" t="str">
            <v>ya</v>
          </cell>
          <cell r="V462">
            <v>0</v>
          </cell>
          <cell r="W462">
            <v>0</v>
          </cell>
          <cell r="X462">
            <v>0</v>
          </cell>
          <cell r="Z462">
            <v>0</v>
          </cell>
          <cell r="AB462">
            <v>0</v>
          </cell>
          <cell r="AD462">
            <v>0</v>
          </cell>
          <cell r="AE462" t="str">
            <v>ya</v>
          </cell>
          <cell r="AF462">
            <v>210000</v>
          </cell>
          <cell r="AH462" t="str">
            <v xml:space="preserve">Angkutan Umum </v>
          </cell>
        </row>
        <row r="463">
          <cell r="A463">
            <v>462</v>
          </cell>
          <cell r="C463" t="e">
            <v>#N/A</v>
          </cell>
          <cell r="D463" t="e">
            <v>#N/A</v>
          </cell>
          <cell r="E463" t="e">
            <v>#N/A</v>
          </cell>
          <cell r="F463" t="e">
            <v>#N/A</v>
          </cell>
          <cell r="G463" t="e">
            <v>#N/A</v>
          </cell>
          <cell r="H463" t="str">
            <v>Melakukan Monitoring dan Evaluasi ke AMIK Laksi-31</v>
          </cell>
          <cell r="I463" t="str">
            <v>DKI Jakarta</v>
          </cell>
          <cell r="J463" t="str">
            <v>DKI Jakarta</v>
          </cell>
          <cell r="K463">
            <v>1</v>
          </cell>
          <cell r="L463" t="str">
            <v>17 Desember 2018</v>
          </cell>
          <cell r="M463" t="str">
            <v>17 Desember 2018</v>
          </cell>
          <cell r="N463">
            <v>524114</v>
          </cell>
          <cell r="O463" t="str">
            <v>Belanja Perjalanan Dinas Paket Meeting Dalam Kota</v>
          </cell>
          <cell r="R463" t="str">
            <v>ya</v>
          </cell>
          <cell r="S463">
            <v>150000</v>
          </cell>
          <cell r="T463">
            <v>3138400</v>
          </cell>
          <cell r="U463" t="str">
            <v>ya</v>
          </cell>
          <cell r="V463">
            <v>0</v>
          </cell>
          <cell r="W463">
            <v>0</v>
          </cell>
          <cell r="X463">
            <v>0</v>
          </cell>
          <cell r="Z463">
            <v>0</v>
          </cell>
          <cell r="AB463">
            <v>0</v>
          </cell>
          <cell r="AD463">
            <v>0</v>
          </cell>
          <cell r="AE463" t="str">
            <v>ya</v>
          </cell>
          <cell r="AF463">
            <v>210000</v>
          </cell>
          <cell r="AH463" t="str">
            <v xml:space="preserve">Angkutan Umum </v>
          </cell>
        </row>
        <row r="464">
          <cell r="A464">
            <v>463</v>
          </cell>
          <cell r="C464" t="e">
            <v>#N/A</v>
          </cell>
          <cell r="D464" t="e">
            <v>#N/A</v>
          </cell>
          <cell r="E464" t="e">
            <v>#N/A</v>
          </cell>
          <cell r="F464" t="e">
            <v>#N/A</v>
          </cell>
          <cell r="G464" t="e">
            <v>#N/A</v>
          </cell>
          <cell r="H464" t="str">
            <v xml:space="preserve">Melakukan Monitoring dan Evaluasi ke Akademi Pariwisata Sinar Surya </v>
          </cell>
          <cell r="I464" t="str">
            <v>DKI Jakarta</v>
          </cell>
          <cell r="J464" t="str">
            <v>DKI Jakarta</v>
          </cell>
          <cell r="K464">
            <v>1</v>
          </cell>
          <cell r="L464" t="str">
            <v>19 Desember 2018</v>
          </cell>
          <cell r="M464" t="str">
            <v>19 Desember 2018</v>
          </cell>
          <cell r="N464">
            <v>524114</v>
          </cell>
          <cell r="O464" t="str">
            <v>Belanja Perjalanan Dinas Paket Meeting Dalam Kota</v>
          </cell>
          <cell r="R464" t="str">
            <v>ya</v>
          </cell>
          <cell r="S464">
            <v>150000</v>
          </cell>
          <cell r="T464">
            <v>3138400</v>
          </cell>
          <cell r="U464" t="str">
            <v>ya</v>
          </cell>
          <cell r="V464">
            <v>0</v>
          </cell>
          <cell r="W464">
            <v>0</v>
          </cell>
          <cell r="X464">
            <v>0</v>
          </cell>
          <cell r="Z464">
            <v>0</v>
          </cell>
          <cell r="AB464">
            <v>0</v>
          </cell>
          <cell r="AD464">
            <v>0</v>
          </cell>
          <cell r="AE464" t="str">
            <v>ya</v>
          </cell>
          <cell r="AF464">
            <v>210000</v>
          </cell>
          <cell r="AH464" t="str">
            <v xml:space="preserve">Angkutan Umum </v>
          </cell>
        </row>
        <row r="465">
          <cell r="A465">
            <v>464</v>
          </cell>
          <cell r="C465" t="e">
            <v>#N/A</v>
          </cell>
          <cell r="D465" t="e">
            <v>#N/A</v>
          </cell>
          <cell r="E465" t="e">
            <v>#N/A</v>
          </cell>
          <cell r="F465" t="e">
            <v>#N/A</v>
          </cell>
          <cell r="G465" t="e">
            <v>#N/A</v>
          </cell>
          <cell r="H465" t="str">
            <v xml:space="preserve">Melakukan Monitoring dan Evaluasi ke Akademi Pariwisata Sinar Surya </v>
          </cell>
          <cell r="I465" t="str">
            <v>DKI Jakarta</v>
          </cell>
          <cell r="J465" t="str">
            <v>DKI Jakarta</v>
          </cell>
          <cell r="K465">
            <v>1</v>
          </cell>
          <cell r="L465" t="str">
            <v>19 Desember 2018</v>
          </cell>
          <cell r="M465" t="str">
            <v>19 Desember 2018</v>
          </cell>
          <cell r="N465">
            <v>524114</v>
          </cell>
          <cell r="O465" t="str">
            <v>Belanja Perjalanan Dinas Paket Meeting Dalam Kota</v>
          </cell>
          <cell r="R465" t="str">
            <v>ya</v>
          </cell>
          <cell r="S465">
            <v>150000</v>
          </cell>
          <cell r="T465">
            <v>3138400</v>
          </cell>
          <cell r="U465" t="str">
            <v>ya</v>
          </cell>
          <cell r="V465">
            <v>0</v>
          </cell>
          <cell r="W465">
            <v>0</v>
          </cell>
          <cell r="X465">
            <v>0</v>
          </cell>
          <cell r="Z465">
            <v>0</v>
          </cell>
          <cell r="AB465">
            <v>0</v>
          </cell>
          <cell r="AD465">
            <v>0</v>
          </cell>
          <cell r="AE465" t="str">
            <v>ya</v>
          </cell>
          <cell r="AF465">
            <v>210000</v>
          </cell>
          <cell r="AH465" t="str">
            <v xml:space="preserve">Angkutan Umum </v>
          </cell>
        </row>
        <row r="466">
          <cell r="A466">
            <v>465</v>
          </cell>
          <cell r="C466" t="e">
            <v>#N/A</v>
          </cell>
          <cell r="D466" t="e">
            <v>#N/A</v>
          </cell>
          <cell r="E466" t="e">
            <v>#N/A</v>
          </cell>
          <cell r="F466" t="e">
            <v>#N/A</v>
          </cell>
          <cell r="G466" t="e">
            <v>#N/A</v>
          </cell>
          <cell r="H466" t="str">
            <v xml:space="preserve">Melakukan Monitoring dan Evaluasi ke Akademi Pariwisata Sinar Surya </v>
          </cell>
          <cell r="I466" t="str">
            <v>DKI Jakarta</v>
          </cell>
          <cell r="J466" t="str">
            <v>DKI Jakarta</v>
          </cell>
          <cell r="K466">
            <v>1</v>
          </cell>
          <cell r="L466" t="str">
            <v>19 Desember 2018</v>
          </cell>
          <cell r="M466" t="str">
            <v>19 Desember 2018</v>
          </cell>
          <cell r="N466">
            <v>524114</v>
          </cell>
          <cell r="O466" t="str">
            <v>Belanja Perjalanan Dinas Paket Meeting Dalam Kota</v>
          </cell>
          <cell r="R466" t="str">
            <v>ya</v>
          </cell>
          <cell r="S466">
            <v>150000</v>
          </cell>
          <cell r="T466">
            <v>3138400</v>
          </cell>
          <cell r="U466" t="str">
            <v>ya</v>
          </cell>
          <cell r="V466">
            <v>0</v>
          </cell>
          <cell r="W466">
            <v>0</v>
          </cell>
          <cell r="X466">
            <v>0</v>
          </cell>
          <cell r="Z466">
            <v>0</v>
          </cell>
          <cell r="AB466">
            <v>0</v>
          </cell>
          <cell r="AD466">
            <v>0</v>
          </cell>
          <cell r="AE466" t="str">
            <v>ya</v>
          </cell>
          <cell r="AF466">
            <v>210000</v>
          </cell>
          <cell r="AH466" t="str">
            <v xml:space="preserve">Angkutan Umum </v>
          </cell>
        </row>
        <row r="467">
          <cell r="A467">
            <v>466</v>
          </cell>
          <cell r="C467" t="e">
            <v>#N/A</v>
          </cell>
          <cell r="D467" t="e">
            <v>#N/A</v>
          </cell>
          <cell r="E467" t="e">
            <v>#N/A</v>
          </cell>
          <cell r="F467" t="e">
            <v>#N/A</v>
          </cell>
          <cell r="G467" t="e">
            <v>#N/A</v>
          </cell>
          <cell r="H467" t="str">
            <v xml:space="preserve">Melakukan Monitoring dan Evaluasi ke Akademi Pariwisata Sinar Surya </v>
          </cell>
          <cell r="I467" t="str">
            <v>DKI Jakarta</v>
          </cell>
          <cell r="J467" t="str">
            <v>DKI Jakarta</v>
          </cell>
          <cell r="K467">
            <v>1</v>
          </cell>
          <cell r="L467" t="str">
            <v>19 Desember 2018</v>
          </cell>
          <cell r="M467" t="str">
            <v>19 Desember 2018</v>
          </cell>
          <cell r="N467">
            <v>524114</v>
          </cell>
          <cell r="O467" t="str">
            <v>Belanja Perjalanan Dinas Paket Meeting Dalam Kota</v>
          </cell>
          <cell r="R467" t="str">
            <v>ya</v>
          </cell>
          <cell r="S467">
            <v>150000</v>
          </cell>
          <cell r="T467">
            <v>3138400</v>
          </cell>
          <cell r="U467" t="str">
            <v>ya</v>
          </cell>
          <cell r="V467">
            <v>0</v>
          </cell>
          <cell r="W467">
            <v>0</v>
          </cell>
          <cell r="X467">
            <v>0</v>
          </cell>
          <cell r="Z467">
            <v>0</v>
          </cell>
          <cell r="AB467">
            <v>0</v>
          </cell>
          <cell r="AD467">
            <v>0</v>
          </cell>
          <cell r="AE467" t="str">
            <v>ya</v>
          </cell>
          <cell r="AF467">
            <v>210000</v>
          </cell>
          <cell r="AH467" t="str">
            <v xml:space="preserve">Angkutan Umum </v>
          </cell>
        </row>
        <row r="468">
          <cell r="A468">
            <v>467</v>
          </cell>
          <cell r="C468" t="e">
            <v>#N/A</v>
          </cell>
          <cell r="D468" t="e">
            <v>#N/A</v>
          </cell>
          <cell r="E468" t="e">
            <v>#N/A</v>
          </cell>
          <cell r="F468" t="e">
            <v>#N/A</v>
          </cell>
          <cell r="G468" t="e">
            <v>#N/A</v>
          </cell>
          <cell r="H468" t="str">
            <v>Melakukan Monitoring dan Evaluasi ke Sekolah Tinggi Ilmu Ekonomi Jakarta International College</v>
          </cell>
          <cell r="I468" t="str">
            <v>DKI Jakarta</v>
          </cell>
          <cell r="J468" t="str">
            <v>DKI Jakarta</v>
          </cell>
          <cell r="K468">
            <v>1</v>
          </cell>
          <cell r="L468" t="str">
            <v>19 Desember 2018</v>
          </cell>
          <cell r="M468" t="str">
            <v>19 Desember 2018</v>
          </cell>
          <cell r="N468">
            <v>524114</v>
          </cell>
          <cell r="O468" t="str">
            <v>Belanja Perjalanan Dinas Paket Meeting Dalam Kota</v>
          </cell>
          <cell r="R468" t="str">
            <v>ya</v>
          </cell>
          <cell r="S468">
            <v>150000</v>
          </cell>
          <cell r="T468">
            <v>3138400</v>
          </cell>
          <cell r="U468" t="str">
            <v>ya</v>
          </cell>
          <cell r="V468">
            <v>0</v>
          </cell>
          <cell r="W468">
            <v>0</v>
          </cell>
          <cell r="X468">
            <v>0</v>
          </cell>
          <cell r="Z468">
            <v>0</v>
          </cell>
          <cell r="AB468">
            <v>0</v>
          </cell>
          <cell r="AD468">
            <v>0</v>
          </cell>
          <cell r="AE468" t="str">
            <v>ya</v>
          </cell>
          <cell r="AF468">
            <v>210000</v>
          </cell>
          <cell r="AH468" t="str">
            <v xml:space="preserve">Angkutan Umum </v>
          </cell>
        </row>
        <row r="469">
          <cell r="A469">
            <v>468</v>
          </cell>
          <cell r="C469" t="e">
            <v>#N/A</v>
          </cell>
          <cell r="D469" t="e">
            <v>#N/A</v>
          </cell>
          <cell r="E469" t="e">
            <v>#N/A</v>
          </cell>
          <cell r="F469" t="e">
            <v>#N/A</v>
          </cell>
          <cell r="G469" t="e">
            <v>#N/A</v>
          </cell>
          <cell r="H469" t="str">
            <v>Melakukan Monitoring dan Evaluasi ke Sekolah Tinggi Ilmu Ekonomi Jakarta International College</v>
          </cell>
          <cell r="I469" t="str">
            <v>DKI Jakarta</v>
          </cell>
          <cell r="J469" t="str">
            <v>DKI Jakarta</v>
          </cell>
          <cell r="K469">
            <v>1</v>
          </cell>
          <cell r="L469" t="str">
            <v>19 Desember 2018</v>
          </cell>
          <cell r="M469" t="str">
            <v>19 Desember 2018</v>
          </cell>
          <cell r="N469">
            <v>524114</v>
          </cell>
          <cell r="O469" t="str">
            <v>Belanja Perjalanan Dinas Paket Meeting Dalam Kota</v>
          </cell>
          <cell r="R469" t="str">
            <v>ya</v>
          </cell>
          <cell r="S469">
            <v>150000</v>
          </cell>
          <cell r="T469">
            <v>3138400</v>
          </cell>
          <cell r="U469" t="str">
            <v>ya</v>
          </cell>
          <cell r="V469">
            <v>0</v>
          </cell>
          <cell r="W469">
            <v>0</v>
          </cell>
          <cell r="X469">
            <v>0</v>
          </cell>
          <cell r="Z469">
            <v>0</v>
          </cell>
          <cell r="AB469">
            <v>0</v>
          </cell>
          <cell r="AD469">
            <v>0</v>
          </cell>
          <cell r="AE469" t="str">
            <v>ya</v>
          </cell>
          <cell r="AF469">
            <v>210000</v>
          </cell>
          <cell r="AH469" t="str">
            <v xml:space="preserve">Angkutan Umum </v>
          </cell>
        </row>
        <row r="470">
          <cell r="A470">
            <v>469</v>
          </cell>
          <cell r="C470" t="e">
            <v>#N/A</v>
          </cell>
          <cell r="D470" t="e">
            <v>#N/A</v>
          </cell>
          <cell r="E470" t="e">
            <v>#N/A</v>
          </cell>
          <cell r="F470" t="e">
            <v>#N/A</v>
          </cell>
          <cell r="G470" t="e">
            <v>#N/A</v>
          </cell>
          <cell r="H470" t="str">
            <v>Melakukan Monitoring dan Evaluasi ke Sekolah Tinggi Ilmu Ekonomi Jakarta International College</v>
          </cell>
          <cell r="I470" t="str">
            <v>DKI Jakarta</v>
          </cell>
          <cell r="J470" t="str">
            <v>DKI Jakarta</v>
          </cell>
          <cell r="K470">
            <v>1</v>
          </cell>
          <cell r="L470" t="str">
            <v>19 Desember 2018</v>
          </cell>
          <cell r="M470" t="str">
            <v>19 Desember 2018</v>
          </cell>
          <cell r="N470">
            <v>524114</v>
          </cell>
          <cell r="O470" t="str">
            <v>Belanja Perjalanan Dinas Paket Meeting Dalam Kota</v>
          </cell>
          <cell r="R470" t="str">
            <v>ya</v>
          </cell>
          <cell r="S470">
            <v>150000</v>
          </cell>
          <cell r="T470">
            <v>3138400</v>
          </cell>
          <cell r="U470" t="str">
            <v>ya</v>
          </cell>
          <cell r="V470">
            <v>0</v>
          </cell>
          <cell r="W470">
            <v>0</v>
          </cell>
          <cell r="X470">
            <v>0</v>
          </cell>
          <cell r="Z470">
            <v>0</v>
          </cell>
          <cell r="AB470">
            <v>0</v>
          </cell>
          <cell r="AD470">
            <v>0</v>
          </cell>
          <cell r="AE470" t="str">
            <v>ya</v>
          </cell>
          <cell r="AF470">
            <v>210000</v>
          </cell>
          <cell r="AH470" t="str">
            <v xml:space="preserve">Angkutan Umum </v>
          </cell>
        </row>
        <row r="471">
          <cell r="A471">
            <v>470</v>
          </cell>
          <cell r="C471" t="e">
            <v>#N/A</v>
          </cell>
          <cell r="D471" t="e">
            <v>#N/A</v>
          </cell>
          <cell r="E471" t="e">
            <v>#N/A</v>
          </cell>
          <cell r="F471" t="e">
            <v>#N/A</v>
          </cell>
          <cell r="G471" t="e">
            <v>#N/A</v>
          </cell>
          <cell r="H471" t="str">
            <v>Melakukan Monitoring dan Evaluasi ke Sekolah Tinggi Ilmu Ekonomi Jakarta International College</v>
          </cell>
          <cell r="I471" t="str">
            <v>DKI Jakarta</v>
          </cell>
          <cell r="J471" t="str">
            <v>DKI Jakarta</v>
          </cell>
          <cell r="K471">
            <v>1</v>
          </cell>
          <cell r="L471" t="str">
            <v>19 Desember 2018</v>
          </cell>
          <cell r="M471" t="str">
            <v>19 Desember 2018</v>
          </cell>
          <cell r="N471">
            <v>524114</v>
          </cell>
          <cell r="O471" t="str">
            <v>Belanja Perjalanan Dinas Paket Meeting Dalam Kota</v>
          </cell>
          <cell r="R471" t="str">
            <v>ya</v>
          </cell>
          <cell r="S471">
            <v>150000</v>
          </cell>
          <cell r="T471">
            <v>3138400</v>
          </cell>
          <cell r="U471" t="str">
            <v>ya</v>
          </cell>
          <cell r="V471">
            <v>0</v>
          </cell>
          <cell r="W471">
            <v>0</v>
          </cell>
          <cell r="X471">
            <v>0</v>
          </cell>
          <cell r="Z471">
            <v>0</v>
          </cell>
          <cell r="AB471">
            <v>0</v>
          </cell>
          <cell r="AD471">
            <v>0</v>
          </cell>
          <cell r="AE471" t="str">
            <v>ya</v>
          </cell>
          <cell r="AF471">
            <v>210000</v>
          </cell>
          <cell r="AH471" t="str">
            <v xml:space="preserve">Angkutan Umum </v>
          </cell>
        </row>
        <row r="472">
          <cell r="A472">
            <v>471</v>
          </cell>
          <cell r="C472" t="e">
            <v>#N/A</v>
          </cell>
          <cell r="D472" t="e">
            <v>#N/A</v>
          </cell>
          <cell r="E472" t="e">
            <v>#N/A</v>
          </cell>
          <cell r="F472" t="e">
            <v>#N/A</v>
          </cell>
          <cell r="G472" t="e">
            <v>#N/A</v>
          </cell>
          <cell r="H472" t="str">
            <v>Melakukan Monitoring dan Evaluasi ke STIBA Indonesia LBI</v>
          </cell>
          <cell r="I472" t="str">
            <v>DKI Jakarta</v>
          </cell>
          <cell r="J472" t="str">
            <v>DKI Jakarta</v>
          </cell>
          <cell r="K472">
            <v>1</v>
          </cell>
          <cell r="L472" t="str">
            <v>20 Desember 2018</v>
          </cell>
          <cell r="M472" t="str">
            <v>20 Desember 2018</v>
          </cell>
          <cell r="N472">
            <v>524114</v>
          </cell>
          <cell r="O472" t="str">
            <v>Belanja Perjalanan Dinas Paket Meeting Dalam Kota</v>
          </cell>
          <cell r="R472" t="str">
            <v>ya</v>
          </cell>
          <cell r="S472">
            <v>150000</v>
          </cell>
          <cell r="T472">
            <v>3138400</v>
          </cell>
          <cell r="U472" t="str">
            <v>ya</v>
          </cell>
          <cell r="V472">
            <v>0</v>
          </cell>
          <cell r="W472">
            <v>0</v>
          </cell>
          <cell r="X472">
            <v>0</v>
          </cell>
          <cell r="Z472">
            <v>0</v>
          </cell>
          <cell r="AB472">
            <v>0</v>
          </cell>
          <cell r="AD472">
            <v>0</v>
          </cell>
          <cell r="AE472" t="str">
            <v>ya</v>
          </cell>
          <cell r="AF472">
            <v>210000</v>
          </cell>
          <cell r="AH472" t="str">
            <v xml:space="preserve">Angkutan Umum </v>
          </cell>
        </row>
        <row r="473">
          <cell r="A473">
            <v>472</v>
          </cell>
          <cell r="C473" t="e">
            <v>#N/A</v>
          </cell>
          <cell r="D473" t="e">
            <v>#N/A</v>
          </cell>
          <cell r="E473" t="e">
            <v>#N/A</v>
          </cell>
          <cell r="F473" t="e">
            <v>#N/A</v>
          </cell>
          <cell r="G473" t="e">
            <v>#N/A</v>
          </cell>
          <cell r="H473" t="str">
            <v>Melakukan Monitoring dan Evaluasi ke STIBA Indonesia LBI</v>
          </cell>
          <cell r="I473" t="str">
            <v>DKI Jakarta</v>
          </cell>
          <cell r="J473" t="str">
            <v>DKI Jakarta</v>
          </cell>
          <cell r="K473">
            <v>1</v>
          </cell>
          <cell r="L473" t="str">
            <v>20 Desember 2018</v>
          </cell>
          <cell r="M473" t="str">
            <v>20 Desember 2018</v>
          </cell>
          <cell r="N473">
            <v>524114</v>
          </cell>
          <cell r="O473" t="str">
            <v>Belanja Perjalanan Dinas Paket Meeting Dalam Kota</v>
          </cell>
          <cell r="R473" t="str">
            <v>ya</v>
          </cell>
          <cell r="S473">
            <v>150000</v>
          </cell>
          <cell r="T473">
            <v>3138400</v>
          </cell>
          <cell r="U473" t="str">
            <v>ya</v>
          </cell>
          <cell r="V473">
            <v>0</v>
          </cell>
          <cell r="W473">
            <v>0</v>
          </cell>
          <cell r="X473">
            <v>0</v>
          </cell>
          <cell r="Z473">
            <v>0</v>
          </cell>
          <cell r="AB473">
            <v>0</v>
          </cell>
          <cell r="AD473">
            <v>0</v>
          </cell>
          <cell r="AE473" t="str">
            <v>ya</v>
          </cell>
          <cell r="AF473">
            <v>210000</v>
          </cell>
          <cell r="AH473" t="str">
            <v xml:space="preserve">Angkutan Umum </v>
          </cell>
        </row>
        <row r="474">
          <cell r="A474">
            <v>473</v>
          </cell>
          <cell r="C474" t="e">
            <v>#N/A</v>
          </cell>
          <cell r="D474" t="e">
            <v>#N/A</v>
          </cell>
          <cell r="E474" t="e">
            <v>#N/A</v>
          </cell>
          <cell r="F474" t="e">
            <v>#N/A</v>
          </cell>
          <cell r="G474" t="e">
            <v>#N/A</v>
          </cell>
          <cell r="H474" t="str">
            <v>Melakukan Monitoring dan Evaluasi ke STIBA Indonesia LBI</v>
          </cell>
          <cell r="I474" t="str">
            <v>DKI Jakarta</v>
          </cell>
          <cell r="J474" t="str">
            <v>DKI Jakarta</v>
          </cell>
          <cell r="K474">
            <v>1</v>
          </cell>
          <cell r="L474" t="str">
            <v>20 Desember 2018</v>
          </cell>
          <cell r="M474" t="str">
            <v>20 Desember 2018</v>
          </cell>
          <cell r="N474">
            <v>524114</v>
          </cell>
          <cell r="O474" t="str">
            <v>Belanja Perjalanan Dinas Paket Meeting Dalam Kota</v>
          </cell>
          <cell r="R474" t="str">
            <v>ya</v>
          </cell>
          <cell r="S474">
            <v>150000</v>
          </cell>
          <cell r="T474">
            <v>3138400</v>
          </cell>
          <cell r="U474" t="str">
            <v>ya</v>
          </cell>
          <cell r="V474">
            <v>0</v>
          </cell>
          <cell r="W474">
            <v>0</v>
          </cell>
          <cell r="X474">
            <v>0</v>
          </cell>
          <cell r="Z474">
            <v>0</v>
          </cell>
          <cell r="AB474">
            <v>0</v>
          </cell>
          <cell r="AD474">
            <v>0</v>
          </cell>
          <cell r="AE474" t="str">
            <v>ya</v>
          </cell>
          <cell r="AF474">
            <v>210000</v>
          </cell>
          <cell r="AH474" t="str">
            <v xml:space="preserve">Angkutan Umum </v>
          </cell>
        </row>
        <row r="475">
          <cell r="A475">
            <v>474</v>
          </cell>
          <cell r="C475" t="e">
            <v>#N/A</v>
          </cell>
          <cell r="D475" t="e">
            <v>#N/A</v>
          </cell>
          <cell r="E475" t="e">
            <v>#N/A</v>
          </cell>
          <cell r="F475" t="e">
            <v>#N/A</v>
          </cell>
          <cell r="G475" t="e">
            <v>#N/A</v>
          </cell>
          <cell r="H475" t="str">
            <v>Melakukan Monitoring dan Evaluasi ke STIBA Indonesia LBI</v>
          </cell>
          <cell r="I475" t="str">
            <v>DKI Jakarta</v>
          </cell>
          <cell r="J475" t="str">
            <v>DKI Jakarta</v>
          </cell>
          <cell r="K475">
            <v>1</v>
          </cell>
          <cell r="L475" t="str">
            <v>20 Desember 2018</v>
          </cell>
          <cell r="M475" t="str">
            <v>20 Desember 2018</v>
          </cell>
          <cell r="N475">
            <v>524114</v>
          </cell>
          <cell r="O475" t="str">
            <v>Belanja Perjalanan Dinas Paket Meeting Dalam Kota</v>
          </cell>
          <cell r="R475" t="str">
            <v>ya</v>
          </cell>
          <cell r="S475">
            <v>150000</v>
          </cell>
          <cell r="T475">
            <v>3138400</v>
          </cell>
          <cell r="U475" t="str">
            <v>ya</v>
          </cell>
          <cell r="V475">
            <v>0</v>
          </cell>
          <cell r="W475">
            <v>0</v>
          </cell>
          <cell r="X475">
            <v>0</v>
          </cell>
          <cell r="Z475">
            <v>0</v>
          </cell>
          <cell r="AB475">
            <v>0</v>
          </cell>
          <cell r="AD475">
            <v>0</v>
          </cell>
          <cell r="AE475" t="str">
            <v>ya</v>
          </cell>
          <cell r="AF475">
            <v>210000</v>
          </cell>
          <cell r="AH475" t="str">
            <v xml:space="preserve">Angkutan Umum </v>
          </cell>
        </row>
        <row r="476">
          <cell r="A476">
            <v>475</v>
          </cell>
          <cell r="C476" t="e">
            <v>#N/A</v>
          </cell>
          <cell r="D476" t="e">
            <v>#N/A</v>
          </cell>
          <cell r="E476" t="e">
            <v>#N/A</v>
          </cell>
          <cell r="F476" t="e">
            <v>#N/A</v>
          </cell>
          <cell r="G476" t="e">
            <v>#N/A</v>
          </cell>
          <cell r="H476" t="str">
            <v>Melakukan Monitoring dan Evaluasi ke STIBA Indonesia LBI</v>
          </cell>
          <cell r="I476" t="str">
            <v>DKI Jakarta</v>
          </cell>
          <cell r="J476" t="str">
            <v>DKI Jakarta</v>
          </cell>
          <cell r="K476">
            <v>1</v>
          </cell>
          <cell r="L476" t="str">
            <v>20 Desember 2018</v>
          </cell>
          <cell r="M476" t="str">
            <v>20 Desember 2018</v>
          </cell>
          <cell r="N476">
            <v>524114</v>
          </cell>
          <cell r="O476" t="str">
            <v>Belanja Perjalanan Dinas Paket Meeting Dalam Kota</v>
          </cell>
          <cell r="R476" t="str">
            <v>ya</v>
          </cell>
          <cell r="S476">
            <v>150000</v>
          </cell>
          <cell r="T476">
            <v>3138400</v>
          </cell>
          <cell r="U476" t="str">
            <v>ya</v>
          </cell>
          <cell r="V476">
            <v>0</v>
          </cell>
          <cell r="W476">
            <v>0</v>
          </cell>
          <cell r="X476">
            <v>0</v>
          </cell>
          <cell r="Z476">
            <v>0</v>
          </cell>
          <cell r="AB476">
            <v>0</v>
          </cell>
          <cell r="AD476">
            <v>0</v>
          </cell>
          <cell r="AE476" t="str">
            <v>ya</v>
          </cell>
          <cell r="AF476">
            <v>210000</v>
          </cell>
          <cell r="AH476" t="str">
            <v xml:space="preserve">Angkutan Umum </v>
          </cell>
        </row>
        <row r="477">
          <cell r="A477">
            <v>476</v>
          </cell>
          <cell r="C477" t="e">
            <v>#N/A</v>
          </cell>
          <cell r="D477" t="e">
            <v>#N/A</v>
          </cell>
          <cell r="E477" t="e">
            <v>#N/A</v>
          </cell>
          <cell r="F477" t="e">
            <v>#N/A</v>
          </cell>
          <cell r="G477" t="e">
            <v>#N/A</v>
          </cell>
          <cell r="H477" t="str">
            <v>Melakukan Monitoring dan Evaluasi ke Politeknik Bentara Citra Bangsa</v>
          </cell>
          <cell r="I477" t="str">
            <v>DKI Jakarta</v>
          </cell>
          <cell r="J477" t="str">
            <v>DKI Jakarta</v>
          </cell>
          <cell r="K477">
            <v>1</v>
          </cell>
          <cell r="L477" t="str">
            <v>20 Desember 2018</v>
          </cell>
          <cell r="M477" t="str">
            <v>20 Desember 2018</v>
          </cell>
          <cell r="N477">
            <v>524114</v>
          </cell>
          <cell r="O477" t="str">
            <v>Belanja Perjalanan Dinas Paket Meeting Dalam Kota</v>
          </cell>
          <cell r="R477" t="str">
            <v>ya</v>
          </cell>
          <cell r="S477">
            <v>150000</v>
          </cell>
          <cell r="T477">
            <v>3138400</v>
          </cell>
          <cell r="U477" t="str">
            <v>ya</v>
          </cell>
          <cell r="V477">
            <v>0</v>
          </cell>
          <cell r="W477">
            <v>0</v>
          </cell>
          <cell r="X477">
            <v>0</v>
          </cell>
          <cell r="Z477">
            <v>0</v>
          </cell>
          <cell r="AB477">
            <v>0</v>
          </cell>
          <cell r="AD477">
            <v>0</v>
          </cell>
          <cell r="AE477" t="str">
            <v>ya</v>
          </cell>
          <cell r="AF477">
            <v>210000</v>
          </cell>
          <cell r="AH477" t="str">
            <v xml:space="preserve">Angkutan Umum </v>
          </cell>
        </row>
        <row r="478">
          <cell r="A478">
            <v>477</v>
          </cell>
          <cell r="C478" t="e">
            <v>#N/A</v>
          </cell>
          <cell r="D478" t="e">
            <v>#N/A</v>
          </cell>
          <cell r="E478" t="e">
            <v>#N/A</v>
          </cell>
          <cell r="F478" t="e">
            <v>#N/A</v>
          </cell>
          <cell r="G478" t="e">
            <v>#N/A</v>
          </cell>
          <cell r="H478" t="str">
            <v>Melakukan Monitoring dan Evaluasi ke Politeknik Bentara Citra Bangsa</v>
          </cell>
          <cell r="I478" t="str">
            <v>DKI Jakarta</v>
          </cell>
          <cell r="J478" t="str">
            <v>DKI Jakarta</v>
          </cell>
          <cell r="K478">
            <v>1</v>
          </cell>
          <cell r="L478" t="str">
            <v>20 Desember 2018</v>
          </cell>
          <cell r="M478" t="str">
            <v>20 Desember 2018</v>
          </cell>
          <cell r="N478">
            <v>524114</v>
          </cell>
          <cell r="O478" t="str">
            <v>Belanja Perjalanan Dinas Paket Meeting Dalam Kota</v>
          </cell>
          <cell r="R478" t="str">
            <v>ya</v>
          </cell>
          <cell r="S478">
            <v>150000</v>
          </cell>
          <cell r="T478">
            <v>3138400</v>
          </cell>
          <cell r="U478" t="str">
            <v>ya</v>
          </cell>
          <cell r="V478">
            <v>0</v>
          </cell>
          <cell r="W478">
            <v>0</v>
          </cell>
          <cell r="X478">
            <v>0</v>
          </cell>
          <cell r="Z478">
            <v>0</v>
          </cell>
          <cell r="AB478">
            <v>0</v>
          </cell>
          <cell r="AD478">
            <v>0</v>
          </cell>
          <cell r="AE478" t="str">
            <v>ya</v>
          </cell>
          <cell r="AF478">
            <v>210000</v>
          </cell>
          <cell r="AH478" t="str">
            <v xml:space="preserve">Angkutan Umum </v>
          </cell>
        </row>
        <row r="479">
          <cell r="A479">
            <v>478</v>
          </cell>
          <cell r="C479" t="e">
            <v>#N/A</v>
          </cell>
          <cell r="D479" t="e">
            <v>#N/A</v>
          </cell>
          <cell r="E479" t="e">
            <v>#N/A</v>
          </cell>
          <cell r="F479" t="e">
            <v>#N/A</v>
          </cell>
          <cell r="G479" t="e">
            <v>#N/A</v>
          </cell>
          <cell r="H479" t="str">
            <v>Melakukan Monitoring dan Evaluasi ke Politeknik Bentara Citra Bangsa</v>
          </cell>
          <cell r="I479" t="str">
            <v>DKI Jakarta</v>
          </cell>
          <cell r="J479" t="str">
            <v>DKI Jakarta</v>
          </cell>
          <cell r="K479">
            <v>1</v>
          </cell>
          <cell r="L479" t="str">
            <v>20 Desember 2018</v>
          </cell>
          <cell r="M479" t="str">
            <v>20 Desember 2018</v>
          </cell>
          <cell r="N479">
            <v>524114</v>
          </cell>
          <cell r="O479" t="str">
            <v>Belanja Perjalanan Dinas Paket Meeting Dalam Kota</v>
          </cell>
          <cell r="R479" t="str">
            <v>ya</v>
          </cell>
          <cell r="S479">
            <v>150000</v>
          </cell>
          <cell r="T479">
            <v>3138400</v>
          </cell>
          <cell r="U479" t="str">
            <v>ya</v>
          </cell>
          <cell r="V479">
            <v>0</v>
          </cell>
          <cell r="W479">
            <v>0</v>
          </cell>
          <cell r="X479">
            <v>0</v>
          </cell>
          <cell r="Z479">
            <v>0</v>
          </cell>
          <cell r="AB479">
            <v>0</v>
          </cell>
          <cell r="AD479">
            <v>0</v>
          </cell>
          <cell r="AE479" t="str">
            <v>ya</v>
          </cell>
          <cell r="AF479">
            <v>210000</v>
          </cell>
          <cell r="AH479" t="str">
            <v xml:space="preserve">Angkutan Umum </v>
          </cell>
        </row>
        <row r="480">
          <cell r="A480">
            <v>479</v>
          </cell>
          <cell r="C480" t="e">
            <v>#N/A</v>
          </cell>
          <cell r="D480" t="e">
            <v>#N/A</v>
          </cell>
          <cell r="E480" t="e">
            <v>#N/A</v>
          </cell>
          <cell r="F480" t="e">
            <v>#N/A</v>
          </cell>
          <cell r="G480" t="e">
            <v>#N/A</v>
          </cell>
          <cell r="H480" t="str">
            <v>Melakukan Monitoring dan Evaluasi ke Politeknik Bentara Citra Bangsa</v>
          </cell>
          <cell r="I480" t="str">
            <v>DKI Jakarta</v>
          </cell>
          <cell r="J480" t="str">
            <v>DKI Jakarta</v>
          </cell>
          <cell r="K480">
            <v>1</v>
          </cell>
          <cell r="L480" t="str">
            <v>20 Desember 2018</v>
          </cell>
          <cell r="M480" t="str">
            <v>20 Desember 2018</v>
          </cell>
          <cell r="N480">
            <v>524114</v>
          </cell>
          <cell r="O480" t="str">
            <v>Belanja Perjalanan Dinas Paket Meeting Dalam Kota</v>
          </cell>
          <cell r="R480" t="str">
            <v>ya</v>
          </cell>
          <cell r="S480">
            <v>150000</v>
          </cell>
          <cell r="T480">
            <v>3138400</v>
          </cell>
          <cell r="U480" t="str">
            <v>ya</v>
          </cell>
          <cell r="V480">
            <v>0</v>
          </cell>
          <cell r="W480">
            <v>0</v>
          </cell>
          <cell r="X480">
            <v>0</v>
          </cell>
          <cell r="Z480">
            <v>0</v>
          </cell>
          <cell r="AB480">
            <v>0</v>
          </cell>
          <cell r="AD480">
            <v>0</v>
          </cell>
          <cell r="AE480" t="str">
            <v>ya</v>
          </cell>
          <cell r="AF480">
            <v>210000</v>
          </cell>
          <cell r="AH480" t="str">
            <v xml:space="preserve">Angkutan Umum </v>
          </cell>
        </row>
        <row r="481">
          <cell r="A481">
            <v>480</v>
          </cell>
          <cell r="C481" t="e">
            <v>#N/A</v>
          </cell>
          <cell r="D481" t="e">
            <v>#N/A</v>
          </cell>
          <cell r="E481" t="e">
            <v>#N/A</v>
          </cell>
          <cell r="F481" t="e">
            <v>#N/A</v>
          </cell>
          <cell r="G481" t="e">
            <v>#N/A</v>
          </cell>
          <cell r="H481" t="str">
            <v xml:space="preserve">Melakukan Monitoring dan Evaluasi ke Akademi Seni Rupa dan Desain ISWI Jakarta </v>
          </cell>
          <cell r="I481" t="str">
            <v>DKI Jakarta</v>
          </cell>
          <cell r="J481" t="str">
            <v>DKI Jakarta</v>
          </cell>
          <cell r="K481">
            <v>1</v>
          </cell>
          <cell r="L481" t="str">
            <v>21 Desember 2018</v>
          </cell>
          <cell r="M481" t="str">
            <v>21 Desember 2018</v>
          </cell>
          <cell r="N481">
            <v>524114</v>
          </cell>
          <cell r="O481" t="str">
            <v>Belanja Perjalanan Dinas Paket Meeting Dalam Kota</v>
          </cell>
          <cell r="R481" t="str">
            <v>ya</v>
          </cell>
          <cell r="S481">
            <v>150000</v>
          </cell>
          <cell r="T481">
            <v>3138400</v>
          </cell>
          <cell r="U481" t="str">
            <v>ya</v>
          </cell>
          <cell r="V481">
            <v>0</v>
          </cell>
          <cell r="W481">
            <v>0</v>
          </cell>
          <cell r="X481">
            <v>0</v>
          </cell>
          <cell r="Z481">
            <v>0</v>
          </cell>
          <cell r="AB481">
            <v>0</v>
          </cell>
          <cell r="AD481">
            <v>0</v>
          </cell>
          <cell r="AE481" t="str">
            <v>ya</v>
          </cell>
          <cell r="AF481">
            <v>210000</v>
          </cell>
          <cell r="AH481" t="str">
            <v xml:space="preserve">Angkutan Umum </v>
          </cell>
        </row>
        <row r="482">
          <cell r="A482">
            <v>481</v>
          </cell>
          <cell r="C482" t="e">
            <v>#N/A</v>
          </cell>
          <cell r="D482" t="e">
            <v>#N/A</v>
          </cell>
          <cell r="E482" t="e">
            <v>#N/A</v>
          </cell>
          <cell r="F482" t="e">
            <v>#N/A</v>
          </cell>
          <cell r="G482" t="e">
            <v>#N/A</v>
          </cell>
          <cell r="H482" t="str">
            <v xml:space="preserve">Melakukan Monitoring dan Evaluasi ke Akademi Seni Rupa dan Desain ISWI Jakarta </v>
          </cell>
          <cell r="I482" t="str">
            <v>DKI Jakarta</v>
          </cell>
          <cell r="J482" t="str">
            <v>DKI Jakarta</v>
          </cell>
          <cell r="K482">
            <v>1</v>
          </cell>
          <cell r="L482" t="str">
            <v>21 Desember 2018</v>
          </cell>
          <cell r="M482" t="str">
            <v>21 Desember 2018</v>
          </cell>
          <cell r="N482">
            <v>524114</v>
          </cell>
          <cell r="O482" t="str">
            <v>Belanja Perjalanan Dinas Paket Meeting Dalam Kota</v>
          </cell>
          <cell r="R482" t="str">
            <v>ya</v>
          </cell>
          <cell r="S482">
            <v>150000</v>
          </cell>
          <cell r="T482">
            <v>3138400</v>
          </cell>
          <cell r="U482" t="str">
            <v>ya</v>
          </cell>
          <cell r="V482">
            <v>0</v>
          </cell>
          <cell r="W482">
            <v>0</v>
          </cell>
          <cell r="X482">
            <v>0</v>
          </cell>
          <cell r="Z482">
            <v>0</v>
          </cell>
          <cell r="AB482">
            <v>0</v>
          </cell>
          <cell r="AD482">
            <v>0</v>
          </cell>
          <cell r="AE482" t="str">
            <v>ya</v>
          </cell>
          <cell r="AF482">
            <v>210000</v>
          </cell>
          <cell r="AH482" t="str">
            <v xml:space="preserve">Angkutan Umum </v>
          </cell>
        </row>
        <row r="483">
          <cell r="A483">
            <v>482</v>
          </cell>
          <cell r="C483" t="e">
            <v>#N/A</v>
          </cell>
          <cell r="D483" t="e">
            <v>#N/A</v>
          </cell>
          <cell r="E483" t="e">
            <v>#N/A</v>
          </cell>
          <cell r="F483" t="e">
            <v>#N/A</v>
          </cell>
          <cell r="G483" t="e">
            <v>#N/A</v>
          </cell>
          <cell r="H483" t="str">
            <v xml:space="preserve">Melakukan Monitoring dan Evaluasi ke Akademi Seni Rupa dan Desain ISWI Jakarta </v>
          </cell>
          <cell r="I483" t="str">
            <v>DKI Jakarta</v>
          </cell>
          <cell r="J483" t="str">
            <v>DKI Jakarta</v>
          </cell>
          <cell r="K483">
            <v>1</v>
          </cell>
          <cell r="L483" t="str">
            <v>21 Desember 2018</v>
          </cell>
          <cell r="M483" t="str">
            <v>21 Desember 2018</v>
          </cell>
          <cell r="N483">
            <v>524114</v>
          </cell>
          <cell r="O483" t="str">
            <v>Belanja Perjalanan Dinas Paket Meeting Dalam Kota</v>
          </cell>
          <cell r="R483" t="str">
            <v>ya</v>
          </cell>
          <cell r="S483">
            <v>150000</v>
          </cell>
          <cell r="T483">
            <v>3138400</v>
          </cell>
          <cell r="U483" t="str">
            <v>ya</v>
          </cell>
          <cell r="V483">
            <v>0</v>
          </cell>
          <cell r="W483">
            <v>0</v>
          </cell>
          <cell r="X483">
            <v>0</v>
          </cell>
          <cell r="Z483">
            <v>0</v>
          </cell>
          <cell r="AB483">
            <v>0</v>
          </cell>
          <cell r="AD483">
            <v>0</v>
          </cell>
          <cell r="AE483" t="str">
            <v>ya</v>
          </cell>
          <cell r="AF483">
            <v>210000</v>
          </cell>
          <cell r="AH483" t="str">
            <v xml:space="preserve">Angkutan Umum </v>
          </cell>
        </row>
        <row r="484">
          <cell r="A484">
            <v>483</v>
          </cell>
          <cell r="C484" t="e">
            <v>#N/A</v>
          </cell>
          <cell r="D484" t="e">
            <v>#N/A</v>
          </cell>
          <cell r="E484" t="e">
            <v>#N/A</v>
          </cell>
          <cell r="F484" t="e">
            <v>#N/A</v>
          </cell>
          <cell r="G484" t="e">
            <v>#N/A</v>
          </cell>
          <cell r="H484" t="str">
            <v xml:space="preserve">Melakukan Monitoring dan Evaluasi ke Akademi Seni Rupa dan Desain ISWI Jakarta </v>
          </cell>
          <cell r="I484" t="str">
            <v>DKI Jakarta</v>
          </cell>
          <cell r="J484" t="str">
            <v>DKI Jakarta</v>
          </cell>
          <cell r="K484">
            <v>1</v>
          </cell>
          <cell r="L484" t="str">
            <v>21 Desember 2018</v>
          </cell>
          <cell r="M484" t="str">
            <v>21 Desember 2018</v>
          </cell>
          <cell r="N484">
            <v>524114</v>
          </cell>
          <cell r="O484" t="str">
            <v>Belanja Perjalanan Dinas Paket Meeting Dalam Kota</v>
          </cell>
          <cell r="R484" t="str">
            <v>ya</v>
          </cell>
          <cell r="S484">
            <v>150000</v>
          </cell>
          <cell r="T484">
            <v>3138400</v>
          </cell>
          <cell r="U484" t="str">
            <v>ya</v>
          </cell>
          <cell r="V484">
            <v>0</v>
          </cell>
          <cell r="W484">
            <v>0</v>
          </cell>
          <cell r="X484">
            <v>0</v>
          </cell>
          <cell r="Z484">
            <v>0</v>
          </cell>
          <cell r="AB484">
            <v>0</v>
          </cell>
          <cell r="AD484">
            <v>0</v>
          </cell>
          <cell r="AE484" t="str">
            <v>ya</v>
          </cell>
          <cell r="AF484">
            <v>210000</v>
          </cell>
          <cell r="AH484" t="str">
            <v xml:space="preserve">Angkutan Umum </v>
          </cell>
        </row>
        <row r="485">
          <cell r="A485">
            <v>484</v>
          </cell>
          <cell r="C485" t="e">
            <v>#N/A</v>
          </cell>
          <cell r="D485" t="e">
            <v>#N/A</v>
          </cell>
          <cell r="E485" t="e">
            <v>#N/A</v>
          </cell>
          <cell r="F485" t="e">
            <v>#N/A</v>
          </cell>
          <cell r="G485" t="e">
            <v>#N/A</v>
          </cell>
          <cell r="H485" t="str">
            <v xml:space="preserve">Melakukan Monitoring dan Evaluasi ke Akademi Seni Rupa dan Desain ISWI Jakarta </v>
          </cell>
          <cell r="I485" t="str">
            <v>DKI Jakarta</v>
          </cell>
          <cell r="J485" t="str">
            <v>DKI Jakarta</v>
          </cell>
          <cell r="K485">
            <v>1</v>
          </cell>
          <cell r="L485" t="str">
            <v>21 Desember 2018</v>
          </cell>
          <cell r="M485" t="str">
            <v>21 Desember 2018</v>
          </cell>
          <cell r="N485">
            <v>524114</v>
          </cell>
          <cell r="O485" t="str">
            <v>Belanja Perjalanan Dinas Paket Meeting Dalam Kota</v>
          </cell>
          <cell r="R485" t="str">
            <v>ya</v>
          </cell>
          <cell r="S485">
            <v>150000</v>
          </cell>
          <cell r="T485">
            <v>3138400</v>
          </cell>
          <cell r="U485" t="str">
            <v>ya</v>
          </cell>
          <cell r="V485">
            <v>0</v>
          </cell>
          <cell r="W485">
            <v>0</v>
          </cell>
          <cell r="X485">
            <v>0</v>
          </cell>
          <cell r="Z485">
            <v>0</v>
          </cell>
          <cell r="AB485">
            <v>0</v>
          </cell>
          <cell r="AD485">
            <v>0</v>
          </cell>
          <cell r="AE485" t="str">
            <v>ya</v>
          </cell>
          <cell r="AF485">
            <v>210000</v>
          </cell>
          <cell r="AH485" t="str">
            <v xml:space="preserve">Angkutan Umum </v>
          </cell>
        </row>
        <row r="486">
          <cell r="A486">
            <v>485</v>
          </cell>
          <cell r="C486" t="e">
            <v>#N/A</v>
          </cell>
          <cell r="D486" t="e">
            <v>#N/A</v>
          </cell>
          <cell r="E486" t="e">
            <v>#N/A</v>
          </cell>
          <cell r="F486" t="e">
            <v>#N/A</v>
          </cell>
          <cell r="G486" t="e">
            <v>#N/A</v>
          </cell>
          <cell r="O486" t="e">
            <v>#N/A</v>
          </cell>
          <cell r="S486">
            <v>0</v>
          </cell>
          <cell r="T486">
            <v>3138400</v>
          </cell>
          <cell r="U486" t="str">
            <v>ya</v>
          </cell>
          <cell r="V486" t="e">
            <v>#N/A</v>
          </cell>
          <cell r="W486" t="e">
            <v>#N/A</v>
          </cell>
          <cell r="X486" t="e">
            <v>#N/A</v>
          </cell>
          <cell r="Z486">
            <v>0</v>
          </cell>
          <cell r="AB486">
            <v>0</v>
          </cell>
          <cell r="AD486">
            <v>0</v>
          </cell>
          <cell r="AF486">
            <v>0</v>
          </cell>
        </row>
        <row r="487">
          <cell r="A487">
            <v>486</v>
          </cell>
          <cell r="C487" t="e">
            <v>#N/A</v>
          </cell>
          <cell r="D487" t="e">
            <v>#N/A</v>
          </cell>
          <cell r="E487" t="e">
            <v>#N/A</v>
          </cell>
          <cell r="F487" t="e">
            <v>#N/A</v>
          </cell>
          <cell r="G487" t="e">
            <v>#N/A</v>
          </cell>
          <cell r="O487" t="e">
            <v>#N/A</v>
          </cell>
          <cell r="S487">
            <v>0</v>
          </cell>
          <cell r="T487">
            <v>3138400</v>
          </cell>
          <cell r="U487" t="str">
            <v>ya</v>
          </cell>
          <cell r="V487" t="e">
            <v>#N/A</v>
          </cell>
          <cell r="W487" t="e">
            <v>#N/A</v>
          </cell>
          <cell r="X487" t="e">
            <v>#N/A</v>
          </cell>
          <cell r="Z487">
            <v>0</v>
          </cell>
          <cell r="AB487">
            <v>0</v>
          </cell>
          <cell r="AD487">
            <v>0</v>
          </cell>
          <cell r="AF487">
            <v>0</v>
          </cell>
        </row>
        <row r="488">
          <cell r="A488">
            <v>487</v>
          </cell>
          <cell r="C488" t="e">
            <v>#N/A</v>
          </cell>
          <cell r="D488" t="e">
            <v>#N/A</v>
          </cell>
          <cell r="E488" t="e">
            <v>#N/A</v>
          </cell>
          <cell r="F488" t="e">
            <v>#N/A</v>
          </cell>
          <cell r="G488" t="e">
            <v>#N/A</v>
          </cell>
          <cell r="O488" t="e">
            <v>#N/A</v>
          </cell>
          <cell r="S488">
            <v>0</v>
          </cell>
          <cell r="T488">
            <v>3138400</v>
          </cell>
          <cell r="U488" t="str">
            <v>ya</v>
          </cell>
          <cell r="V488" t="e">
            <v>#N/A</v>
          </cell>
          <cell r="W488" t="e">
            <v>#N/A</v>
          </cell>
          <cell r="X488" t="e">
            <v>#N/A</v>
          </cell>
          <cell r="Z488">
            <v>0</v>
          </cell>
          <cell r="AB488">
            <v>0</v>
          </cell>
          <cell r="AD488">
            <v>0</v>
          </cell>
          <cell r="AF488">
            <v>0</v>
          </cell>
        </row>
        <row r="489">
          <cell r="A489">
            <v>488</v>
          </cell>
          <cell r="C489" t="e">
            <v>#N/A</v>
          </cell>
          <cell r="D489" t="e">
            <v>#N/A</v>
          </cell>
          <cell r="E489" t="e">
            <v>#N/A</v>
          </cell>
          <cell r="F489" t="e">
            <v>#N/A</v>
          </cell>
          <cell r="G489" t="e">
            <v>#N/A</v>
          </cell>
          <cell r="O489" t="e">
            <v>#N/A</v>
          </cell>
          <cell r="S489">
            <v>0</v>
          </cell>
          <cell r="T489">
            <v>3138400</v>
          </cell>
          <cell r="U489" t="str">
            <v>ya</v>
          </cell>
          <cell r="V489" t="e">
            <v>#N/A</v>
          </cell>
          <cell r="W489" t="e">
            <v>#N/A</v>
          </cell>
          <cell r="X489" t="e">
            <v>#N/A</v>
          </cell>
          <cell r="Z489">
            <v>0</v>
          </cell>
          <cell r="AB489">
            <v>0</v>
          </cell>
          <cell r="AD489">
            <v>0</v>
          </cell>
          <cell r="AF489">
            <v>0</v>
          </cell>
        </row>
        <row r="490">
          <cell r="A490">
            <v>489</v>
          </cell>
          <cell r="C490" t="e">
            <v>#N/A</v>
          </cell>
          <cell r="D490" t="e">
            <v>#N/A</v>
          </cell>
          <cell r="E490" t="e">
            <v>#N/A</v>
          </cell>
          <cell r="F490" t="e">
            <v>#N/A</v>
          </cell>
          <cell r="G490" t="e">
            <v>#N/A</v>
          </cell>
          <cell r="O490" t="e">
            <v>#N/A</v>
          </cell>
          <cell r="S490">
            <v>0</v>
          </cell>
          <cell r="T490">
            <v>3138400</v>
          </cell>
          <cell r="U490" t="str">
            <v>ya</v>
          </cell>
          <cell r="V490" t="e">
            <v>#N/A</v>
          </cell>
          <cell r="W490" t="e">
            <v>#N/A</v>
          </cell>
          <cell r="X490" t="e">
            <v>#N/A</v>
          </cell>
          <cell r="Z490">
            <v>0</v>
          </cell>
          <cell r="AB490">
            <v>0</v>
          </cell>
          <cell r="AD490">
            <v>0</v>
          </cell>
          <cell r="AF490">
            <v>0</v>
          </cell>
        </row>
        <row r="491">
          <cell r="A491">
            <v>490</v>
          </cell>
          <cell r="C491" t="e">
            <v>#N/A</v>
          </cell>
          <cell r="D491" t="e">
            <v>#N/A</v>
          </cell>
          <cell r="E491" t="e">
            <v>#N/A</v>
          </cell>
          <cell r="F491" t="e">
            <v>#N/A</v>
          </cell>
          <cell r="G491" t="e">
            <v>#N/A</v>
          </cell>
          <cell r="O491" t="e">
            <v>#N/A</v>
          </cell>
          <cell r="S491">
            <v>0</v>
          </cell>
          <cell r="T491">
            <v>3138400</v>
          </cell>
          <cell r="V491">
            <v>0</v>
          </cell>
          <cell r="W491">
            <v>0</v>
          </cell>
          <cell r="X491">
            <v>0</v>
          </cell>
          <cell r="Z491">
            <v>0</v>
          </cell>
          <cell r="AB491">
            <v>0</v>
          </cell>
          <cell r="AD491">
            <v>0</v>
          </cell>
          <cell r="AF491">
            <v>0</v>
          </cell>
        </row>
        <row r="492">
          <cell r="A492">
            <v>491</v>
          </cell>
          <cell r="C492" t="e">
            <v>#N/A</v>
          </cell>
          <cell r="D492" t="e">
            <v>#N/A</v>
          </cell>
          <cell r="E492" t="e">
            <v>#N/A</v>
          </cell>
          <cell r="F492" t="e">
            <v>#N/A</v>
          </cell>
          <cell r="G492" t="e">
            <v>#N/A</v>
          </cell>
          <cell r="O492" t="e">
            <v>#N/A</v>
          </cell>
          <cell r="S492">
            <v>0</v>
          </cell>
          <cell r="T492">
            <v>3138400</v>
          </cell>
          <cell r="V492">
            <v>0</v>
          </cell>
          <cell r="W492">
            <v>0</v>
          </cell>
          <cell r="X492">
            <v>0</v>
          </cell>
          <cell r="Z492">
            <v>0</v>
          </cell>
          <cell r="AB492">
            <v>0</v>
          </cell>
          <cell r="AD492">
            <v>0</v>
          </cell>
          <cell r="AF492">
            <v>0</v>
          </cell>
        </row>
        <row r="493">
          <cell r="A493">
            <v>492</v>
          </cell>
          <cell r="C493" t="e">
            <v>#N/A</v>
          </cell>
          <cell r="D493" t="e">
            <v>#N/A</v>
          </cell>
          <cell r="E493" t="e">
            <v>#N/A</v>
          </cell>
          <cell r="F493" t="e">
            <v>#N/A</v>
          </cell>
          <cell r="G493" t="e">
            <v>#N/A</v>
          </cell>
          <cell r="O493" t="e">
            <v>#N/A</v>
          </cell>
          <cell r="S493">
            <v>0</v>
          </cell>
          <cell r="T493">
            <v>3138400</v>
          </cell>
          <cell r="V493">
            <v>0</v>
          </cell>
          <cell r="W493">
            <v>0</v>
          </cell>
          <cell r="X493">
            <v>0</v>
          </cell>
          <cell r="Z493">
            <v>0</v>
          </cell>
          <cell r="AB493">
            <v>0</v>
          </cell>
          <cell r="AD493">
            <v>0</v>
          </cell>
          <cell r="AF493">
            <v>0</v>
          </cell>
        </row>
        <row r="494">
          <cell r="A494">
            <v>493</v>
          </cell>
          <cell r="C494" t="e">
            <v>#N/A</v>
          </cell>
          <cell r="D494" t="e">
            <v>#N/A</v>
          </cell>
          <cell r="E494" t="e">
            <v>#N/A</v>
          </cell>
          <cell r="F494" t="e">
            <v>#N/A</v>
          </cell>
          <cell r="G494" t="e">
            <v>#N/A</v>
          </cell>
          <cell r="O494" t="e">
            <v>#N/A</v>
          </cell>
          <cell r="S494">
            <v>0</v>
          </cell>
          <cell r="T494">
            <v>3138400</v>
          </cell>
          <cell r="V494">
            <v>0</v>
          </cell>
          <cell r="W494">
            <v>0</v>
          </cell>
          <cell r="X494">
            <v>0</v>
          </cell>
          <cell r="Z494">
            <v>0</v>
          </cell>
          <cell r="AB494">
            <v>0</v>
          </cell>
          <cell r="AD494">
            <v>0</v>
          </cell>
          <cell r="AF494">
            <v>0</v>
          </cell>
        </row>
        <row r="495">
          <cell r="A495">
            <v>494</v>
          </cell>
          <cell r="C495" t="e">
            <v>#N/A</v>
          </cell>
          <cell r="D495" t="e">
            <v>#N/A</v>
          </cell>
          <cell r="E495" t="e">
            <v>#N/A</v>
          </cell>
          <cell r="F495" t="e">
            <v>#N/A</v>
          </cell>
          <cell r="G495" t="e">
            <v>#N/A</v>
          </cell>
          <cell r="O495" t="e">
            <v>#N/A</v>
          </cell>
          <cell r="S495">
            <v>0</v>
          </cell>
          <cell r="T495">
            <v>3138400</v>
          </cell>
          <cell r="V495">
            <v>0</v>
          </cell>
          <cell r="W495">
            <v>0</v>
          </cell>
          <cell r="X495">
            <v>0</v>
          </cell>
          <cell r="Z495">
            <v>0</v>
          </cell>
          <cell r="AB495">
            <v>0</v>
          </cell>
          <cell r="AD495">
            <v>0</v>
          </cell>
          <cell r="AF495">
            <v>0</v>
          </cell>
        </row>
        <row r="496">
          <cell r="A496">
            <v>495</v>
          </cell>
          <cell r="C496" t="e">
            <v>#N/A</v>
          </cell>
          <cell r="D496" t="e">
            <v>#N/A</v>
          </cell>
          <cell r="E496" t="e">
            <v>#N/A</v>
          </cell>
          <cell r="F496" t="e">
            <v>#N/A</v>
          </cell>
          <cell r="G496" t="e">
            <v>#N/A</v>
          </cell>
          <cell r="O496" t="e">
            <v>#N/A</v>
          </cell>
          <cell r="S496">
            <v>0</v>
          </cell>
          <cell r="T496">
            <v>3138400</v>
          </cell>
          <cell r="V496">
            <v>0</v>
          </cell>
          <cell r="W496">
            <v>0</v>
          </cell>
          <cell r="X496">
            <v>0</v>
          </cell>
          <cell r="Z496">
            <v>0</v>
          </cell>
          <cell r="AB496">
            <v>0</v>
          </cell>
          <cell r="AD496">
            <v>0</v>
          </cell>
          <cell r="AF496">
            <v>0</v>
          </cell>
        </row>
        <row r="497">
          <cell r="A497">
            <v>496</v>
          </cell>
          <cell r="C497" t="e">
            <v>#N/A</v>
          </cell>
          <cell r="D497" t="e">
            <v>#N/A</v>
          </cell>
          <cell r="E497" t="e">
            <v>#N/A</v>
          </cell>
          <cell r="F497" t="e">
            <v>#N/A</v>
          </cell>
          <cell r="G497" t="e">
            <v>#N/A</v>
          </cell>
          <cell r="O497" t="e">
            <v>#N/A</v>
          </cell>
          <cell r="S497">
            <v>0</v>
          </cell>
          <cell r="T497">
            <v>3138400</v>
          </cell>
          <cell r="V497">
            <v>0</v>
          </cell>
          <cell r="W497">
            <v>0</v>
          </cell>
          <cell r="X497">
            <v>0</v>
          </cell>
          <cell r="Z497">
            <v>0</v>
          </cell>
          <cell r="AB497">
            <v>0</v>
          </cell>
          <cell r="AD497">
            <v>0</v>
          </cell>
          <cell r="AF497">
            <v>0</v>
          </cell>
        </row>
        <row r="498">
          <cell r="A498">
            <v>497</v>
          </cell>
          <cell r="C498" t="e">
            <v>#N/A</v>
          </cell>
          <cell r="D498" t="e">
            <v>#N/A</v>
          </cell>
          <cell r="E498" t="e">
            <v>#N/A</v>
          </cell>
          <cell r="F498" t="e">
            <v>#N/A</v>
          </cell>
          <cell r="G498" t="e">
            <v>#N/A</v>
          </cell>
          <cell r="O498" t="e">
            <v>#N/A</v>
          </cell>
          <cell r="S498">
            <v>0</v>
          </cell>
          <cell r="T498">
            <v>3138400</v>
          </cell>
          <cell r="V498">
            <v>0</v>
          </cell>
          <cell r="W498">
            <v>0</v>
          </cell>
          <cell r="X498">
            <v>0</v>
          </cell>
          <cell r="Z498">
            <v>0</v>
          </cell>
          <cell r="AB498">
            <v>0</v>
          </cell>
          <cell r="AD498">
            <v>0</v>
          </cell>
          <cell r="AF498">
            <v>0</v>
          </cell>
        </row>
        <row r="499">
          <cell r="A499">
            <v>498</v>
          </cell>
          <cell r="C499" t="e">
            <v>#N/A</v>
          </cell>
          <cell r="D499" t="e">
            <v>#N/A</v>
          </cell>
          <cell r="E499" t="e">
            <v>#N/A</v>
          </cell>
          <cell r="F499" t="e">
            <v>#N/A</v>
          </cell>
          <cell r="G499" t="e">
            <v>#N/A</v>
          </cell>
          <cell r="O499" t="e">
            <v>#N/A</v>
          </cell>
          <cell r="S499">
            <v>0</v>
          </cell>
          <cell r="T499">
            <v>3138400</v>
          </cell>
          <cell r="V499">
            <v>0</v>
          </cell>
          <cell r="W499">
            <v>0</v>
          </cell>
          <cell r="X499">
            <v>0</v>
          </cell>
          <cell r="Z499">
            <v>0</v>
          </cell>
          <cell r="AB499">
            <v>0</v>
          </cell>
          <cell r="AD499">
            <v>0</v>
          </cell>
          <cell r="AF499">
            <v>0</v>
          </cell>
        </row>
        <row r="500">
          <cell r="A500">
            <v>499</v>
          </cell>
          <cell r="C500" t="e">
            <v>#N/A</v>
          </cell>
          <cell r="D500" t="e">
            <v>#N/A</v>
          </cell>
          <cell r="E500" t="e">
            <v>#N/A</v>
          </cell>
          <cell r="F500" t="e">
            <v>#N/A</v>
          </cell>
          <cell r="G500" t="e">
            <v>#N/A</v>
          </cell>
          <cell r="O500" t="e">
            <v>#N/A</v>
          </cell>
          <cell r="S500">
            <v>0</v>
          </cell>
          <cell r="T500">
            <v>3138400</v>
          </cell>
          <cell r="V500">
            <v>0</v>
          </cell>
          <cell r="W500">
            <v>0</v>
          </cell>
          <cell r="X500">
            <v>0</v>
          </cell>
          <cell r="Z500">
            <v>0</v>
          </cell>
          <cell r="AB500">
            <v>0</v>
          </cell>
          <cell r="AD500">
            <v>0</v>
          </cell>
          <cell r="AF500">
            <v>0</v>
          </cell>
        </row>
        <row r="501">
          <cell r="A501">
            <v>500</v>
          </cell>
          <cell r="C501" t="e">
            <v>#N/A</v>
          </cell>
          <cell r="D501" t="e">
            <v>#N/A</v>
          </cell>
          <cell r="E501" t="e">
            <v>#N/A</v>
          </cell>
          <cell r="F501" t="e">
            <v>#N/A</v>
          </cell>
          <cell r="G501" t="e">
            <v>#N/A</v>
          </cell>
          <cell r="O501" t="e">
            <v>#N/A</v>
          </cell>
          <cell r="S501">
            <v>0</v>
          </cell>
          <cell r="T501">
            <v>3138400</v>
          </cell>
          <cell r="V501">
            <v>0</v>
          </cell>
          <cell r="W501">
            <v>0</v>
          </cell>
          <cell r="X501">
            <v>0</v>
          </cell>
          <cell r="Z501">
            <v>0</v>
          </cell>
          <cell r="AB501">
            <v>0</v>
          </cell>
          <cell r="AD501">
            <v>0</v>
          </cell>
          <cell r="AF501">
            <v>0</v>
          </cell>
        </row>
        <row r="502">
          <cell r="A502">
            <v>501</v>
          </cell>
          <cell r="C502" t="e">
            <v>#N/A</v>
          </cell>
          <cell r="D502" t="e">
            <v>#N/A</v>
          </cell>
          <cell r="E502" t="e">
            <v>#N/A</v>
          </cell>
          <cell r="F502" t="e">
            <v>#N/A</v>
          </cell>
          <cell r="G502" t="e">
            <v>#N/A</v>
          </cell>
          <cell r="O502" t="e">
            <v>#N/A</v>
          </cell>
          <cell r="S502">
            <v>0</v>
          </cell>
          <cell r="T502">
            <v>3138400</v>
          </cell>
          <cell r="V502">
            <v>0</v>
          </cell>
          <cell r="W502">
            <v>0</v>
          </cell>
          <cell r="X502">
            <v>0</v>
          </cell>
          <cell r="Z502">
            <v>0</v>
          </cell>
          <cell r="AB502">
            <v>0</v>
          </cell>
          <cell r="AD502">
            <v>0</v>
          </cell>
          <cell r="AF502">
            <v>0</v>
          </cell>
        </row>
        <row r="503">
          <cell r="A503">
            <v>502</v>
          </cell>
          <cell r="C503" t="e">
            <v>#N/A</v>
          </cell>
          <cell r="D503" t="e">
            <v>#N/A</v>
          </cell>
          <cell r="E503" t="e">
            <v>#N/A</v>
          </cell>
          <cell r="F503" t="e">
            <v>#N/A</v>
          </cell>
          <cell r="G503" t="e">
            <v>#N/A</v>
          </cell>
          <cell r="O503" t="e">
            <v>#N/A</v>
          </cell>
          <cell r="S503">
            <v>0</v>
          </cell>
          <cell r="T503">
            <v>3138400</v>
          </cell>
          <cell r="V503">
            <v>0</v>
          </cell>
          <cell r="W503">
            <v>0</v>
          </cell>
          <cell r="X503">
            <v>0</v>
          </cell>
          <cell r="Z503">
            <v>0</v>
          </cell>
          <cell r="AB503">
            <v>0</v>
          </cell>
          <cell r="AD503">
            <v>0</v>
          </cell>
          <cell r="AF503">
            <v>0</v>
          </cell>
        </row>
        <row r="504">
          <cell r="A504">
            <v>503</v>
          </cell>
          <cell r="C504" t="e">
            <v>#N/A</v>
          </cell>
          <cell r="D504" t="e">
            <v>#N/A</v>
          </cell>
          <cell r="E504" t="e">
            <v>#N/A</v>
          </cell>
          <cell r="F504" t="e">
            <v>#N/A</v>
          </cell>
          <cell r="G504" t="e">
            <v>#N/A</v>
          </cell>
          <cell r="O504" t="e">
            <v>#N/A</v>
          </cell>
          <cell r="S504">
            <v>0</v>
          </cell>
          <cell r="T504">
            <v>3138400</v>
          </cell>
          <cell r="V504">
            <v>0</v>
          </cell>
          <cell r="W504">
            <v>0</v>
          </cell>
          <cell r="X504">
            <v>0</v>
          </cell>
          <cell r="Z504">
            <v>0</v>
          </cell>
          <cell r="AB504">
            <v>0</v>
          </cell>
          <cell r="AD504">
            <v>0</v>
          </cell>
          <cell r="AF504">
            <v>0</v>
          </cell>
        </row>
        <row r="505">
          <cell r="A505">
            <v>504</v>
          </cell>
          <cell r="C505" t="e">
            <v>#N/A</v>
          </cell>
          <cell r="D505" t="e">
            <v>#N/A</v>
          </cell>
          <cell r="E505" t="e">
            <v>#N/A</v>
          </cell>
          <cell r="F505" t="e">
            <v>#N/A</v>
          </cell>
          <cell r="G505" t="e">
            <v>#N/A</v>
          </cell>
          <cell r="O505" t="e">
            <v>#N/A</v>
          </cell>
          <cell r="S505">
            <v>0</v>
          </cell>
          <cell r="T505">
            <v>3138400</v>
          </cell>
          <cell r="V505">
            <v>0</v>
          </cell>
          <cell r="W505">
            <v>0</v>
          </cell>
          <cell r="X505">
            <v>0</v>
          </cell>
          <cell r="Z505">
            <v>0</v>
          </cell>
          <cell r="AB505">
            <v>0</v>
          </cell>
          <cell r="AD505">
            <v>0</v>
          </cell>
          <cell r="AF505">
            <v>0</v>
          </cell>
        </row>
        <row r="506">
          <cell r="A506">
            <v>505</v>
          </cell>
          <cell r="C506" t="e">
            <v>#N/A</v>
          </cell>
          <cell r="D506" t="e">
            <v>#N/A</v>
          </cell>
          <cell r="E506" t="e">
            <v>#N/A</v>
          </cell>
          <cell r="F506" t="e">
            <v>#N/A</v>
          </cell>
          <cell r="G506" t="e">
            <v>#N/A</v>
          </cell>
          <cell r="O506" t="e">
            <v>#N/A</v>
          </cell>
          <cell r="S506">
            <v>0</v>
          </cell>
          <cell r="T506">
            <v>3138400</v>
          </cell>
          <cell r="V506">
            <v>0</v>
          </cell>
          <cell r="W506">
            <v>0</v>
          </cell>
          <cell r="X506">
            <v>0</v>
          </cell>
          <cell r="Z506">
            <v>0</v>
          </cell>
          <cell r="AB506">
            <v>0</v>
          </cell>
          <cell r="AD506">
            <v>0</v>
          </cell>
          <cell r="AF506">
            <v>0</v>
          </cell>
        </row>
        <row r="507">
          <cell r="A507">
            <v>506</v>
          </cell>
          <cell r="C507" t="e">
            <v>#N/A</v>
          </cell>
          <cell r="D507" t="e">
            <v>#N/A</v>
          </cell>
          <cell r="E507" t="e">
            <v>#N/A</v>
          </cell>
          <cell r="F507" t="e">
            <v>#N/A</v>
          </cell>
          <cell r="G507" t="e">
            <v>#N/A</v>
          </cell>
          <cell r="O507" t="e">
            <v>#N/A</v>
          </cell>
          <cell r="S507">
            <v>0</v>
          </cell>
          <cell r="T507">
            <v>3138400</v>
          </cell>
          <cell r="V507">
            <v>0</v>
          </cell>
          <cell r="W507">
            <v>0</v>
          </cell>
          <cell r="X507">
            <v>0</v>
          </cell>
          <cell r="Z507">
            <v>0</v>
          </cell>
          <cell r="AB507">
            <v>0</v>
          </cell>
          <cell r="AD507">
            <v>0</v>
          </cell>
          <cell r="AF507">
            <v>0</v>
          </cell>
        </row>
        <row r="508">
          <cell r="A508">
            <v>507</v>
          </cell>
          <cell r="C508" t="e">
            <v>#N/A</v>
          </cell>
          <cell r="D508" t="e">
            <v>#N/A</v>
          </cell>
          <cell r="E508" t="e">
            <v>#N/A</v>
          </cell>
          <cell r="F508" t="e">
            <v>#N/A</v>
          </cell>
          <cell r="G508" t="e">
            <v>#N/A</v>
          </cell>
          <cell r="O508" t="e">
            <v>#N/A</v>
          </cell>
          <cell r="S508">
            <v>0</v>
          </cell>
          <cell r="T508">
            <v>3138400</v>
          </cell>
          <cell r="V508">
            <v>0</v>
          </cell>
          <cell r="W508">
            <v>0</v>
          </cell>
          <cell r="X508">
            <v>0</v>
          </cell>
          <cell r="Z508">
            <v>0</v>
          </cell>
          <cell r="AB508">
            <v>0</v>
          </cell>
          <cell r="AD508">
            <v>0</v>
          </cell>
          <cell r="AF508">
            <v>0</v>
          </cell>
        </row>
        <row r="509">
          <cell r="A509">
            <v>508</v>
          </cell>
          <cell r="C509" t="e">
            <v>#N/A</v>
          </cell>
          <cell r="D509" t="e">
            <v>#N/A</v>
          </cell>
          <cell r="E509" t="e">
            <v>#N/A</v>
          </cell>
          <cell r="F509" t="e">
            <v>#N/A</v>
          </cell>
          <cell r="G509" t="e">
            <v>#N/A</v>
          </cell>
          <cell r="O509" t="e">
            <v>#N/A</v>
          </cell>
          <cell r="S509">
            <v>0</v>
          </cell>
          <cell r="T509">
            <v>3138400</v>
          </cell>
          <cell r="V509">
            <v>0</v>
          </cell>
          <cell r="W509">
            <v>0</v>
          </cell>
          <cell r="X509">
            <v>0</v>
          </cell>
          <cell r="Z509">
            <v>0</v>
          </cell>
          <cell r="AB509">
            <v>0</v>
          </cell>
          <cell r="AD509">
            <v>0</v>
          </cell>
          <cell r="AF509">
            <v>0</v>
          </cell>
        </row>
        <row r="510">
          <cell r="A510">
            <v>509</v>
          </cell>
          <cell r="C510" t="e">
            <v>#N/A</v>
          </cell>
          <cell r="D510" t="e">
            <v>#N/A</v>
          </cell>
          <cell r="E510" t="e">
            <v>#N/A</v>
          </cell>
          <cell r="F510" t="e">
            <v>#N/A</v>
          </cell>
          <cell r="G510" t="e">
            <v>#N/A</v>
          </cell>
          <cell r="O510" t="e">
            <v>#N/A</v>
          </cell>
          <cell r="S510">
            <v>0</v>
          </cell>
          <cell r="T510">
            <v>3138400</v>
          </cell>
          <cell r="V510">
            <v>0</v>
          </cell>
          <cell r="W510">
            <v>0</v>
          </cell>
          <cell r="X510">
            <v>0</v>
          </cell>
          <cell r="Z510">
            <v>0</v>
          </cell>
          <cell r="AB510">
            <v>0</v>
          </cell>
          <cell r="AD510">
            <v>0</v>
          </cell>
          <cell r="AF510">
            <v>0</v>
          </cell>
        </row>
        <row r="511">
          <cell r="A511">
            <v>510</v>
          </cell>
          <cell r="C511" t="e">
            <v>#N/A</v>
          </cell>
          <cell r="D511" t="e">
            <v>#N/A</v>
          </cell>
          <cell r="E511" t="e">
            <v>#N/A</v>
          </cell>
          <cell r="F511" t="e">
            <v>#N/A</v>
          </cell>
          <cell r="G511" t="e">
            <v>#N/A</v>
          </cell>
          <cell r="O511" t="e">
            <v>#N/A</v>
          </cell>
          <cell r="S511">
            <v>0</v>
          </cell>
          <cell r="T511">
            <v>3138400</v>
          </cell>
          <cell r="V511">
            <v>0</v>
          </cell>
          <cell r="W511">
            <v>0</v>
          </cell>
          <cell r="X511">
            <v>0</v>
          </cell>
          <cell r="Z511">
            <v>0</v>
          </cell>
          <cell r="AB511">
            <v>0</v>
          </cell>
          <cell r="AD511">
            <v>0</v>
          </cell>
          <cell r="AF511">
            <v>0</v>
          </cell>
        </row>
        <row r="512">
          <cell r="A512">
            <v>511</v>
          </cell>
          <cell r="C512" t="e">
            <v>#N/A</v>
          </cell>
          <cell r="D512" t="e">
            <v>#N/A</v>
          </cell>
          <cell r="E512" t="e">
            <v>#N/A</v>
          </cell>
          <cell r="F512" t="e">
            <v>#N/A</v>
          </cell>
          <cell r="G512" t="e">
            <v>#N/A</v>
          </cell>
          <cell r="O512" t="e">
            <v>#N/A</v>
          </cell>
          <cell r="S512">
            <v>0</v>
          </cell>
          <cell r="T512">
            <v>3138400</v>
          </cell>
          <cell r="V512">
            <v>0</v>
          </cell>
          <cell r="W512">
            <v>0</v>
          </cell>
          <cell r="X512">
            <v>0</v>
          </cell>
          <cell r="Z512">
            <v>0</v>
          </cell>
          <cell r="AB512">
            <v>0</v>
          </cell>
          <cell r="AD512">
            <v>0</v>
          </cell>
          <cell r="AF512">
            <v>0</v>
          </cell>
        </row>
        <row r="513">
          <cell r="A513">
            <v>512</v>
          </cell>
          <cell r="C513" t="e">
            <v>#N/A</v>
          </cell>
          <cell r="D513" t="e">
            <v>#N/A</v>
          </cell>
          <cell r="E513" t="e">
            <v>#N/A</v>
          </cell>
          <cell r="F513" t="e">
            <v>#N/A</v>
          </cell>
          <cell r="G513" t="e">
            <v>#N/A</v>
          </cell>
          <cell r="O513" t="e">
            <v>#N/A</v>
          </cell>
          <cell r="S513">
            <v>0</v>
          </cell>
          <cell r="T513">
            <v>3138400</v>
          </cell>
          <cell r="V513">
            <v>0</v>
          </cell>
          <cell r="W513">
            <v>0</v>
          </cell>
          <cell r="X513">
            <v>0</v>
          </cell>
          <cell r="Z513">
            <v>0</v>
          </cell>
          <cell r="AB513">
            <v>0</v>
          </cell>
          <cell r="AD513">
            <v>0</v>
          </cell>
          <cell r="AF513">
            <v>0</v>
          </cell>
        </row>
        <row r="514">
          <cell r="A514">
            <v>513</v>
          </cell>
          <cell r="C514" t="e">
            <v>#N/A</v>
          </cell>
          <cell r="D514" t="e">
            <v>#N/A</v>
          </cell>
          <cell r="E514" t="e">
            <v>#N/A</v>
          </cell>
          <cell r="F514" t="e">
            <v>#N/A</v>
          </cell>
          <cell r="G514" t="e">
            <v>#N/A</v>
          </cell>
          <cell r="O514" t="e">
            <v>#N/A</v>
          </cell>
          <cell r="S514">
            <v>0</v>
          </cell>
          <cell r="T514">
            <v>3138400</v>
          </cell>
          <cell r="V514">
            <v>0</v>
          </cell>
          <cell r="W514">
            <v>0</v>
          </cell>
          <cell r="X514">
            <v>0</v>
          </cell>
          <cell r="Z514">
            <v>0</v>
          </cell>
          <cell r="AB514">
            <v>0</v>
          </cell>
          <cell r="AD514">
            <v>0</v>
          </cell>
          <cell r="AF514">
            <v>0</v>
          </cell>
        </row>
        <row r="515">
          <cell r="A515">
            <v>514</v>
          </cell>
          <cell r="C515" t="e">
            <v>#N/A</v>
          </cell>
          <cell r="D515" t="e">
            <v>#N/A</v>
          </cell>
          <cell r="E515" t="e">
            <v>#N/A</v>
          </cell>
          <cell r="F515" t="e">
            <v>#N/A</v>
          </cell>
          <cell r="G515" t="e">
            <v>#N/A</v>
          </cell>
          <cell r="O515" t="e">
            <v>#N/A</v>
          </cell>
          <cell r="S515">
            <v>0</v>
          </cell>
          <cell r="T515">
            <v>3138400</v>
          </cell>
          <cell r="V515">
            <v>0</v>
          </cell>
          <cell r="W515">
            <v>0</v>
          </cell>
          <cell r="X515">
            <v>0</v>
          </cell>
          <cell r="Z515">
            <v>0</v>
          </cell>
          <cell r="AB515">
            <v>0</v>
          </cell>
          <cell r="AD515">
            <v>0</v>
          </cell>
          <cell r="AF515">
            <v>0</v>
          </cell>
        </row>
        <row r="516">
          <cell r="A516">
            <v>515</v>
          </cell>
          <cell r="C516" t="e">
            <v>#N/A</v>
          </cell>
          <cell r="D516" t="e">
            <v>#N/A</v>
          </cell>
          <cell r="E516" t="e">
            <v>#N/A</v>
          </cell>
          <cell r="F516" t="e">
            <v>#N/A</v>
          </cell>
          <cell r="G516" t="e">
            <v>#N/A</v>
          </cell>
          <cell r="O516" t="e">
            <v>#N/A</v>
          </cell>
          <cell r="S516">
            <v>0</v>
          </cell>
          <cell r="T516">
            <v>3138400</v>
          </cell>
          <cell r="V516">
            <v>0</v>
          </cell>
          <cell r="W516">
            <v>0</v>
          </cell>
          <cell r="X516">
            <v>0</v>
          </cell>
          <cell r="Z516">
            <v>0</v>
          </cell>
          <cell r="AB516">
            <v>0</v>
          </cell>
          <cell r="AD516">
            <v>0</v>
          </cell>
          <cell r="AF516">
            <v>0</v>
          </cell>
        </row>
        <row r="517">
          <cell r="A517">
            <v>516</v>
          </cell>
          <cell r="C517" t="e">
            <v>#N/A</v>
          </cell>
          <cell r="D517" t="e">
            <v>#N/A</v>
          </cell>
          <cell r="E517" t="e">
            <v>#N/A</v>
          </cell>
          <cell r="F517" t="e">
            <v>#N/A</v>
          </cell>
          <cell r="G517" t="e">
            <v>#N/A</v>
          </cell>
          <cell r="O517" t="e">
            <v>#N/A</v>
          </cell>
          <cell r="S517">
            <v>0</v>
          </cell>
          <cell r="T517">
            <v>3138400</v>
          </cell>
          <cell r="V517">
            <v>0</v>
          </cell>
          <cell r="W517">
            <v>0</v>
          </cell>
          <cell r="X517">
            <v>0</v>
          </cell>
          <cell r="Z517">
            <v>0</v>
          </cell>
          <cell r="AB517">
            <v>0</v>
          </cell>
          <cell r="AD517">
            <v>0</v>
          </cell>
          <cell r="AF517">
            <v>0</v>
          </cell>
        </row>
        <row r="518">
          <cell r="A518">
            <v>517</v>
          </cell>
          <cell r="C518" t="e">
            <v>#N/A</v>
          </cell>
          <cell r="D518" t="e">
            <v>#N/A</v>
          </cell>
          <cell r="E518" t="e">
            <v>#N/A</v>
          </cell>
          <cell r="F518" t="e">
            <v>#N/A</v>
          </cell>
          <cell r="G518" t="e">
            <v>#N/A</v>
          </cell>
          <cell r="O518" t="e">
            <v>#N/A</v>
          </cell>
          <cell r="S518">
            <v>0</v>
          </cell>
          <cell r="T518">
            <v>3138400</v>
          </cell>
          <cell r="V518">
            <v>0</v>
          </cell>
          <cell r="W518">
            <v>0</v>
          </cell>
          <cell r="X518">
            <v>0</v>
          </cell>
          <cell r="Z518">
            <v>0</v>
          </cell>
          <cell r="AB518">
            <v>0</v>
          </cell>
          <cell r="AD518">
            <v>0</v>
          </cell>
          <cell r="AF518">
            <v>0</v>
          </cell>
        </row>
        <row r="519">
          <cell r="A519">
            <v>518</v>
          </cell>
          <cell r="C519" t="e">
            <v>#N/A</v>
          </cell>
          <cell r="D519" t="e">
            <v>#N/A</v>
          </cell>
          <cell r="E519" t="e">
            <v>#N/A</v>
          </cell>
          <cell r="F519" t="e">
            <v>#N/A</v>
          </cell>
          <cell r="G519" t="e">
            <v>#N/A</v>
          </cell>
          <cell r="O519" t="e">
            <v>#N/A</v>
          </cell>
          <cell r="S519">
            <v>0</v>
          </cell>
          <cell r="T519">
            <v>3138400</v>
          </cell>
          <cell r="V519">
            <v>0</v>
          </cell>
          <cell r="W519">
            <v>0</v>
          </cell>
          <cell r="X519">
            <v>0</v>
          </cell>
          <cell r="Z519">
            <v>0</v>
          </cell>
          <cell r="AB519">
            <v>0</v>
          </cell>
          <cell r="AD519">
            <v>0</v>
          </cell>
          <cell r="AF519">
            <v>0</v>
          </cell>
        </row>
        <row r="520">
          <cell r="A520">
            <v>519</v>
          </cell>
          <cell r="C520" t="e">
            <v>#N/A</v>
          </cell>
          <cell r="D520" t="e">
            <v>#N/A</v>
          </cell>
          <cell r="E520" t="e">
            <v>#N/A</v>
          </cell>
          <cell r="F520" t="e">
            <v>#N/A</v>
          </cell>
          <cell r="G520" t="e">
            <v>#N/A</v>
          </cell>
          <cell r="O520" t="e">
            <v>#N/A</v>
          </cell>
          <cell r="S520">
            <v>0</v>
          </cell>
          <cell r="T520">
            <v>3138400</v>
          </cell>
          <cell r="V520">
            <v>0</v>
          </cell>
          <cell r="W520">
            <v>0</v>
          </cell>
          <cell r="X520">
            <v>0</v>
          </cell>
          <cell r="Z520">
            <v>0</v>
          </cell>
          <cell r="AB520">
            <v>0</v>
          </cell>
          <cell r="AD520">
            <v>0</v>
          </cell>
          <cell r="AF520">
            <v>0</v>
          </cell>
        </row>
        <row r="521">
          <cell r="A521">
            <v>520</v>
          </cell>
          <cell r="C521" t="e">
            <v>#N/A</v>
          </cell>
          <cell r="D521" t="e">
            <v>#N/A</v>
          </cell>
          <cell r="E521" t="e">
            <v>#N/A</v>
          </cell>
          <cell r="F521" t="e">
            <v>#N/A</v>
          </cell>
          <cell r="G521" t="e">
            <v>#N/A</v>
          </cell>
          <cell r="O521" t="e">
            <v>#N/A</v>
          </cell>
          <cell r="S521">
            <v>0</v>
          </cell>
          <cell r="T521">
            <v>3138400</v>
          </cell>
          <cell r="V521">
            <v>0</v>
          </cell>
          <cell r="W521">
            <v>0</v>
          </cell>
          <cell r="X521">
            <v>0</v>
          </cell>
          <cell r="Z521">
            <v>0</v>
          </cell>
          <cell r="AB521">
            <v>0</v>
          </cell>
          <cell r="AD521">
            <v>0</v>
          </cell>
          <cell r="AF521">
            <v>0</v>
          </cell>
        </row>
        <row r="522">
          <cell r="A522">
            <v>521</v>
          </cell>
          <cell r="C522" t="e">
            <v>#N/A</v>
          </cell>
          <cell r="D522" t="e">
            <v>#N/A</v>
          </cell>
          <cell r="E522" t="e">
            <v>#N/A</v>
          </cell>
          <cell r="F522" t="e">
            <v>#N/A</v>
          </cell>
          <cell r="G522" t="e">
            <v>#N/A</v>
          </cell>
          <cell r="O522" t="e">
            <v>#N/A</v>
          </cell>
          <cell r="S522">
            <v>0</v>
          </cell>
          <cell r="T522">
            <v>3138400</v>
          </cell>
          <cell r="V522">
            <v>0</v>
          </cell>
          <cell r="W522">
            <v>0</v>
          </cell>
          <cell r="X522">
            <v>0</v>
          </cell>
          <cell r="Z522">
            <v>0</v>
          </cell>
          <cell r="AB522">
            <v>0</v>
          </cell>
          <cell r="AD522">
            <v>0</v>
          </cell>
          <cell r="AF522">
            <v>0</v>
          </cell>
        </row>
        <row r="523">
          <cell r="A523">
            <v>522</v>
          </cell>
          <cell r="C523" t="e">
            <v>#N/A</v>
          </cell>
          <cell r="D523" t="e">
            <v>#N/A</v>
          </cell>
          <cell r="E523" t="e">
            <v>#N/A</v>
          </cell>
          <cell r="F523" t="e">
            <v>#N/A</v>
          </cell>
          <cell r="G523" t="e">
            <v>#N/A</v>
          </cell>
          <cell r="O523" t="e">
            <v>#N/A</v>
          </cell>
          <cell r="S523">
            <v>0</v>
          </cell>
          <cell r="T523">
            <v>3138400</v>
          </cell>
          <cell r="V523">
            <v>0</v>
          </cell>
          <cell r="W523">
            <v>0</v>
          </cell>
          <cell r="X523">
            <v>0</v>
          </cell>
          <cell r="Z523">
            <v>0</v>
          </cell>
          <cell r="AB523">
            <v>0</v>
          </cell>
          <cell r="AD523">
            <v>0</v>
          </cell>
          <cell r="AF523">
            <v>0</v>
          </cell>
        </row>
        <row r="524">
          <cell r="A524">
            <v>523</v>
          </cell>
          <cell r="C524" t="e">
            <v>#N/A</v>
          </cell>
          <cell r="D524" t="e">
            <v>#N/A</v>
          </cell>
          <cell r="E524" t="e">
            <v>#N/A</v>
          </cell>
          <cell r="F524" t="e">
            <v>#N/A</v>
          </cell>
          <cell r="G524" t="e">
            <v>#N/A</v>
          </cell>
          <cell r="O524" t="e">
            <v>#N/A</v>
          </cell>
          <cell r="S524">
            <v>0</v>
          </cell>
          <cell r="T524">
            <v>3138400</v>
          </cell>
          <cell r="V524">
            <v>0</v>
          </cell>
          <cell r="W524">
            <v>0</v>
          </cell>
          <cell r="X524">
            <v>0</v>
          </cell>
          <cell r="Z524">
            <v>0</v>
          </cell>
          <cell r="AB524">
            <v>0</v>
          </cell>
          <cell r="AD524">
            <v>0</v>
          </cell>
          <cell r="AF524">
            <v>0</v>
          </cell>
        </row>
        <row r="525">
          <cell r="A525">
            <v>524</v>
          </cell>
          <cell r="C525" t="e">
            <v>#N/A</v>
          </cell>
          <cell r="D525" t="e">
            <v>#N/A</v>
          </cell>
          <cell r="E525" t="e">
            <v>#N/A</v>
          </cell>
          <cell r="F525" t="e">
            <v>#N/A</v>
          </cell>
          <cell r="G525" t="e">
            <v>#N/A</v>
          </cell>
          <cell r="O525" t="e">
            <v>#N/A</v>
          </cell>
          <cell r="S525">
            <v>100000</v>
          </cell>
          <cell r="T525">
            <v>3138400</v>
          </cell>
          <cell r="V525">
            <v>0</v>
          </cell>
          <cell r="W525">
            <v>0</v>
          </cell>
          <cell r="X525">
            <v>0</v>
          </cell>
          <cell r="Z525">
            <v>0</v>
          </cell>
          <cell r="AB525">
            <v>0</v>
          </cell>
          <cell r="AD525">
            <v>0</v>
          </cell>
          <cell r="AF525">
            <v>0</v>
          </cell>
        </row>
        <row r="526">
          <cell r="A526">
            <v>525</v>
          </cell>
          <cell r="C526" t="e">
            <v>#N/A</v>
          </cell>
          <cell r="D526" t="e">
            <v>#N/A</v>
          </cell>
          <cell r="E526" t="e">
            <v>#N/A</v>
          </cell>
          <cell r="F526" t="e">
            <v>#N/A</v>
          </cell>
          <cell r="G526" t="e">
            <v>#N/A</v>
          </cell>
          <cell r="O526" t="e">
            <v>#N/A</v>
          </cell>
          <cell r="S526">
            <v>100000</v>
          </cell>
          <cell r="T526">
            <v>3138400</v>
          </cell>
          <cell r="V526">
            <v>0</v>
          </cell>
          <cell r="W526">
            <v>0</v>
          </cell>
          <cell r="X526">
            <v>0</v>
          </cell>
          <cell r="Z526">
            <v>0</v>
          </cell>
          <cell r="AB526">
            <v>0</v>
          </cell>
          <cell r="AD526">
            <v>0</v>
          </cell>
          <cell r="AF526">
            <v>0</v>
          </cell>
        </row>
        <row r="527">
          <cell r="A527">
            <v>526</v>
          </cell>
          <cell r="C527" t="e">
            <v>#N/A</v>
          </cell>
          <cell r="D527" t="e">
            <v>#N/A</v>
          </cell>
          <cell r="E527" t="e">
            <v>#N/A</v>
          </cell>
          <cell r="F527" t="e">
            <v>#N/A</v>
          </cell>
          <cell r="G527" t="e">
            <v>#N/A</v>
          </cell>
          <cell r="O527" t="e">
            <v>#N/A</v>
          </cell>
          <cell r="S527">
            <v>0</v>
          </cell>
          <cell r="T527">
            <v>3138400</v>
          </cell>
          <cell r="V527">
            <v>0</v>
          </cell>
          <cell r="W527">
            <v>0</v>
          </cell>
          <cell r="X527">
            <v>0</v>
          </cell>
          <cell r="Z527">
            <v>0</v>
          </cell>
          <cell r="AB527">
            <v>0</v>
          </cell>
          <cell r="AD527">
            <v>0</v>
          </cell>
          <cell r="AF527">
            <v>0</v>
          </cell>
        </row>
        <row r="528">
          <cell r="A528">
            <v>527</v>
          </cell>
          <cell r="C528" t="e">
            <v>#N/A</v>
          </cell>
          <cell r="D528" t="e">
            <v>#N/A</v>
          </cell>
          <cell r="E528" t="e">
            <v>#N/A</v>
          </cell>
          <cell r="F528" t="e">
            <v>#N/A</v>
          </cell>
          <cell r="G528" t="e">
            <v>#N/A</v>
          </cell>
          <cell r="O528" t="e">
            <v>#N/A</v>
          </cell>
          <cell r="S528">
            <v>0</v>
          </cell>
          <cell r="T528">
            <v>3138400</v>
          </cell>
          <cell r="V528">
            <v>0</v>
          </cell>
          <cell r="W528">
            <v>0</v>
          </cell>
          <cell r="X528">
            <v>0</v>
          </cell>
          <cell r="Z528">
            <v>0</v>
          </cell>
          <cell r="AB528">
            <v>0</v>
          </cell>
          <cell r="AD528">
            <v>0</v>
          </cell>
          <cell r="AF528">
            <v>0</v>
          </cell>
        </row>
        <row r="529">
          <cell r="A529">
            <v>528</v>
          </cell>
          <cell r="C529" t="e">
            <v>#N/A</v>
          </cell>
          <cell r="D529" t="e">
            <v>#N/A</v>
          </cell>
          <cell r="E529" t="e">
            <v>#N/A</v>
          </cell>
          <cell r="F529" t="e">
            <v>#N/A</v>
          </cell>
          <cell r="G529" t="e">
            <v>#N/A</v>
          </cell>
          <cell r="O529" t="e">
            <v>#N/A</v>
          </cell>
          <cell r="S529">
            <v>0</v>
          </cell>
          <cell r="T529">
            <v>3138400</v>
          </cell>
          <cell r="U529" t="str">
            <v>ya</v>
          </cell>
          <cell r="V529" t="e">
            <v>#N/A</v>
          </cell>
          <cell r="W529" t="e">
            <v>#N/A</v>
          </cell>
          <cell r="X529" t="e">
            <v>#N/A</v>
          </cell>
          <cell r="Z529">
            <v>0</v>
          </cell>
          <cell r="AB529">
            <v>0</v>
          </cell>
          <cell r="AD529">
            <v>0</v>
          </cell>
          <cell r="AF529">
            <v>0</v>
          </cell>
        </row>
        <row r="530">
          <cell r="A530">
            <v>529</v>
          </cell>
          <cell r="C530" t="e">
            <v>#N/A</v>
          </cell>
          <cell r="D530" t="e">
            <v>#N/A</v>
          </cell>
          <cell r="E530" t="e">
            <v>#N/A</v>
          </cell>
          <cell r="F530" t="e">
            <v>#N/A</v>
          </cell>
          <cell r="G530" t="e">
            <v>#N/A</v>
          </cell>
          <cell r="O530" t="e">
            <v>#N/A</v>
          </cell>
          <cell r="S530">
            <v>0</v>
          </cell>
          <cell r="T530">
            <v>3138400</v>
          </cell>
          <cell r="U530" t="str">
            <v>ya</v>
          </cell>
          <cell r="V530" t="e">
            <v>#N/A</v>
          </cell>
          <cell r="W530" t="e">
            <v>#N/A</v>
          </cell>
          <cell r="X530" t="e">
            <v>#N/A</v>
          </cell>
          <cell r="Z530">
            <v>0</v>
          </cell>
          <cell r="AB530">
            <v>0</v>
          </cell>
          <cell r="AD530">
            <v>0</v>
          </cell>
          <cell r="AF530">
            <v>0</v>
          </cell>
        </row>
        <row r="531">
          <cell r="A531">
            <v>530</v>
          </cell>
          <cell r="C531" t="e">
            <v>#N/A</v>
          </cell>
          <cell r="D531" t="e">
            <v>#N/A</v>
          </cell>
          <cell r="E531" t="e">
            <v>#N/A</v>
          </cell>
          <cell r="F531" t="e">
            <v>#N/A</v>
          </cell>
          <cell r="G531" t="e">
            <v>#N/A</v>
          </cell>
          <cell r="O531" t="e">
            <v>#N/A</v>
          </cell>
          <cell r="S531">
            <v>0</v>
          </cell>
          <cell r="T531">
            <v>3138400</v>
          </cell>
          <cell r="V531">
            <v>0</v>
          </cell>
          <cell r="W531">
            <v>0</v>
          </cell>
          <cell r="X531">
            <v>0</v>
          </cell>
          <cell r="Z531">
            <v>0</v>
          </cell>
          <cell r="AB531">
            <v>0</v>
          </cell>
          <cell r="AD531">
            <v>0</v>
          </cell>
          <cell r="AF531">
            <v>0</v>
          </cell>
        </row>
        <row r="532">
          <cell r="A532">
            <v>531</v>
          </cell>
          <cell r="C532" t="e">
            <v>#N/A</v>
          </cell>
          <cell r="D532" t="e">
            <v>#N/A</v>
          </cell>
          <cell r="E532" t="e">
            <v>#N/A</v>
          </cell>
          <cell r="F532" t="e">
            <v>#N/A</v>
          </cell>
          <cell r="G532" t="e">
            <v>#N/A</v>
          </cell>
          <cell r="O532" t="e">
            <v>#N/A</v>
          </cell>
          <cell r="S532">
            <v>0</v>
          </cell>
          <cell r="T532">
            <v>3138400</v>
          </cell>
          <cell r="V532">
            <v>0</v>
          </cell>
          <cell r="W532">
            <v>0</v>
          </cell>
          <cell r="X532">
            <v>0</v>
          </cell>
          <cell r="Z532">
            <v>0</v>
          </cell>
          <cell r="AB532">
            <v>0</v>
          </cell>
          <cell r="AD532">
            <v>0</v>
          </cell>
          <cell r="AF532">
            <v>0</v>
          </cell>
        </row>
        <row r="533">
          <cell r="A533">
            <v>532</v>
          </cell>
          <cell r="C533" t="e">
            <v>#N/A</v>
          </cell>
          <cell r="D533" t="e">
            <v>#N/A</v>
          </cell>
          <cell r="E533" t="e">
            <v>#N/A</v>
          </cell>
          <cell r="F533" t="e">
            <v>#N/A</v>
          </cell>
          <cell r="G533" t="e">
            <v>#N/A</v>
          </cell>
          <cell r="O533" t="e">
            <v>#N/A</v>
          </cell>
          <cell r="S533">
            <v>0</v>
          </cell>
          <cell r="T533">
            <v>3138400</v>
          </cell>
          <cell r="V533">
            <v>0</v>
          </cell>
          <cell r="W533">
            <v>0</v>
          </cell>
          <cell r="X533">
            <v>0</v>
          </cell>
          <cell r="Z533">
            <v>0</v>
          </cell>
          <cell r="AB533">
            <v>0</v>
          </cell>
          <cell r="AD533">
            <v>0</v>
          </cell>
          <cell r="AF533">
            <v>0</v>
          </cell>
        </row>
        <row r="534">
          <cell r="A534">
            <v>533</v>
          </cell>
          <cell r="C534" t="e">
            <v>#N/A</v>
          </cell>
          <cell r="D534" t="e">
            <v>#N/A</v>
          </cell>
          <cell r="E534" t="e">
            <v>#N/A</v>
          </cell>
          <cell r="F534" t="e">
            <v>#N/A</v>
          </cell>
          <cell r="G534" t="e">
            <v>#N/A</v>
          </cell>
          <cell r="O534" t="e">
            <v>#N/A</v>
          </cell>
          <cell r="S534">
            <v>0</v>
          </cell>
          <cell r="T534">
            <v>3138400</v>
          </cell>
          <cell r="V534">
            <v>0</v>
          </cell>
          <cell r="W534">
            <v>0</v>
          </cell>
          <cell r="X534">
            <v>0</v>
          </cell>
          <cell r="Z534">
            <v>0</v>
          </cell>
          <cell r="AB534">
            <v>0</v>
          </cell>
          <cell r="AD534">
            <v>0</v>
          </cell>
          <cell r="AF534">
            <v>0</v>
          </cell>
        </row>
        <row r="535">
          <cell r="A535">
            <v>534</v>
          </cell>
          <cell r="C535" t="e">
            <v>#N/A</v>
          </cell>
          <cell r="D535" t="e">
            <v>#N/A</v>
          </cell>
          <cell r="E535" t="e">
            <v>#N/A</v>
          </cell>
          <cell r="F535" t="e">
            <v>#N/A</v>
          </cell>
          <cell r="G535" t="e">
            <v>#N/A</v>
          </cell>
          <cell r="O535" t="e">
            <v>#N/A</v>
          </cell>
          <cell r="S535">
            <v>0</v>
          </cell>
          <cell r="T535">
            <v>3138400</v>
          </cell>
          <cell r="V535">
            <v>0</v>
          </cell>
          <cell r="W535">
            <v>0</v>
          </cell>
          <cell r="X535">
            <v>0</v>
          </cell>
          <cell r="Z535">
            <v>0</v>
          </cell>
          <cell r="AB535">
            <v>0</v>
          </cell>
          <cell r="AD535">
            <v>0</v>
          </cell>
          <cell r="AF535">
            <v>0</v>
          </cell>
        </row>
        <row r="536">
          <cell r="A536">
            <v>535</v>
          </cell>
          <cell r="C536" t="e">
            <v>#N/A</v>
          </cell>
          <cell r="D536" t="e">
            <v>#N/A</v>
          </cell>
          <cell r="E536" t="e">
            <v>#N/A</v>
          </cell>
          <cell r="F536" t="e">
            <v>#N/A</v>
          </cell>
          <cell r="G536" t="e">
            <v>#N/A</v>
          </cell>
          <cell r="O536" t="e">
            <v>#N/A</v>
          </cell>
          <cell r="S536">
            <v>0</v>
          </cell>
          <cell r="T536">
            <v>3138400</v>
          </cell>
          <cell r="V536">
            <v>0</v>
          </cell>
          <cell r="W536">
            <v>0</v>
          </cell>
          <cell r="X536">
            <v>0</v>
          </cell>
          <cell r="Z536">
            <v>0</v>
          </cell>
          <cell r="AB536">
            <v>0</v>
          </cell>
          <cell r="AD536">
            <v>0</v>
          </cell>
          <cell r="AF536">
            <v>0</v>
          </cell>
        </row>
        <row r="537">
          <cell r="A537">
            <v>536</v>
          </cell>
          <cell r="C537" t="e">
            <v>#N/A</v>
          </cell>
          <cell r="D537" t="e">
            <v>#N/A</v>
          </cell>
          <cell r="E537" t="e">
            <v>#N/A</v>
          </cell>
          <cell r="F537" t="e">
            <v>#N/A</v>
          </cell>
          <cell r="G537" t="e">
            <v>#N/A</v>
          </cell>
          <cell r="O537" t="e">
            <v>#N/A</v>
          </cell>
          <cell r="S537">
            <v>0</v>
          </cell>
          <cell r="T537">
            <v>3138400</v>
          </cell>
          <cell r="V537">
            <v>0</v>
          </cell>
          <cell r="W537">
            <v>0</v>
          </cell>
          <cell r="X537">
            <v>0</v>
          </cell>
          <cell r="Z537">
            <v>0</v>
          </cell>
          <cell r="AB537">
            <v>0</v>
          </cell>
          <cell r="AD537">
            <v>0</v>
          </cell>
          <cell r="AF537">
            <v>0</v>
          </cell>
        </row>
        <row r="538">
          <cell r="A538">
            <v>537</v>
          </cell>
          <cell r="C538" t="e">
            <v>#N/A</v>
          </cell>
          <cell r="D538" t="e">
            <v>#N/A</v>
          </cell>
          <cell r="E538" t="e">
            <v>#N/A</v>
          </cell>
          <cell r="F538" t="e">
            <v>#N/A</v>
          </cell>
          <cell r="G538" t="e">
            <v>#N/A</v>
          </cell>
          <cell r="O538" t="e">
            <v>#N/A</v>
          </cell>
          <cell r="S538">
            <v>0</v>
          </cell>
          <cell r="T538">
            <v>3138400</v>
          </cell>
          <cell r="V538">
            <v>0</v>
          </cell>
          <cell r="W538">
            <v>0</v>
          </cell>
          <cell r="X538">
            <v>0</v>
          </cell>
          <cell r="Z538">
            <v>0</v>
          </cell>
          <cell r="AB538">
            <v>0</v>
          </cell>
          <cell r="AD538">
            <v>0</v>
          </cell>
          <cell r="AF538">
            <v>0</v>
          </cell>
        </row>
        <row r="539">
          <cell r="A539">
            <v>538</v>
          </cell>
          <cell r="C539" t="e">
            <v>#N/A</v>
          </cell>
          <cell r="D539" t="e">
            <v>#N/A</v>
          </cell>
          <cell r="E539" t="e">
            <v>#N/A</v>
          </cell>
          <cell r="F539" t="e">
            <v>#N/A</v>
          </cell>
          <cell r="G539" t="e">
            <v>#N/A</v>
          </cell>
          <cell r="O539" t="e">
            <v>#N/A</v>
          </cell>
          <cell r="S539">
            <v>0</v>
          </cell>
          <cell r="T539">
            <v>3138400</v>
          </cell>
          <cell r="V539">
            <v>0</v>
          </cell>
          <cell r="W539">
            <v>0</v>
          </cell>
          <cell r="X539">
            <v>0</v>
          </cell>
          <cell r="Z539">
            <v>0</v>
          </cell>
          <cell r="AB539">
            <v>0</v>
          </cell>
          <cell r="AD539">
            <v>0</v>
          </cell>
          <cell r="AF539">
            <v>0</v>
          </cell>
        </row>
        <row r="540">
          <cell r="A540">
            <v>539</v>
          </cell>
          <cell r="C540" t="e">
            <v>#N/A</v>
          </cell>
          <cell r="D540" t="e">
            <v>#N/A</v>
          </cell>
          <cell r="E540" t="e">
            <v>#N/A</v>
          </cell>
          <cell r="F540" t="e">
            <v>#N/A</v>
          </cell>
          <cell r="G540" t="e">
            <v>#N/A</v>
          </cell>
          <cell r="O540" t="e">
            <v>#N/A</v>
          </cell>
          <cell r="S540">
            <v>0</v>
          </cell>
          <cell r="T540">
            <v>3138400</v>
          </cell>
          <cell r="U540" t="str">
            <v>ya</v>
          </cell>
          <cell r="V540" t="e">
            <v>#N/A</v>
          </cell>
          <cell r="W540" t="e">
            <v>#N/A</v>
          </cell>
          <cell r="X540" t="e">
            <v>#N/A</v>
          </cell>
          <cell r="Z540">
            <v>0</v>
          </cell>
          <cell r="AB540">
            <v>0</v>
          </cell>
          <cell r="AD540">
            <v>0</v>
          </cell>
          <cell r="AF540">
            <v>0</v>
          </cell>
        </row>
        <row r="541">
          <cell r="A541">
            <v>540</v>
          </cell>
          <cell r="C541" t="e">
            <v>#N/A</v>
          </cell>
          <cell r="D541" t="e">
            <v>#N/A</v>
          </cell>
          <cell r="E541" t="e">
            <v>#N/A</v>
          </cell>
          <cell r="F541" t="e">
            <v>#N/A</v>
          </cell>
          <cell r="G541" t="e">
            <v>#N/A</v>
          </cell>
          <cell r="O541" t="e">
            <v>#N/A</v>
          </cell>
          <cell r="S541">
            <v>0</v>
          </cell>
          <cell r="T541">
            <v>3138400</v>
          </cell>
          <cell r="U541" t="str">
            <v>ya</v>
          </cell>
          <cell r="V541" t="e">
            <v>#N/A</v>
          </cell>
          <cell r="W541" t="e">
            <v>#N/A</v>
          </cell>
          <cell r="X541" t="e">
            <v>#N/A</v>
          </cell>
          <cell r="Z541">
            <v>0</v>
          </cell>
          <cell r="AB541">
            <v>0</v>
          </cell>
          <cell r="AD541">
            <v>0</v>
          </cell>
          <cell r="AF541">
            <v>0</v>
          </cell>
        </row>
        <row r="542">
          <cell r="A542">
            <v>541</v>
          </cell>
          <cell r="C542" t="e">
            <v>#N/A</v>
          </cell>
          <cell r="D542" t="e">
            <v>#N/A</v>
          </cell>
          <cell r="E542" t="e">
            <v>#N/A</v>
          </cell>
          <cell r="F542" t="e">
            <v>#N/A</v>
          </cell>
          <cell r="G542" t="e">
            <v>#N/A</v>
          </cell>
          <cell r="O542" t="e">
            <v>#N/A</v>
          </cell>
          <cell r="S542">
            <v>0</v>
          </cell>
          <cell r="T542">
            <v>3138400</v>
          </cell>
          <cell r="U542" t="str">
            <v>ya</v>
          </cell>
          <cell r="V542" t="e">
            <v>#N/A</v>
          </cell>
          <cell r="W542" t="e">
            <v>#N/A</v>
          </cell>
          <cell r="X542" t="e">
            <v>#N/A</v>
          </cell>
          <cell r="Z542">
            <v>0</v>
          </cell>
          <cell r="AB542">
            <v>0</v>
          </cell>
          <cell r="AD542">
            <v>0</v>
          </cell>
          <cell r="AF542">
            <v>0</v>
          </cell>
        </row>
        <row r="543">
          <cell r="A543">
            <v>542</v>
          </cell>
          <cell r="C543" t="e">
            <v>#N/A</v>
          </cell>
          <cell r="D543" t="e">
            <v>#N/A</v>
          </cell>
          <cell r="E543" t="e">
            <v>#N/A</v>
          </cell>
          <cell r="F543" t="e">
            <v>#N/A</v>
          </cell>
          <cell r="G543" t="e">
            <v>#N/A</v>
          </cell>
          <cell r="O543" t="e">
            <v>#N/A</v>
          </cell>
          <cell r="S543">
            <v>0</v>
          </cell>
          <cell r="T543">
            <v>3138400</v>
          </cell>
          <cell r="U543" t="str">
            <v>ya</v>
          </cell>
          <cell r="V543" t="e">
            <v>#N/A</v>
          </cell>
          <cell r="W543" t="e">
            <v>#N/A</v>
          </cell>
          <cell r="X543" t="e">
            <v>#N/A</v>
          </cell>
          <cell r="Z543">
            <v>0</v>
          </cell>
          <cell r="AB543">
            <v>0</v>
          </cell>
          <cell r="AD543">
            <v>0</v>
          </cell>
          <cell r="AF543">
            <v>0</v>
          </cell>
        </row>
        <row r="544">
          <cell r="A544">
            <v>543</v>
          </cell>
          <cell r="C544" t="e">
            <v>#N/A</v>
          </cell>
          <cell r="D544" t="e">
            <v>#N/A</v>
          </cell>
          <cell r="E544" t="e">
            <v>#N/A</v>
          </cell>
          <cell r="F544" t="e">
            <v>#N/A</v>
          </cell>
          <cell r="G544" t="e">
            <v>#N/A</v>
          </cell>
          <cell r="O544" t="e">
            <v>#N/A</v>
          </cell>
          <cell r="S544">
            <v>0</v>
          </cell>
          <cell r="T544">
            <v>3138400</v>
          </cell>
          <cell r="V544">
            <v>0</v>
          </cell>
          <cell r="W544">
            <v>0</v>
          </cell>
          <cell r="X544">
            <v>0</v>
          </cell>
          <cell r="Z544">
            <v>0</v>
          </cell>
          <cell r="AB544">
            <v>0</v>
          </cell>
          <cell r="AD544">
            <v>0</v>
          </cell>
          <cell r="AF544">
            <v>0</v>
          </cell>
        </row>
        <row r="545">
          <cell r="A545">
            <v>544</v>
          </cell>
          <cell r="C545" t="e">
            <v>#N/A</v>
          </cell>
          <cell r="D545" t="e">
            <v>#N/A</v>
          </cell>
          <cell r="E545" t="e">
            <v>#N/A</v>
          </cell>
          <cell r="F545" t="e">
            <v>#N/A</v>
          </cell>
          <cell r="G545" t="e">
            <v>#N/A</v>
          </cell>
          <cell r="O545" t="e">
            <v>#N/A</v>
          </cell>
          <cell r="S545">
            <v>0</v>
          </cell>
          <cell r="T545">
            <v>3138400</v>
          </cell>
          <cell r="U545" t="str">
            <v>ya</v>
          </cell>
          <cell r="V545" t="e">
            <v>#N/A</v>
          </cell>
          <cell r="W545" t="e">
            <v>#N/A</v>
          </cell>
          <cell r="X545" t="e">
            <v>#N/A</v>
          </cell>
          <cell r="Z545">
            <v>0</v>
          </cell>
          <cell r="AB545">
            <v>0</v>
          </cell>
          <cell r="AD545">
            <v>0</v>
          </cell>
          <cell r="AF545">
            <v>0</v>
          </cell>
        </row>
        <row r="546">
          <cell r="A546">
            <v>545</v>
          </cell>
          <cell r="C546" t="e">
            <v>#N/A</v>
          </cell>
          <cell r="D546" t="e">
            <v>#N/A</v>
          </cell>
          <cell r="E546" t="e">
            <v>#N/A</v>
          </cell>
          <cell r="F546" t="e">
            <v>#N/A</v>
          </cell>
          <cell r="G546" t="e">
            <v>#N/A</v>
          </cell>
          <cell r="O546" t="e">
            <v>#N/A</v>
          </cell>
          <cell r="S546">
            <v>0</v>
          </cell>
          <cell r="T546">
            <v>3138400</v>
          </cell>
          <cell r="U546" t="str">
            <v>ya</v>
          </cell>
          <cell r="V546" t="e">
            <v>#N/A</v>
          </cell>
          <cell r="W546" t="e">
            <v>#N/A</v>
          </cell>
          <cell r="X546" t="e">
            <v>#N/A</v>
          </cell>
          <cell r="Z546">
            <v>0</v>
          </cell>
          <cell r="AB546">
            <v>0</v>
          </cell>
          <cell r="AD546">
            <v>0</v>
          </cell>
          <cell r="AF546">
            <v>0</v>
          </cell>
        </row>
        <row r="547">
          <cell r="A547">
            <v>546</v>
          </cell>
          <cell r="C547" t="e">
            <v>#N/A</v>
          </cell>
          <cell r="D547" t="e">
            <v>#N/A</v>
          </cell>
          <cell r="E547" t="e">
            <v>#N/A</v>
          </cell>
          <cell r="F547" t="e">
            <v>#N/A</v>
          </cell>
          <cell r="G547" t="e">
            <v>#N/A</v>
          </cell>
          <cell r="O547" t="e">
            <v>#N/A</v>
          </cell>
          <cell r="S547">
            <v>0</v>
          </cell>
          <cell r="T547">
            <v>3138400</v>
          </cell>
          <cell r="U547" t="str">
            <v>ya</v>
          </cell>
          <cell r="V547" t="e">
            <v>#N/A</v>
          </cell>
          <cell r="W547" t="e">
            <v>#N/A</v>
          </cell>
          <cell r="X547" t="e">
            <v>#N/A</v>
          </cell>
          <cell r="Z547">
            <v>0</v>
          </cell>
          <cell r="AB547">
            <v>0</v>
          </cell>
          <cell r="AD547">
            <v>0</v>
          </cell>
          <cell r="AF547">
            <v>0</v>
          </cell>
        </row>
        <row r="548">
          <cell r="A548">
            <v>547</v>
          </cell>
          <cell r="C548" t="e">
            <v>#N/A</v>
          </cell>
          <cell r="D548" t="e">
            <v>#N/A</v>
          </cell>
          <cell r="E548" t="e">
            <v>#N/A</v>
          </cell>
          <cell r="F548" t="e">
            <v>#N/A</v>
          </cell>
          <cell r="G548" t="e">
            <v>#N/A</v>
          </cell>
          <cell r="O548" t="e">
            <v>#N/A</v>
          </cell>
          <cell r="S548">
            <v>0</v>
          </cell>
          <cell r="T548">
            <v>3138400</v>
          </cell>
          <cell r="U548" t="str">
            <v>ya</v>
          </cell>
          <cell r="V548" t="e">
            <v>#N/A</v>
          </cell>
          <cell r="W548" t="e">
            <v>#N/A</v>
          </cell>
          <cell r="X548" t="e">
            <v>#N/A</v>
          </cell>
          <cell r="Z548">
            <v>0</v>
          </cell>
          <cell r="AB548">
            <v>0</v>
          </cell>
          <cell r="AD548">
            <v>0</v>
          </cell>
          <cell r="AF548">
            <v>0</v>
          </cell>
        </row>
        <row r="549">
          <cell r="A549">
            <v>548</v>
          </cell>
          <cell r="C549" t="e">
            <v>#N/A</v>
          </cell>
          <cell r="D549" t="e">
            <v>#N/A</v>
          </cell>
          <cell r="E549" t="e">
            <v>#N/A</v>
          </cell>
          <cell r="F549" t="e">
            <v>#N/A</v>
          </cell>
          <cell r="G549" t="e">
            <v>#N/A</v>
          </cell>
          <cell r="O549" t="e">
            <v>#N/A</v>
          </cell>
          <cell r="S549">
            <v>0</v>
          </cell>
          <cell r="T549">
            <v>3138400</v>
          </cell>
          <cell r="U549" t="str">
            <v>ya</v>
          </cell>
          <cell r="V549" t="e">
            <v>#N/A</v>
          </cell>
          <cell r="W549" t="e">
            <v>#N/A</v>
          </cell>
          <cell r="X549" t="e">
            <v>#N/A</v>
          </cell>
          <cell r="Z549">
            <v>0</v>
          </cell>
          <cell r="AB549">
            <v>0</v>
          </cell>
          <cell r="AD549">
            <v>0</v>
          </cell>
          <cell r="AF549">
            <v>0</v>
          </cell>
        </row>
        <row r="550">
          <cell r="A550">
            <v>549</v>
          </cell>
          <cell r="C550" t="e">
            <v>#N/A</v>
          </cell>
          <cell r="D550" t="e">
            <v>#N/A</v>
          </cell>
          <cell r="E550" t="e">
            <v>#N/A</v>
          </cell>
          <cell r="F550" t="e">
            <v>#N/A</v>
          </cell>
          <cell r="G550" t="e">
            <v>#N/A</v>
          </cell>
          <cell r="O550" t="e">
            <v>#N/A</v>
          </cell>
          <cell r="S550">
            <v>0</v>
          </cell>
          <cell r="T550">
            <v>3138400</v>
          </cell>
          <cell r="U550" t="str">
            <v>ya</v>
          </cell>
          <cell r="V550" t="e">
            <v>#N/A</v>
          </cell>
          <cell r="W550" t="e">
            <v>#N/A</v>
          </cell>
          <cell r="X550" t="e">
            <v>#N/A</v>
          </cell>
          <cell r="Z550">
            <v>0</v>
          </cell>
          <cell r="AB550">
            <v>0</v>
          </cell>
          <cell r="AD550">
            <v>0</v>
          </cell>
          <cell r="AF550">
            <v>0</v>
          </cell>
        </row>
        <row r="551">
          <cell r="A551">
            <v>550</v>
          </cell>
          <cell r="C551" t="e">
            <v>#N/A</v>
          </cell>
          <cell r="D551" t="e">
            <v>#N/A</v>
          </cell>
          <cell r="E551" t="e">
            <v>#N/A</v>
          </cell>
          <cell r="F551" t="e">
            <v>#N/A</v>
          </cell>
          <cell r="G551" t="e">
            <v>#N/A</v>
          </cell>
          <cell r="O551" t="e">
            <v>#N/A</v>
          </cell>
          <cell r="S551">
            <v>0</v>
          </cell>
          <cell r="T551">
            <v>3138400</v>
          </cell>
          <cell r="U551" t="str">
            <v>ya</v>
          </cell>
          <cell r="V551" t="e">
            <v>#N/A</v>
          </cell>
          <cell r="W551" t="e">
            <v>#N/A</v>
          </cell>
          <cell r="X551" t="e">
            <v>#N/A</v>
          </cell>
          <cell r="Z551">
            <v>0</v>
          </cell>
          <cell r="AB551">
            <v>0</v>
          </cell>
          <cell r="AD551">
            <v>0</v>
          </cell>
          <cell r="AF551">
            <v>0</v>
          </cell>
        </row>
        <row r="552">
          <cell r="A552">
            <v>551</v>
          </cell>
          <cell r="C552" t="e">
            <v>#N/A</v>
          </cell>
          <cell r="D552" t="e">
            <v>#N/A</v>
          </cell>
          <cell r="E552" t="e">
            <v>#N/A</v>
          </cell>
          <cell r="F552" t="e">
            <v>#N/A</v>
          </cell>
          <cell r="G552" t="e">
            <v>#N/A</v>
          </cell>
          <cell r="O552" t="e">
            <v>#N/A</v>
          </cell>
          <cell r="S552">
            <v>0</v>
          </cell>
          <cell r="T552">
            <v>3138400</v>
          </cell>
          <cell r="V552">
            <v>0</v>
          </cell>
          <cell r="W552">
            <v>0</v>
          </cell>
          <cell r="X552">
            <v>0</v>
          </cell>
          <cell r="Z552">
            <v>0</v>
          </cell>
          <cell r="AB552">
            <v>0</v>
          </cell>
          <cell r="AD552">
            <v>0</v>
          </cell>
          <cell r="AF552">
            <v>0</v>
          </cell>
        </row>
        <row r="553">
          <cell r="A553">
            <v>552</v>
          </cell>
          <cell r="C553" t="e">
            <v>#N/A</v>
          </cell>
          <cell r="D553" t="e">
            <v>#N/A</v>
          </cell>
          <cell r="E553" t="e">
            <v>#N/A</v>
          </cell>
          <cell r="F553" t="e">
            <v>#N/A</v>
          </cell>
          <cell r="G553" t="e">
            <v>#N/A</v>
          </cell>
          <cell r="O553" t="e">
            <v>#N/A</v>
          </cell>
          <cell r="S553">
            <v>0</v>
          </cell>
          <cell r="T553">
            <v>3138400</v>
          </cell>
          <cell r="V553">
            <v>0</v>
          </cell>
          <cell r="W553">
            <v>0</v>
          </cell>
          <cell r="X553">
            <v>0</v>
          </cell>
          <cell r="Z553">
            <v>0</v>
          </cell>
          <cell r="AB553">
            <v>0</v>
          </cell>
          <cell r="AD553">
            <v>0</v>
          </cell>
          <cell r="AF553">
            <v>0</v>
          </cell>
        </row>
        <row r="554">
          <cell r="A554">
            <v>553</v>
          </cell>
          <cell r="C554" t="e">
            <v>#N/A</v>
          </cell>
          <cell r="D554" t="e">
            <v>#N/A</v>
          </cell>
          <cell r="E554" t="e">
            <v>#N/A</v>
          </cell>
          <cell r="F554" t="e">
            <v>#N/A</v>
          </cell>
          <cell r="G554" t="e">
            <v>#N/A</v>
          </cell>
          <cell r="O554" t="e">
            <v>#N/A</v>
          </cell>
          <cell r="S554">
            <v>0</v>
          </cell>
          <cell r="T554">
            <v>3138400</v>
          </cell>
          <cell r="V554">
            <v>0</v>
          </cell>
          <cell r="W554">
            <v>0</v>
          </cell>
          <cell r="X554">
            <v>0</v>
          </cell>
          <cell r="Z554">
            <v>0</v>
          </cell>
          <cell r="AB554">
            <v>0</v>
          </cell>
          <cell r="AD554">
            <v>0</v>
          </cell>
          <cell r="AF554">
            <v>0</v>
          </cell>
        </row>
        <row r="555">
          <cell r="A555">
            <v>554</v>
          </cell>
          <cell r="C555" t="e">
            <v>#N/A</v>
          </cell>
          <cell r="D555" t="e">
            <v>#N/A</v>
          </cell>
          <cell r="E555" t="e">
            <v>#N/A</v>
          </cell>
          <cell r="F555" t="e">
            <v>#N/A</v>
          </cell>
          <cell r="G555" t="e">
            <v>#N/A</v>
          </cell>
          <cell r="O555" t="e">
            <v>#N/A</v>
          </cell>
          <cell r="S555">
            <v>0</v>
          </cell>
          <cell r="T555">
            <v>3138400</v>
          </cell>
          <cell r="V555">
            <v>0</v>
          </cell>
          <cell r="W555">
            <v>0</v>
          </cell>
          <cell r="X555">
            <v>0</v>
          </cell>
          <cell r="Z555">
            <v>0</v>
          </cell>
          <cell r="AB555">
            <v>0</v>
          </cell>
          <cell r="AD555">
            <v>0</v>
          </cell>
          <cell r="AF555">
            <v>0</v>
          </cell>
        </row>
        <row r="556">
          <cell r="A556">
            <v>555</v>
          </cell>
          <cell r="C556" t="e">
            <v>#N/A</v>
          </cell>
          <cell r="D556" t="e">
            <v>#N/A</v>
          </cell>
          <cell r="E556" t="e">
            <v>#N/A</v>
          </cell>
          <cell r="F556" t="e">
            <v>#N/A</v>
          </cell>
          <cell r="G556" t="e">
            <v>#N/A</v>
          </cell>
          <cell r="O556" t="e">
            <v>#N/A</v>
          </cell>
          <cell r="S556">
            <v>0</v>
          </cell>
          <cell r="T556">
            <v>3138400</v>
          </cell>
          <cell r="V556">
            <v>0</v>
          </cell>
          <cell r="W556">
            <v>0</v>
          </cell>
          <cell r="X556">
            <v>0</v>
          </cell>
          <cell r="Z556">
            <v>0</v>
          </cell>
          <cell r="AB556">
            <v>0</v>
          </cell>
          <cell r="AD556">
            <v>0</v>
          </cell>
          <cell r="AF556">
            <v>0</v>
          </cell>
        </row>
        <row r="557">
          <cell r="A557">
            <v>556</v>
          </cell>
          <cell r="C557" t="e">
            <v>#N/A</v>
          </cell>
          <cell r="D557" t="e">
            <v>#N/A</v>
          </cell>
          <cell r="E557" t="e">
            <v>#N/A</v>
          </cell>
          <cell r="F557" t="e">
            <v>#N/A</v>
          </cell>
          <cell r="G557" t="e">
            <v>#N/A</v>
          </cell>
          <cell r="O557" t="e">
            <v>#N/A</v>
          </cell>
          <cell r="S557">
            <v>0</v>
          </cell>
          <cell r="T557">
            <v>3138400</v>
          </cell>
          <cell r="V557">
            <v>0</v>
          </cell>
          <cell r="W557">
            <v>0</v>
          </cell>
          <cell r="X557">
            <v>0</v>
          </cell>
          <cell r="Z557">
            <v>0</v>
          </cell>
          <cell r="AB557">
            <v>0</v>
          </cell>
          <cell r="AD557">
            <v>0</v>
          </cell>
          <cell r="AF557">
            <v>0</v>
          </cell>
        </row>
        <row r="558">
          <cell r="A558">
            <v>557</v>
          </cell>
          <cell r="C558" t="e">
            <v>#N/A</v>
          </cell>
          <cell r="D558" t="e">
            <v>#N/A</v>
          </cell>
          <cell r="E558" t="e">
            <v>#N/A</v>
          </cell>
          <cell r="F558" t="e">
            <v>#N/A</v>
          </cell>
          <cell r="G558" t="e">
            <v>#N/A</v>
          </cell>
          <cell r="O558" t="e">
            <v>#N/A</v>
          </cell>
          <cell r="S558">
            <v>0</v>
          </cell>
          <cell r="T558">
            <v>3138400</v>
          </cell>
          <cell r="V558">
            <v>0</v>
          </cell>
          <cell r="W558">
            <v>0</v>
          </cell>
          <cell r="X558">
            <v>0</v>
          </cell>
          <cell r="Z558">
            <v>0</v>
          </cell>
          <cell r="AB558">
            <v>0</v>
          </cell>
          <cell r="AD558">
            <v>0</v>
          </cell>
          <cell r="AF558">
            <v>0</v>
          </cell>
        </row>
        <row r="559">
          <cell r="A559">
            <v>558</v>
          </cell>
          <cell r="C559" t="e">
            <v>#N/A</v>
          </cell>
          <cell r="D559" t="e">
            <v>#N/A</v>
          </cell>
          <cell r="E559" t="e">
            <v>#N/A</v>
          </cell>
          <cell r="F559" t="e">
            <v>#N/A</v>
          </cell>
          <cell r="G559" t="e">
            <v>#N/A</v>
          </cell>
          <cell r="O559" t="e">
            <v>#N/A</v>
          </cell>
          <cell r="S559">
            <v>0</v>
          </cell>
          <cell r="T559">
            <v>3138400</v>
          </cell>
          <cell r="V559">
            <v>0</v>
          </cell>
          <cell r="W559">
            <v>0</v>
          </cell>
          <cell r="X559">
            <v>0</v>
          </cell>
          <cell r="Z559">
            <v>0</v>
          </cell>
          <cell r="AB559">
            <v>0</v>
          </cell>
          <cell r="AD559">
            <v>0</v>
          </cell>
          <cell r="AF559">
            <v>0</v>
          </cell>
        </row>
        <row r="560">
          <cell r="A560">
            <v>559</v>
          </cell>
          <cell r="C560" t="e">
            <v>#N/A</v>
          </cell>
          <cell r="D560" t="e">
            <v>#N/A</v>
          </cell>
          <cell r="E560" t="e">
            <v>#N/A</v>
          </cell>
          <cell r="F560" t="e">
            <v>#N/A</v>
          </cell>
          <cell r="G560" t="e">
            <v>#N/A</v>
          </cell>
          <cell r="O560" t="e">
            <v>#N/A</v>
          </cell>
          <cell r="S560">
            <v>0</v>
          </cell>
          <cell r="T560">
            <v>3138400</v>
          </cell>
          <cell r="V560">
            <v>0</v>
          </cell>
          <cell r="W560">
            <v>0</v>
          </cell>
          <cell r="X560">
            <v>0</v>
          </cell>
          <cell r="Z560">
            <v>0</v>
          </cell>
          <cell r="AB560">
            <v>0</v>
          </cell>
          <cell r="AD560">
            <v>0</v>
          </cell>
          <cell r="AF560">
            <v>0</v>
          </cell>
        </row>
        <row r="561">
          <cell r="A561">
            <v>560</v>
          </cell>
          <cell r="C561" t="e">
            <v>#N/A</v>
          </cell>
          <cell r="D561" t="e">
            <v>#N/A</v>
          </cell>
          <cell r="E561" t="e">
            <v>#N/A</v>
          </cell>
          <cell r="F561" t="e">
            <v>#N/A</v>
          </cell>
          <cell r="G561" t="e">
            <v>#N/A</v>
          </cell>
          <cell r="O561" t="e">
            <v>#N/A</v>
          </cell>
          <cell r="S561">
            <v>0</v>
          </cell>
          <cell r="T561">
            <v>3138400</v>
          </cell>
          <cell r="V561">
            <v>0</v>
          </cell>
          <cell r="W561">
            <v>0</v>
          </cell>
          <cell r="X561">
            <v>0</v>
          </cell>
          <cell r="Z561">
            <v>0</v>
          </cell>
          <cell r="AB561">
            <v>0</v>
          </cell>
          <cell r="AD561">
            <v>0</v>
          </cell>
          <cell r="AF561">
            <v>0</v>
          </cell>
        </row>
        <row r="562">
          <cell r="A562">
            <v>561</v>
          </cell>
          <cell r="C562" t="e">
            <v>#N/A</v>
          </cell>
          <cell r="D562" t="e">
            <v>#N/A</v>
          </cell>
          <cell r="E562" t="e">
            <v>#N/A</v>
          </cell>
          <cell r="F562" t="e">
            <v>#N/A</v>
          </cell>
          <cell r="G562" t="e">
            <v>#N/A</v>
          </cell>
          <cell r="O562" t="e">
            <v>#N/A</v>
          </cell>
          <cell r="S562">
            <v>0</v>
          </cell>
          <cell r="T562">
            <v>3138400</v>
          </cell>
          <cell r="V562">
            <v>0</v>
          </cell>
          <cell r="W562">
            <v>0</v>
          </cell>
          <cell r="X562">
            <v>0</v>
          </cell>
          <cell r="Z562">
            <v>0</v>
          </cell>
          <cell r="AB562">
            <v>0</v>
          </cell>
          <cell r="AD562">
            <v>0</v>
          </cell>
          <cell r="AF562">
            <v>0</v>
          </cell>
        </row>
        <row r="563">
          <cell r="A563">
            <v>562</v>
          </cell>
          <cell r="C563" t="e">
            <v>#N/A</v>
          </cell>
          <cell r="D563" t="e">
            <v>#N/A</v>
          </cell>
          <cell r="E563" t="e">
            <v>#N/A</v>
          </cell>
          <cell r="F563" t="e">
            <v>#N/A</v>
          </cell>
          <cell r="G563" t="e">
            <v>#N/A</v>
          </cell>
          <cell r="O563" t="e">
            <v>#N/A</v>
          </cell>
          <cell r="S563">
            <v>0</v>
          </cell>
          <cell r="T563">
            <v>3138400</v>
          </cell>
          <cell r="V563">
            <v>0</v>
          </cell>
          <cell r="W563">
            <v>0</v>
          </cell>
          <cell r="X563">
            <v>0</v>
          </cell>
          <cell r="Z563">
            <v>0</v>
          </cell>
          <cell r="AB563">
            <v>0</v>
          </cell>
          <cell r="AD563">
            <v>0</v>
          </cell>
          <cell r="AF563">
            <v>0</v>
          </cell>
        </row>
        <row r="564">
          <cell r="A564">
            <v>563</v>
          </cell>
          <cell r="C564" t="e">
            <v>#N/A</v>
          </cell>
          <cell r="D564" t="e">
            <v>#N/A</v>
          </cell>
          <cell r="E564" t="e">
            <v>#N/A</v>
          </cell>
          <cell r="F564" t="e">
            <v>#N/A</v>
          </cell>
          <cell r="G564" t="e">
            <v>#N/A</v>
          </cell>
          <cell r="O564" t="e">
            <v>#N/A</v>
          </cell>
          <cell r="S564">
            <v>0</v>
          </cell>
          <cell r="T564">
            <v>3138400</v>
          </cell>
          <cell r="V564">
            <v>0</v>
          </cell>
          <cell r="W564">
            <v>0</v>
          </cell>
          <cell r="X564">
            <v>0</v>
          </cell>
          <cell r="Z564">
            <v>0</v>
          </cell>
          <cell r="AB564">
            <v>0</v>
          </cell>
          <cell r="AD564">
            <v>0</v>
          </cell>
          <cell r="AF564">
            <v>0</v>
          </cell>
        </row>
        <row r="565">
          <cell r="A565">
            <v>564</v>
          </cell>
          <cell r="C565" t="e">
            <v>#N/A</v>
          </cell>
          <cell r="D565" t="e">
            <v>#N/A</v>
          </cell>
          <cell r="E565" t="e">
            <v>#N/A</v>
          </cell>
          <cell r="F565" t="e">
            <v>#N/A</v>
          </cell>
          <cell r="G565" t="e">
            <v>#N/A</v>
          </cell>
          <cell r="O565" t="e">
            <v>#N/A</v>
          </cell>
          <cell r="S565">
            <v>0</v>
          </cell>
          <cell r="T565">
            <v>3138400</v>
          </cell>
          <cell r="V565">
            <v>0</v>
          </cell>
          <cell r="W565">
            <v>0</v>
          </cell>
          <cell r="X565">
            <v>0</v>
          </cell>
          <cell r="Z565">
            <v>0</v>
          </cell>
          <cell r="AB565">
            <v>0</v>
          </cell>
          <cell r="AD565">
            <v>0</v>
          </cell>
          <cell r="AF565">
            <v>0</v>
          </cell>
        </row>
        <row r="566">
          <cell r="A566">
            <v>565</v>
          </cell>
          <cell r="C566" t="e">
            <v>#N/A</v>
          </cell>
          <cell r="D566" t="e">
            <v>#N/A</v>
          </cell>
          <cell r="E566" t="e">
            <v>#N/A</v>
          </cell>
          <cell r="F566" t="e">
            <v>#N/A</v>
          </cell>
          <cell r="G566" t="e">
            <v>#N/A</v>
          </cell>
          <cell r="O566" t="e">
            <v>#N/A</v>
          </cell>
          <cell r="S566">
            <v>0</v>
          </cell>
          <cell r="T566">
            <v>3138400</v>
          </cell>
          <cell r="U566" t="str">
            <v>ya</v>
          </cell>
          <cell r="V566" t="e">
            <v>#N/A</v>
          </cell>
          <cell r="W566" t="e">
            <v>#N/A</v>
          </cell>
          <cell r="X566" t="e">
            <v>#N/A</v>
          </cell>
          <cell r="Z566">
            <v>0</v>
          </cell>
          <cell r="AB566">
            <v>0</v>
          </cell>
          <cell r="AD566">
            <v>0</v>
          </cell>
          <cell r="AF566">
            <v>0</v>
          </cell>
        </row>
        <row r="567">
          <cell r="A567">
            <v>566</v>
          </cell>
          <cell r="C567" t="e">
            <v>#N/A</v>
          </cell>
          <cell r="D567" t="e">
            <v>#N/A</v>
          </cell>
          <cell r="E567" t="e">
            <v>#N/A</v>
          </cell>
          <cell r="F567" t="e">
            <v>#N/A</v>
          </cell>
          <cell r="G567" t="e">
            <v>#N/A</v>
          </cell>
          <cell r="O567" t="e">
            <v>#N/A</v>
          </cell>
          <cell r="S567">
            <v>0</v>
          </cell>
          <cell r="T567">
            <v>3138400</v>
          </cell>
          <cell r="U567" t="str">
            <v>ya</v>
          </cell>
          <cell r="V567" t="e">
            <v>#N/A</v>
          </cell>
          <cell r="W567" t="e">
            <v>#N/A</v>
          </cell>
          <cell r="X567" t="e">
            <v>#N/A</v>
          </cell>
          <cell r="Z567">
            <v>0</v>
          </cell>
          <cell r="AB567">
            <v>0</v>
          </cell>
          <cell r="AD567">
            <v>0</v>
          </cell>
          <cell r="AF567">
            <v>0</v>
          </cell>
        </row>
        <row r="568">
          <cell r="A568">
            <v>567</v>
          </cell>
          <cell r="C568" t="e">
            <v>#N/A</v>
          </cell>
          <cell r="D568" t="e">
            <v>#N/A</v>
          </cell>
          <cell r="E568" t="e">
            <v>#N/A</v>
          </cell>
          <cell r="F568" t="e">
            <v>#N/A</v>
          </cell>
          <cell r="G568" t="e">
            <v>#N/A</v>
          </cell>
          <cell r="O568" t="e">
            <v>#N/A</v>
          </cell>
          <cell r="S568">
            <v>0</v>
          </cell>
          <cell r="T568">
            <v>3138400</v>
          </cell>
          <cell r="V568">
            <v>0</v>
          </cell>
          <cell r="W568">
            <v>0</v>
          </cell>
          <cell r="X568">
            <v>0</v>
          </cell>
          <cell r="Z568">
            <v>0</v>
          </cell>
          <cell r="AB568">
            <v>0</v>
          </cell>
          <cell r="AD568">
            <v>0</v>
          </cell>
          <cell r="AF568">
            <v>0</v>
          </cell>
        </row>
        <row r="569">
          <cell r="A569">
            <v>568</v>
          </cell>
          <cell r="C569" t="e">
            <v>#N/A</v>
          </cell>
          <cell r="D569" t="e">
            <v>#N/A</v>
          </cell>
          <cell r="E569" t="e">
            <v>#N/A</v>
          </cell>
          <cell r="F569" t="e">
            <v>#N/A</v>
          </cell>
          <cell r="G569" t="e">
            <v>#N/A</v>
          </cell>
          <cell r="O569" t="e">
            <v>#N/A</v>
          </cell>
          <cell r="S569">
            <v>0</v>
          </cell>
          <cell r="T569">
            <v>3138400</v>
          </cell>
          <cell r="V569">
            <v>0</v>
          </cell>
          <cell r="W569">
            <v>0</v>
          </cell>
          <cell r="X569">
            <v>0</v>
          </cell>
          <cell r="Z569">
            <v>0</v>
          </cell>
          <cell r="AB569">
            <v>0</v>
          </cell>
          <cell r="AD569">
            <v>0</v>
          </cell>
          <cell r="AF569">
            <v>0</v>
          </cell>
        </row>
        <row r="570">
          <cell r="A570">
            <v>569</v>
          </cell>
          <cell r="C570" t="e">
            <v>#N/A</v>
          </cell>
          <cell r="D570" t="e">
            <v>#N/A</v>
          </cell>
          <cell r="E570" t="e">
            <v>#N/A</v>
          </cell>
          <cell r="F570" t="e">
            <v>#N/A</v>
          </cell>
          <cell r="G570" t="e">
            <v>#N/A</v>
          </cell>
          <cell r="O570" t="e">
            <v>#N/A</v>
          </cell>
          <cell r="S570">
            <v>0</v>
          </cell>
          <cell r="T570">
            <v>3138400</v>
          </cell>
          <cell r="V570">
            <v>0</v>
          </cell>
          <cell r="W570">
            <v>0</v>
          </cell>
          <cell r="X570">
            <v>0</v>
          </cell>
          <cell r="Z570">
            <v>0</v>
          </cell>
          <cell r="AB570">
            <v>0</v>
          </cell>
          <cell r="AD570">
            <v>0</v>
          </cell>
          <cell r="AF570">
            <v>0</v>
          </cell>
        </row>
        <row r="571">
          <cell r="A571">
            <v>570</v>
          </cell>
          <cell r="C571" t="e">
            <v>#N/A</v>
          </cell>
          <cell r="D571" t="e">
            <v>#N/A</v>
          </cell>
          <cell r="E571" t="e">
            <v>#N/A</v>
          </cell>
          <cell r="F571" t="e">
            <v>#N/A</v>
          </cell>
          <cell r="G571" t="e">
            <v>#N/A</v>
          </cell>
          <cell r="O571" t="e">
            <v>#N/A</v>
          </cell>
          <cell r="S571">
            <v>0</v>
          </cell>
          <cell r="T571">
            <v>3138400</v>
          </cell>
          <cell r="V571">
            <v>0</v>
          </cell>
          <cell r="W571">
            <v>0</v>
          </cell>
          <cell r="X571">
            <v>0</v>
          </cell>
          <cell r="Z571">
            <v>0</v>
          </cell>
          <cell r="AB571">
            <v>0</v>
          </cell>
          <cell r="AD571">
            <v>0</v>
          </cell>
          <cell r="AF571">
            <v>0</v>
          </cell>
        </row>
        <row r="572">
          <cell r="A572">
            <v>571</v>
          </cell>
          <cell r="C572" t="e">
            <v>#N/A</v>
          </cell>
          <cell r="D572" t="e">
            <v>#N/A</v>
          </cell>
          <cell r="E572" t="e">
            <v>#N/A</v>
          </cell>
          <cell r="F572" t="e">
            <v>#N/A</v>
          </cell>
          <cell r="G572" t="e">
            <v>#N/A</v>
          </cell>
          <cell r="O572" t="e">
            <v>#N/A</v>
          </cell>
          <cell r="T572">
            <v>3138400</v>
          </cell>
          <cell r="U572" t="str">
            <v>ya</v>
          </cell>
          <cell r="V572" t="e">
            <v>#N/A</v>
          </cell>
          <cell r="W572" t="e">
            <v>#N/A</v>
          </cell>
          <cell r="X572" t="e">
            <v>#N/A</v>
          </cell>
          <cell r="Z572">
            <v>0</v>
          </cell>
          <cell r="AB572">
            <v>0</v>
          </cell>
          <cell r="AD572">
            <v>0</v>
          </cell>
          <cell r="AF572">
            <v>0</v>
          </cell>
        </row>
        <row r="573">
          <cell r="A573">
            <v>572</v>
          </cell>
          <cell r="C573" t="e">
            <v>#N/A</v>
          </cell>
          <cell r="D573" t="e">
            <v>#N/A</v>
          </cell>
          <cell r="E573" t="e">
            <v>#N/A</v>
          </cell>
          <cell r="F573" t="e">
            <v>#N/A</v>
          </cell>
          <cell r="G573" t="e">
            <v>#N/A</v>
          </cell>
          <cell r="O573" t="e">
            <v>#N/A</v>
          </cell>
          <cell r="S573">
            <v>0</v>
          </cell>
          <cell r="T573">
            <v>3138400</v>
          </cell>
          <cell r="U573" t="str">
            <v>ya</v>
          </cell>
          <cell r="V573" t="e">
            <v>#N/A</v>
          </cell>
          <cell r="W573" t="e">
            <v>#N/A</v>
          </cell>
          <cell r="X573" t="e">
            <v>#N/A</v>
          </cell>
          <cell r="Z573">
            <v>0</v>
          </cell>
          <cell r="AB573">
            <v>0</v>
          </cell>
          <cell r="AD573">
            <v>0</v>
          </cell>
          <cell r="AF573">
            <v>0</v>
          </cell>
        </row>
        <row r="574">
          <cell r="A574">
            <v>573</v>
          </cell>
          <cell r="C574" t="e">
            <v>#N/A</v>
          </cell>
          <cell r="D574" t="e">
            <v>#N/A</v>
          </cell>
          <cell r="E574" t="e">
            <v>#N/A</v>
          </cell>
          <cell r="F574" t="e">
            <v>#N/A</v>
          </cell>
          <cell r="G574" t="e">
            <v>#N/A</v>
          </cell>
          <cell r="O574" t="e">
            <v>#N/A</v>
          </cell>
          <cell r="S574">
            <v>0</v>
          </cell>
          <cell r="T574">
            <v>3138400</v>
          </cell>
          <cell r="U574" t="str">
            <v>ya</v>
          </cell>
          <cell r="V574" t="e">
            <v>#N/A</v>
          </cell>
          <cell r="W574" t="e">
            <v>#N/A</v>
          </cell>
          <cell r="X574" t="e">
            <v>#N/A</v>
          </cell>
          <cell r="Z574">
            <v>0</v>
          </cell>
          <cell r="AB574">
            <v>0</v>
          </cell>
          <cell r="AD574">
            <v>0</v>
          </cell>
          <cell r="AF574">
            <v>0</v>
          </cell>
        </row>
        <row r="575">
          <cell r="A575">
            <v>574</v>
          </cell>
          <cell r="C575" t="e">
            <v>#N/A</v>
          </cell>
          <cell r="D575" t="e">
            <v>#N/A</v>
          </cell>
          <cell r="E575" t="e">
            <v>#N/A</v>
          </cell>
          <cell r="F575" t="e">
            <v>#N/A</v>
          </cell>
          <cell r="G575" t="e">
            <v>#N/A</v>
          </cell>
          <cell r="O575" t="e">
            <v>#N/A</v>
          </cell>
          <cell r="S575">
            <v>0</v>
          </cell>
          <cell r="T575">
            <v>3138400</v>
          </cell>
          <cell r="U575" t="str">
            <v>ya</v>
          </cell>
          <cell r="V575" t="e">
            <v>#N/A</v>
          </cell>
          <cell r="W575" t="e">
            <v>#N/A</v>
          </cell>
          <cell r="X575" t="e">
            <v>#N/A</v>
          </cell>
          <cell r="Z575">
            <v>0</v>
          </cell>
          <cell r="AB575">
            <v>0</v>
          </cell>
          <cell r="AD575">
            <v>0</v>
          </cell>
          <cell r="AF575">
            <v>0</v>
          </cell>
        </row>
        <row r="576">
          <cell r="A576">
            <v>575</v>
          </cell>
          <cell r="C576" t="e">
            <v>#N/A</v>
          </cell>
          <cell r="D576" t="e">
            <v>#N/A</v>
          </cell>
          <cell r="E576" t="e">
            <v>#N/A</v>
          </cell>
          <cell r="F576" t="e">
            <v>#N/A</v>
          </cell>
          <cell r="G576" t="e">
            <v>#N/A</v>
          </cell>
          <cell r="O576" t="e">
            <v>#N/A</v>
          </cell>
          <cell r="S576">
            <v>0</v>
          </cell>
          <cell r="T576">
            <v>3138400</v>
          </cell>
          <cell r="V576">
            <v>0</v>
          </cell>
          <cell r="W576">
            <v>0</v>
          </cell>
          <cell r="X576">
            <v>0</v>
          </cell>
          <cell r="Z576">
            <v>0</v>
          </cell>
          <cell r="AB576">
            <v>0</v>
          </cell>
          <cell r="AD576">
            <v>0</v>
          </cell>
          <cell r="AF576">
            <v>0</v>
          </cell>
        </row>
        <row r="577">
          <cell r="A577">
            <v>576</v>
          </cell>
          <cell r="C577" t="e">
            <v>#N/A</v>
          </cell>
          <cell r="D577" t="e">
            <v>#N/A</v>
          </cell>
          <cell r="E577" t="e">
            <v>#N/A</v>
          </cell>
          <cell r="F577" t="e">
            <v>#N/A</v>
          </cell>
          <cell r="G577" t="e">
            <v>#N/A</v>
          </cell>
          <cell r="O577" t="e">
            <v>#N/A</v>
          </cell>
          <cell r="S577">
            <v>0</v>
          </cell>
          <cell r="T577">
            <v>3138400</v>
          </cell>
          <cell r="V577">
            <v>0</v>
          </cell>
          <cell r="W577">
            <v>0</v>
          </cell>
          <cell r="X577">
            <v>0</v>
          </cell>
          <cell r="Z577">
            <v>0</v>
          </cell>
          <cell r="AB577">
            <v>0</v>
          </cell>
          <cell r="AD577">
            <v>0</v>
          </cell>
          <cell r="AF577">
            <v>0</v>
          </cell>
        </row>
        <row r="578">
          <cell r="A578">
            <v>577</v>
          </cell>
          <cell r="C578" t="e">
            <v>#N/A</v>
          </cell>
          <cell r="D578" t="e">
            <v>#N/A</v>
          </cell>
          <cell r="E578" t="e">
            <v>#N/A</v>
          </cell>
          <cell r="F578" t="e">
            <v>#N/A</v>
          </cell>
          <cell r="G578" t="e">
            <v>#N/A</v>
          </cell>
          <cell r="O578" t="e">
            <v>#N/A</v>
          </cell>
          <cell r="S578">
            <v>0</v>
          </cell>
          <cell r="T578">
            <v>3138400</v>
          </cell>
          <cell r="V578">
            <v>0</v>
          </cell>
          <cell r="W578">
            <v>0</v>
          </cell>
          <cell r="X578">
            <v>0</v>
          </cell>
          <cell r="Z578">
            <v>0</v>
          </cell>
          <cell r="AB578">
            <v>0</v>
          </cell>
          <cell r="AD578">
            <v>0</v>
          </cell>
          <cell r="AF578">
            <v>0</v>
          </cell>
        </row>
        <row r="579">
          <cell r="A579">
            <v>578</v>
          </cell>
          <cell r="C579" t="e">
            <v>#N/A</v>
          </cell>
          <cell r="D579" t="e">
            <v>#N/A</v>
          </cell>
          <cell r="E579" t="e">
            <v>#N/A</v>
          </cell>
          <cell r="F579" t="e">
            <v>#N/A</v>
          </cell>
          <cell r="G579" t="e">
            <v>#N/A</v>
          </cell>
          <cell r="O579" t="e">
            <v>#N/A</v>
          </cell>
          <cell r="S579">
            <v>0</v>
          </cell>
          <cell r="T579">
            <v>3138400</v>
          </cell>
          <cell r="V579">
            <v>0</v>
          </cell>
          <cell r="W579">
            <v>0</v>
          </cell>
          <cell r="X579">
            <v>0</v>
          </cell>
          <cell r="Z579">
            <v>0</v>
          </cell>
          <cell r="AB579">
            <v>0</v>
          </cell>
          <cell r="AD579">
            <v>0</v>
          </cell>
          <cell r="AF579">
            <v>0</v>
          </cell>
        </row>
        <row r="580">
          <cell r="A580">
            <v>579</v>
          </cell>
          <cell r="C580" t="e">
            <v>#N/A</v>
          </cell>
          <cell r="D580" t="e">
            <v>#N/A</v>
          </cell>
          <cell r="E580" t="e">
            <v>#N/A</v>
          </cell>
          <cell r="F580" t="e">
            <v>#N/A</v>
          </cell>
          <cell r="G580" t="e">
            <v>#N/A</v>
          </cell>
          <cell r="O580" t="e">
            <v>#N/A</v>
          </cell>
          <cell r="S580">
            <v>0</v>
          </cell>
          <cell r="T580">
            <v>3138400</v>
          </cell>
          <cell r="V580">
            <v>0</v>
          </cell>
          <cell r="W580">
            <v>0</v>
          </cell>
          <cell r="X580">
            <v>0</v>
          </cell>
          <cell r="Z580">
            <v>0</v>
          </cell>
          <cell r="AB580">
            <v>0</v>
          </cell>
          <cell r="AD580">
            <v>0</v>
          </cell>
          <cell r="AF580">
            <v>0</v>
          </cell>
        </row>
        <row r="581">
          <cell r="A581">
            <v>580</v>
          </cell>
          <cell r="C581" t="e">
            <v>#N/A</v>
          </cell>
          <cell r="D581" t="e">
            <v>#N/A</v>
          </cell>
          <cell r="E581" t="e">
            <v>#N/A</v>
          </cell>
          <cell r="F581" t="e">
            <v>#N/A</v>
          </cell>
          <cell r="G581" t="e">
            <v>#N/A</v>
          </cell>
          <cell r="O581" t="e">
            <v>#N/A</v>
          </cell>
          <cell r="S581">
            <v>0</v>
          </cell>
          <cell r="T581">
            <v>3138400</v>
          </cell>
          <cell r="V581">
            <v>0</v>
          </cell>
          <cell r="W581">
            <v>0</v>
          </cell>
          <cell r="X581">
            <v>0</v>
          </cell>
          <cell r="Z581">
            <v>0</v>
          </cell>
          <cell r="AB581">
            <v>0</v>
          </cell>
          <cell r="AD581">
            <v>0</v>
          </cell>
          <cell r="AF581">
            <v>0</v>
          </cell>
        </row>
        <row r="582">
          <cell r="A582">
            <v>581</v>
          </cell>
          <cell r="C582" t="e">
            <v>#N/A</v>
          </cell>
          <cell r="D582" t="e">
            <v>#N/A</v>
          </cell>
          <cell r="E582" t="e">
            <v>#N/A</v>
          </cell>
          <cell r="F582" t="e">
            <v>#N/A</v>
          </cell>
          <cell r="G582" t="e">
            <v>#N/A</v>
          </cell>
          <cell r="O582" t="e">
            <v>#N/A</v>
          </cell>
          <cell r="S582">
            <v>0</v>
          </cell>
          <cell r="T582">
            <v>3138400</v>
          </cell>
          <cell r="V582">
            <v>0</v>
          </cell>
          <cell r="W582">
            <v>0</v>
          </cell>
          <cell r="X582">
            <v>0</v>
          </cell>
          <cell r="Z582">
            <v>0</v>
          </cell>
          <cell r="AB582">
            <v>0</v>
          </cell>
          <cell r="AD582">
            <v>0</v>
          </cell>
          <cell r="AF582">
            <v>0</v>
          </cell>
        </row>
        <row r="583">
          <cell r="A583">
            <v>582</v>
          </cell>
          <cell r="C583" t="e">
            <v>#N/A</v>
          </cell>
          <cell r="D583" t="e">
            <v>#N/A</v>
          </cell>
          <cell r="E583" t="e">
            <v>#N/A</v>
          </cell>
          <cell r="F583" t="e">
            <v>#N/A</v>
          </cell>
          <cell r="G583" t="e">
            <v>#N/A</v>
          </cell>
          <cell r="O583" t="e">
            <v>#N/A</v>
          </cell>
          <cell r="S583">
            <v>0</v>
          </cell>
          <cell r="T583">
            <v>3138400</v>
          </cell>
          <cell r="U583" t="str">
            <v>ya</v>
          </cell>
          <cell r="V583" t="e">
            <v>#N/A</v>
          </cell>
          <cell r="W583" t="e">
            <v>#N/A</v>
          </cell>
          <cell r="X583" t="e">
            <v>#N/A</v>
          </cell>
          <cell r="Z583">
            <v>0</v>
          </cell>
          <cell r="AB583">
            <v>0</v>
          </cell>
          <cell r="AD583">
            <v>0</v>
          </cell>
          <cell r="AF583">
            <v>0</v>
          </cell>
        </row>
        <row r="584">
          <cell r="A584">
            <v>583</v>
          </cell>
          <cell r="C584" t="e">
            <v>#N/A</v>
          </cell>
          <cell r="D584" t="e">
            <v>#N/A</v>
          </cell>
          <cell r="E584" t="e">
            <v>#N/A</v>
          </cell>
          <cell r="F584" t="e">
            <v>#N/A</v>
          </cell>
          <cell r="G584" t="e">
            <v>#N/A</v>
          </cell>
          <cell r="O584" t="e">
            <v>#N/A</v>
          </cell>
          <cell r="S584">
            <v>0</v>
          </cell>
          <cell r="T584">
            <v>3138400</v>
          </cell>
          <cell r="U584" t="str">
            <v>ya</v>
          </cell>
          <cell r="V584" t="e">
            <v>#N/A</v>
          </cell>
          <cell r="W584" t="e">
            <v>#N/A</v>
          </cell>
          <cell r="X584" t="e">
            <v>#N/A</v>
          </cell>
          <cell r="Z584">
            <v>0</v>
          </cell>
          <cell r="AB584">
            <v>0</v>
          </cell>
          <cell r="AD584">
            <v>0</v>
          </cell>
          <cell r="AF584">
            <v>0</v>
          </cell>
        </row>
        <row r="585">
          <cell r="A585">
            <v>584</v>
          </cell>
          <cell r="C585" t="e">
            <v>#N/A</v>
          </cell>
          <cell r="D585" t="e">
            <v>#N/A</v>
          </cell>
          <cell r="E585" t="e">
            <v>#N/A</v>
          </cell>
          <cell r="F585" t="e">
            <v>#N/A</v>
          </cell>
          <cell r="G585" t="e">
            <v>#N/A</v>
          </cell>
          <cell r="O585" t="e">
            <v>#N/A</v>
          </cell>
          <cell r="S585">
            <v>0</v>
          </cell>
          <cell r="T585">
            <v>3138400</v>
          </cell>
          <cell r="U585" t="str">
            <v>ya</v>
          </cell>
          <cell r="V585" t="e">
            <v>#N/A</v>
          </cell>
          <cell r="W585" t="e">
            <v>#N/A</v>
          </cell>
          <cell r="X585" t="e">
            <v>#N/A</v>
          </cell>
          <cell r="Z585">
            <v>0</v>
          </cell>
          <cell r="AB585">
            <v>0</v>
          </cell>
          <cell r="AD585">
            <v>0</v>
          </cell>
          <cell r="AF585">
            <v>0</v>
          </cell>
        </row>
        <row r="586">
          <cell r="A586">
            <v>585</v>
          </cell>
          <cell r="C586" t="e">
            <v>#N/A</v>
          </cell>
          <cell r="D586" t="e">
            <v>#N/A</v>
          </cell>
          <cell r="E586" t="e">
            <v>#N/A</v>
          </cell>
          <cell r="F586" t="e">
            <v>#N/A</v>
          </cell>
          <cell r="G586" t="e">
            <v>#N/A</v>
          </cell>
          <cell r="O586" t="e">
            <v>#N/A</v>
          </cell>
          <cell r="S586">
            <v>0</v>
          </cell>
          <cell r="T586">
            <v>3138400</v>
          </cell>
          <cell r="U586" t="str">
            <v>ya</v>
          </cell>
          <cell r="V586" t="e">
            <v>#N/A</v>
          </cell>
          <cell r="W586" t="e">
            <v>#N/A</v>
          </cell>
          <cell r="X586" t="e">
            <v>#N/A</v>
          </cell>
          <cell r="Z586">
            <v>0</v>
          </cell>
          <cell r="AB586">
            <v>0</v>
          </cell>
          <cell r="AD586">
            <v>0</v>
          </cell>
          <cell r="AF586">
            <v>0</v>
          </cell>
        </row>
        <row r="587">
          <cell r="A587">
            <v>586</v>
          </cell>
          <cell r="C587" t="e">
            <v>#N/A</v>
          </cell>
          <cell r="D587" t="e">
            <v>#N/A</v>
          </cell>
          <cell r="E587" t="e">
            <v>#N/A</v>
          </cell>
          <cell r="F587" t="e">
            <v>#N/A</v>
          </cell>
          <cell r="G587" t="e">
            <v>#N/A</v>
          </cell>
          <cell r="O587" t="e">
            <v>#N/A</v>
          </cell>
          <cell r="S587">
            <v>0</v>
          </cell>
          <cell r="T587">
            <v>3138400</v>
          </cell>
          <cell r="U587" t="str">
            <v>ya</v>
          </cell>
          <cell r="V587" t="e">
            <v>#N/A</v>
          </cell>
          <cell r="W587" t="e">
            <v>#N/A</v>
          </cell>
          <cell r="X587" t="e">
            <v>#N/A</v>
          </cell>
          <cell r="Z587">
            <v>0</v>
          </cell>
          <cell r="AB587">
            <v>0</v>
          </cell>
          <cell r="AD587">
            <v>0</v>
          </cell>
          <cell r="AF587">
            <v>0</v>
          </cell>
        </row>
        <row r="588">
          <cell r="A588">
            <v>587</v>
          </cell>
          <cell r="C588" t="e">
            <v>#N/A</v>
          </cell>
          <cell r="D588" t="e">
            <v>#N/A</v>
          </cell>
          <cell r="E588" t="e">
            <v>#N/A</v>
          </cell>
          <cell r="F588" t="e">
            <v>#N/A</v>
          </cell>
          <cell r="G588" t="e">
            <v>#N/A</v>
          </cell>
          <cell r="O588" t="e">
            <v>#N/A</v>
          </cell>
          <cell r="S588">
            <v>0</v>
          </cell>
          <cell r="T588">
            <v>3138400</v>
          </cell>
          <cell r="U588" t="str">
            <v>ya</v>
          </cell>
          <cell r="V588" t="e">
            <v>#N/A</v>
          </cell>
          <cell r="W588" t="e">
            <v>#N/A</v>
          </cell>
          <cell r="X588" t="e">
            <v>#N/A</v>
          </cell>
          <cell r="Z588">
            <v>0</v>
          </cell>
          <cell r="AB588">
            <v>0</v>
          </cell>
          <cell r="AD588">
            <v>0</v>
          </cell>
          <cell r="AF588">
            <v>0</v>
          </cell>
        </row>
        <row r="589">
          <cell r="A589">
            <v>588</v>
          </cell>
          <cell r="C589" t="e">
            <v>#N/A</v>
          </cell>
          <cell r="D589" t="e">
            <v>#N/A</v>
          </cell>
          <cell r="E589" t="e">
            <v>#N/A</v>
          </cell>
          <cell r="F589" t="e">
            <v>#N/A</v>
          </cell>
          <cell r="G589" t="e">
            <v>#N/A</v>
          </cell>
          <cell r="O589" t="e">
            <v>#N/A</v>
          </cell>
          <cell r="S589">
            <v>0</v>
          </cell>
          <cell r="T589">
            <v>3138400</v>
          </cell>
          <cell r="U589" t="str">
            <v>ya</v>
          </cell>
          <cell r="V589" t="e">
            <v>#N/A</v>
          </cell>
          <cell r="W589" t="e">
            <v>#N/A</v>
          </cell>
          <cell r="X589" t="e">
            <v>#N/A</v>
          </cell>
          <cell r="Z589">
            <v>0</v>
          </cell>
          <cell r="AB589">
            <v>0</v>
          </cell>
          <cell r="AD589">
            <v>0</v>
          </cell>
          <cell r="AF589">
            <v>0</v>
          </cell>
        </row>
        <row r="590">
          <cell r="A590">
            <v>589</v>
          </cell>
          <cell r="C590" t="e">
            <v>#N/A</v>
          </cell>
          <cell r="D590" t="e">
            <v>#N/A</v>
          </cell>
          <cell r="E590" t="e">
            <v>#N/A</v>
          </cell>
          <cell r="F590" t="e">
            <v>#N/A</v>
          </cell>
          <cell r="G590" t="e">
            <v>#N/A</v>
          </cell>
          <cell r="O590" t="e">
            <v>#N/A</v>
          </cell>
          <cell r="S590">
            <v>0</v>
          </cell>
          <cell r="T590">
            <v>3138400</v>
          </cell>
          <cell r="U590" t="str">
            <v>ya</v>
          </cell>
          <cell r="V590" t="e">
            <v>#N/A</v>
          </cell>
          <cell r="W590" t="e">
            <v>#N/A</v>
          </cell>
          <cell r="X590" t="e">
            <v>#N/A</v>
          </cell>
          <cell r="Z590">
            <v>0</v>
          </cell>
          <cell r="AB590">
            <v>0</v>
          </cell>
          <cell r="AD590">
            <v>0</v>
          </cell>
          <cell r="AF590">
            <v>0</v>
          </cell>
        </row>
        <row r="591">
          <cell r="A591">
            <v>590</v>
          </cell>
          <cell r="C591" t="e">
            <v>#N/A</v>
          </cell>
          <cell r="D591" t="e">
            <v>#N/A</v>
          </cell>
          <cell r="E591" t="e">
            <v>#N/A</v>
          </cell>
          <cell r="F591" t="e">
            <v>#N/A</v>
          </cell>
          <cell r="G591" t="e">
            <v>#N/A</v>
          </cell>
          <cell r="O591" t="e">
            <v>#N/A</v>
          </cell>
          <cell r="S591">
            <v>0</v>
          </cell>
          <cell r="T591">
            <v>3138400</v>
          </cell>
          <cell r="U591" t="str">
            <v>ya</v>
          </cell>
          <cell r="V591" t="e">
            <v>#N/A</v>
          </cell>
          <cell r="W591" t="e">
            <v>#N/A</v>
          </cell>
          <cell r="X591" t="e">
            <v>#N/A</v>
          </cell>
          <cell r="Z591">
            <v>0</v>
          </cell>
          <cell r="AB591">
            <v>0</v>
          </cell>
          <cell r="AD591">
            <v>0</v>
          </cell>
          <cell r="AF591">
            <v>0</v>
          </cell>
        </row>
        <row r="592">
          <cell r="A592">
            <v>591</v>
          </cell>
          <cell r="C592" t="e">
            <v>#N/A</v>
          </cell>
          <cell r="D592" t="e">
            <v>#N/A</v>
          </cell>
          <cell r="E592" t="e">
            <v>#N/A</v>
          </cell>
          <cell r="F592" t="e">
            <v>#N/A</v>
          </cell>
          <cell r="G592" t="e">
            <v>#N/A</v>
          </cell>
          <cell r="O592" t="e">
            <v>#N/A</v>
          </cell>
          <cell r="S592">
            <v>0</v>
          </cell>
          <cell r="T592">
            <v>3138400</v>
          </cell>
          <cell r="V592">
            <v>0</v>
          </cell>
          <cell r="W592">
            <v>0</v>
          </cell>
          <cell r="X592">
            <v>0</v>
          </cell>
          <cell r="Z592">
            <v>0</v>
          </cell>
          <cell r="AB592">
            <v>0</v>
          </cell>
          <cell r="AD592">
            <v>0</v>
          </cell>
          <cell r="AF592">
            <v>0</v>
          </cell>
        </row>
        <row r="593">
          <cell r="A593">
            <v>592</v>
          </cell>
          <cell r="C593" t="e">
            <v>#N/A</v>
          </cell>
          <cell r="D593" t="e">
            <v>#N/A</v>
          </cell>
          <cell r="E593" t="e">
            <v>#N/A</v>
          </cell>
          <cell r="F593" t="e">
            <v>#N/A</v>
          </cell>
          <cell r="G593" t="e">
            <v>#N/A</v>
          </cell>
          <cell r="O593" t="e">
            <v>#N/A</v>
          </cell>
          <cell r="S593">
            <v>0</v>
          </cell>
          <cell r="T593">
            <v>3138400</v>
          </cell>
          <cell r="V593">
            <v>0</v>
          </cell>
          <cell r="W593">
            <v>0</v>
          </cell>
          <cell r="X593">
            <v>0</v>
          </cell>
          <cell r="Z593">
            <v>0</v>
          </cell>
          <cell r="AB593">
            <v>0</v>
          </cell>
          <cell r="AD593">
            <v>0</v>
          </cell>
          <cell r="AF593">
            <v>0</v>
          </cell>
        </row>
        <row r="594">
          <cell r="A594">
            <v>593</v>
          </cell>
          <cell r="C594" t="e">
            <v>#N/A</v>
          </cell>
          <cell r="D594" t="e">
            <v>#N/A</v>
          </cell>
          <cell r="E594" t="e">
            <v>#N/A</v>
          </cell>
          <cell r="F594" t="e">
            <v>#N/A</v>
          </cell>
          <cell r="G594" t="e">
            <v>#N/A</v>
          </cell>
          <cell r="O594" t="e">
            <v>#N/A</v>
          </cell>
          <cell r="S594">
            <v>0</v>
          </cell>
          <cell r="T594">
            <v>3138400</v>
          </cell>
          <cell r="V594">
            <v>0</v>
          </cell>
          <cell r="W594">
            <v>0</v>
          </cell>
          <cell r="X594">
            <v>0</v>
          </cell>
          <cell r="Z594">
            <v>0</v>
          </cell>
          <cell r="AB594">
            <v>0</v>
          </cell>
          <cell r="AD594">
            <v>0</v>
          </cell>
          <cell r="AF594">
            <v>0</v>
          </cell>
        </row>
        <row r="595">
          <cell r="A595">
            <v>594</v>
          </cell>
          <cell r="C595" t="e">
            <v>#N/A</v>
          </cell>
          <cell r="D595" t="e">
            <v>#N/A</v>
          </cell>
          <cell r="E595" t="e">
            <v>#N/A</v>
          </cell>
          <cell r="F595" t="e">
            <v>#N/A</v>
          </cell>
          <cell r="G595" t="e">
            <v>#N/A</v>
          </cell>
          <cell r="O595" t="e">
            <v>#N/A</v>
          </cell>
          <cell r="S595">
            <v>0</v>
          </cell>
          <cell r="T595">
            <v>3138400</v>
          </cell>
          <cell r="V595">
            <v>0</v>
          </cell>
          <cell r="W595">
            <v>0</v>
          </cell>
          <cell r="X595">
            <v>0</v>
          </cell>
          <cell r="Z595">
            <v>0</v>
          </cell>
          <cell r="AB595">
            <v>0</v>
          </cell>
          <cell r="AD595">
            <v>0</v>
          </cell>
          <cell r="AF595">
            <v>0</v>
          </cell>
        </row>
        <row r="596">
          <cell r="A596">
            <v>595</v>
          </cell>
          <cell r="C596" t="e">
            <v>#N/A</v>
          </cell>
          <cell r="D596" t="e">
            <v>#N/A</v>
          </cell>
          <cell r="E596" t="e">
            <v>#N/A</v>
          </cell>
          <cell r="F596" t="e">
            <v>#N/A</v>
          </cell>
          <cell r="G596" t="e">
            <v>#N/A</v>
          </cell>
          <cell r="O596" t="e">
            <v>#N/A</v>
          </cell>
          <cell r="S596">
            <v>0</v>
          </cell>
          <cell r="T596">
            <v>3138400</v>
          </cell>
          <cell r="U596" t="str">
            <v>ya</v>
          </cell>
          <cell r="V596" t="e">
            <v>#N/A</v>
          </cell>
          <cell r="W596" t="e">
            <v>#N/A</v>
          </cell>
          <cell r="X596" t="e">
            <v>#N/A</v>
          </cell>
          <cell r="Z596">
            <v>0</v>
          </cell>
          <cell r="AB596">
            <v>0</v>
          </cell>
          <cell r="AD596">
            <v>0</v>
          </cell>
          <cell r="AF596">
            <v>0</v>
          </cell>
        </row>
        <row r="597">
          <cell r="A597">
            <v>596</v>
          </cell>
          <cell r="C597" t="e">
            <v>#N/A</v>
          </cell>
          <cell r="D597" t="e">
            <v>#N/A</v>
          </cell>
          <cell r="E597" t="e">
            <v>#N/A</v>
          </cell>
          <cell r="F597" t="e">
            <v>#N/A</v>
          </cell>
          <cell r="G597" t="e">
            <v>#N/A</v>
          </cell>
          <cell r="O597" t="e">
            <v>#N/A</v>
          </cell>
          <cell r="S597">
            <v>0</v>
          </cell>
          <cell r="T597">
            <v>3138400</v>
          </cell>
          <cell r="U597" t="str">
            <v>ya</v>
          </cell>
          <cell r="V597" t="e">
            <v>#N/A</v>
          </cell>
          <cell r="W597" t="e">
            <v>#N/A</v>
          </cell>
          <cell r="X597" t="e">
            <v>#N/A</v>
          </cell>
          <cell r="Z597">
            <v>0</v>
          </cell>
          <cell r="AB597">
            <v>0</v>
          </cell>
          <cell r="AD597">
            <v>0</v>
          </cell>
          <cell r="AF597">
            <v>0</v>
          </cell>
        </row>
        <row r="598">
          <cell r="A598">
            <v>597</v>
          </cell>
          <cell r="C598" t="e">
            <v>#N/A</v>
          </cell>
          <cell r="D598" t="e">
            <v>#N/A</v>
          </cell>
          <cell r="E598" t="e">
            <v>#N/A</v>
          </cell>
          <cell r="F598" t="e">
            <v>#N/A</v>
          </cell>
          <cell r="G598" t="e">
            <v>#N/A</v>
          </cell>
          <cell r="O598" t="e">
            <v>#N/A</v>
          </cell>
          <cell r="S598">
            <v>0</v>
          </cell>
          <cell r="T598">
            <v>3138400</v>
          </cell>
          <cell r="U598" t="str">
            <v>ya</v>
          </cell>
          <cell r="V598" t="e">
            <v>#N/A</v>
          </cell>
          <cell r="W598" t="e">
            <v>#N/A</v>
          </cell>
          <cell r="X598" t="e">
            <v>#N/A</v>
          </cell>
          <cell r="Z598">
            <v>0</v>
          </cell>
          <cell r="AB598">
            <v>0</v>
          </cell>
          <cell r="AD598">
            <v>0</v>
          </cell>
          <cell r="AF598">
            <v>0</v>
          </cell>
        </row>
        <row r="599">
          <cell r="A599">
            <v>598</v>
          </cell>
          <cell r="C599" t="e">
            <v>#N/A</v>
          </cell>
          <cell r="D599" t="e">
            <v>#N/A</v>
          </cell>
          <cell r="E599" t="e">
            <v>#N/A</v>
          </cell>
          <cell r="F599" t="e">
            <v>#N/A</v>
          </cell>
          <cell r="G599" t="e">
            <v>#N/A</v>
          </cell>
          <cell r="O599" t="e">
            <v>#N/A</v>
          </cell>
          <cell r="S599">
            <v>0</v>
          </cell>
          <cell r="T599">
            <v>3138400</v>
          </cell>
          <cell r="U599" t="str">
            <v>ya</v>
          </cell>
          <cell r="V599" t="e">
            <v>#N/A</v>
          </cell>
          <cell r="W599" t="e">
            <v>#N/A</v>
          </cell>
          <cell r="X599" t="e">
            <v>#N/A</v>
          </cell>
          <cell r="Z599">
            <v>0</v>
          </cell>
          <cell r="AB599">
            <v>0</v>
          </cell>
          <cell r="AD599">
            <v>0</v>
          </cell>
          <cell r="AF599">
            <v>0</v>
          </cell>
        </row>
        <row r="600">
          <cell r="A600">
            <v>599</v>
          </cell>
          <cell r="C600" t="e">
            <v>#N/A</v>
          </cell>
          <cell r="D600" t="e">
            <v>#N/A</v>
          </cell>
          <cell r="E600" t="e">
            <v>#N/A</v>
          </cell>
          <cell r="F600" t="e">
            <v>#N/A</v>
          </cell>
          <cell r="G600" t="e">
            <v>#N/A</v>
          </cell>
          <cell r="O600" t="e">
            <v>#N/A</v>
          </cell>
          <cell r="S600">
            <v>0</v>
          </cell>
          <cell r="T600">
            <v>3138400</v>
          </cell>
          <cell r="U600" t="str">
            <v>ya</v>
          </cell>
          <cell r="V600" t="e">
            <v>#N/A</v>
          </cell>
          <cell r="W600" t="e">
            <v>#N/A</v>
          </cell>
          <cell r="X600" t="e">
            <v>#N/A</v>
          </cell>
          <cell r="Z600">
            <v>0</v>
          </cell>
          <cell r="AB600">
            <v>0</v>
          </cell>
          <cell r="AD600">
            <v>0</v>
          </cell>
          <cell r="AF600">
            <v>0</v>
          </cell>
        </row>
        <row r="601">
          <cell r="A601">
            <v>600</v>
          </cell>
          <cell r="C601" t="e">
            <v>#N/A</v>
          </cell>
          <cell r="D601" t="e">
            <v>#N/A</v>
          </cell>
          <cell r="E601" t="e">
            <v>#N/A</v>
          </cell>
          <cell r="F601" t="e">
            <v>#N/A</v>
          </cell>
          <cell r="G601" t="e">
            <v>#N/A</v>
          </cell>
          <cell r="O601" t="e">
            <v>#N/A</v>
          </cell>
          <cell r="S601">
            <v>0</v>
          </cell>
          <cell r="T601">
            <v>3138400</v>
          </cell>
          <cell r="U601" t="str">
            <v>ya</v>
          </cell>
          <cell r="V601" t="e">
            <v>#N/A</v>
          </cell>
          <cell r="W601" t="e">
            <v>#N/A</v>
          </cell>
          <cell r="X601" t="e">
            <v>#N/A</v>
          </cell>
          <cell r="Z601">
            <v>0</v>
          </cell>
          <cell r="AB601">
            <v>0</v>
          </cell>
          <cell r="AD601">
            <v>0</v>
          </cell>
          <cell r="AF601">
            <v>0</v>
          </cell>
        </row>
        <row r="602">
          <cell r="A602">
            <v>601</v>
          </cell>
          <cell r="C602" t="e">
            <v>#N/A</v>
          </cell>
          <cell r="D602" t="e">
            <v>#N/A</v>
          </cell>
          <cell r="E602" t="e">
            <v>#N/A</v>
          </cell>
          <cell r="F602" t="e">
            <v>#N/A</v>
          </cell>
          <cell r="G602" t="e">
            <v>#N/A</v>
          </cell>
          <cell r="O602" t="e">
            <v>#N/A</v>
          </cell>
          <cell r="S602">
            <v>0</v>
          </cell>
          <cell r="T602">
            <v>3138400</v>
          </cell>
          <cell r="U602" t="str">
            <v>ya</v>
          </cell>
          <cell r="V602" t="e">
            <v>#N/A</v>
          </cell>
          <cell r="W602" t="e">
            <v>#N/A</v>
          </cell>
          <cell r="X602" t="e">
            <v>#N/A</v>
          </cell>
          <cell r="Z602">
            <v>0</v>
          </cell>
          <cell r="AB602">
            <v>0</v>
          </cell>
          <cell r="AD602">
            <v>0</v>
          </cell>
          <cell r="AF602">
            <v>0</v>
          </cell>
        </row>
        <row r="603">
          <cell r="A603">
            <v>602</v>
          </cell>
          <cell r="C603" t="e">
            <v>#N/A</v>
          </cell>
          <cell r="D603" t="e">
            <v>#N/A</v>
          </cell>
          <cell r="E603" t="e">
            <v>#N/A</v>
          </cell>
          <cell r="F603" t="e">
            <v>#N/A</v>
          </cell>
          <cell r="G603" t="e">
            <v>#N/A</v>
          </cell>
          <cell r="O603" t="e">
            <v>#N/A</v>
          </cell>
          <cell r="S603">
            <v>0</v>
          </cell>
          <cell r="T603">
            <v>3138400</v>
          </cell>
          <cell r="U603" t="str">
            <v>ya</v>
          </cell>
          <cell r="V603" t="e">
            <v>#N/A</v>
          </cell>
          <cell r="W603" t="e">
            <v>#N/A</v>
          </cell>
          <cell r="X603" t="e">
            <v>#N/A</v>
          </cell>
          <cell r="Z603">
            <v>0</v>
          </cell>
          <cell r="AB603">
            <v>0</v>
          </cell>
          <cell r="AD603">
            <v>0</v>
          </cell>
          <cell r="AF603">
            <v>0</v>
          </cell>
        </row>
        <row r="604">
          <cell r="A604">
            <v>603</v>
          </cell>
          <cell r="C604" t="e">
            <v>#N/A</v>
          </cell>
          <cell r="D604" t="e">
            <v>#N/A</v>
          </cell>
          <cell r="E604" t="e">
            <v>#N/A</v>
          </cell>
          <cell r="F604" t="e">
            <v>#N/A</v>
          </cell>
          <cell r="G604" t="e">
            <v>#N/A</v>
          </cell>
          <cell r="O604" t="e">
            <v>#N/A</v>
          </cell>
          <cell r="S604">
            <v>0</v>
          </cell>
          <cell r="T604">
            <v>3138400</v>
          </cell>
          <cell r="U604" t="str">
            <v>ya</v>
          </cell>
          <cell r="V604" t="e">
            <v>#N/A</v>
          </cell>
          <cell r="W604" t="e">
            <v>#N/A</v>
          </cell>
          <cell r="X604" t="e">
            <v>#N/A</v>
          </cell>
          <cell r="Z604">
            <v>0</v>
          </cell>
          <cell r="AB604">
            <v>0</v>
          </cell>
          <cell r="AD604">
            <v>0</v>
          </cell>
          <cell r="AF604">
            <v>0</v>
          </cell>
        </row>
        <row r="605">
          <cell r="A605">
            <v>604</v>
          </cell>
          <cell r="C605" t="e">
            <v>#N/A</v>
          </cell>
          <cell r="D605" t="e">
            <v>#N/A</v>
          </cell>
          <cell r="E605" t="e">
            <v>#N/A</v>
          </cell>
          <cell r="F605" t="e">
            <v>#N/A</v>
          </cell>
          <cell r="G605" t="e">
            <v>#N/A</v>
          </cell>
          <cell r="O605" t="e">
            <v>#N/A</v>
          </cell>
          <cell r="S605">
            <v>0</v>
          </cell>
          <cell r="T605">
            <v>3138400</v>
          </cell>
          <cell r="U605" t="str">
            <v>ya</v>
          </cell>
          <cell r="V605" t="e">
            <v>#N/A</v>
          </cell>
          <cell r="W605" t="e">
            <v>#N/A</v>
          </cell>
          <cell r="X605" t="e">
            <v>#N/A</v>
          </cell>
          <cell r="Z605">
            <v>0</v>
          </cell>
          <cell r="AB605">
            <v>0</v>
          </cell>
          <cell r="AD605">
            <v>0</v>
          </cell>
          <cell r="AF605">
            <v>0</v>
          </cell>
        </row>
        <row r="606">
          <cell r="A606">
            <v>605</v>
          </cell>
          <cell r="C606" t="e">
            <v>#N/A</v>
          </cell>
          <cell r="D606" t="e">
            <v>#N/A</v>
          </cell>
          <cell r="E606" t="e">
            <v>#N/A</v>
          </cell>
          <cell r="F606" t="e">
            <v>#N/A</v>
          </cell>
          <cell r="G606" t="e">
            <v>#N/A</v>
          </cell>
          <cell r="O606" t="e">
            <v>#N/A</v>
          </cell>
          <cell r="S606">
            <v>0</v>
          </cell>
          <cell r="T606">
            <v>3138400</v>
          </cell>
          <cell r="U606" t="str">
            <v>ya</v>
          </cell>
          <cell r="V606" t="e">
            <v>#N/A</v>
          </cell>
          <cell r="W606" t="e">
            <v>#N/A</v>
          </cell>
          <cell r="X606" t="e">
            <v>#N/A</v>
          </cell>
          <cell r="Z606">
            <v>0</v>
          </cell>
          <cell r="AB606">
            <v>0</v>
          </cell>
          <cell r="AD606">
            <v>0</v>
          </cell>
          <cell r="AF606">
            <v>0</v>
          </cell>
        </row>
        <row r="607">
          <cell r="A607">
            <v>606</v>
          </cell>
          <cell r="C607" t="e">
            <v>#N/A</v>
          </cell>
          <cell r="D607" t="e">
            <v>#N/A</v>
          </cell>
          <cell r="E607" t="e">
            <v>#N/A</v>
          </cell>
          <cell r="F607" t="e">
            <v>#N/A</v>
          </cell>
          <cell r="G607" t="e">
            <v>#N/A</v>
          </cell>
          <cell r="O607" t="e">
            <v>#N/A</v>
          </cell>
          <cell r="S607">
            <v>0</v>
          </cell>
          <cell r="T607">
            <v>3138400</v>
          </cell>
          <cell r="U607" t="str">
            <v>ya</v>
          </cell>
          <cell r="V607" t="e">
            <v>#N/A</v>
          </cell>
          <cell r="W607" t="e">
            <v>#N/A</v>
          </cell>
          <cell r="X607" t="e">
            <v>#N/A</v>
          </cell>
          <cell r="Z607">
            <v>0</v>
          </cell>
          <cell r="AB607">
            <v>0</v>
          </cell>
          <cell r="AD607">
            <v>0</v>
          </cell>
          <cell r="AF607">
            <v>0</v>
          </cell>
        </row>
        <row r="608">
          <cell r="A608">
            <v>607</v>
          </cell>
          <cell r="C608" t="e">
            <v>#N/A</v>
          </cell>
          <cell r="D608" t="e">
            <v>#N/A</v>
          </cell>
          <cell r="E608" t="e">
            <v>#N/A</v>
          </cell>
          <cell r="F608" t="e">
            <v>#N/A</v>
          </cell>
          <cell r="G608" t="e">
            <v>#N/A</v>
          </cell>
          <cell r="O608" t="e">
            <v>#N/A</v>
          </cell>
          <cell r="S608">
            <v>0</v>
          </cell>
          <cell r="T608">
            <v>3138400</v>
          </cell>
          <cell r="U608" t="str">
            <v>ya</v>
          </cell>
          <cell r="V608" t="e">
            <v>#N/A</v>
          </cell>
          <cell r="W608" t="e">
            <v>#N/A</v>
          </cell>
          <cell r="X608" t="e">
            <v>#N/A</v>
          </cell>
          <cell r="Z608">
            <v>0</v>
          </cell>
          <cell r="AB608">
            <v>0</v>
          </cell>
          <cell r="AD608">
            <v>0</v>
          </cell>
          <cell r="AF608">
            <v>0</v>
          </cell>
        </row>
        <row r="609">
          <cell r="A609">
            <v>608</v>
          </cell>
          <cell r="C609" t="e">
            <v>#N/A</v>
          </cell>
          <cell r="D609" t="e">
            <v>#N/A</v>
          </cell>
          <cell r="E609" t="e">
            <v>#N/A</v>
          </cell>
          <cell r="F609" t="e">
            <v>#N/A</v>
          </cell>
          <cell r="G609" t="e">
            <v>#N/A</v>
          </cell>
          <cell r="O609" t="e">
            <v>#N/A</v>
          </cell>
          <cell r="S609">
            <v>0</v>
          </cell>
          <cell r="T609">
            <v>3138400</v>
          </cell>
          <cell r="U609" t="str">
            <v>ya</v>
          </cell>
          <cell r="V609" t="e">
            <v>#N/A</v>
          </cell>
          <cell r="W609" t="e">
            <v>#N/A</v>
          </cell>
          <cell r="X609" t="e">
            <v>#N/A</v>
          </cell>
          <cell r="Z609">
            <v>0</v>
          </cell>
          <cell r="AB609">
            <v>0</v>
          </cell>
          <cell r="AD609">
            <v>0</v>
          </cell>
          <cell r="AF609">
            <v>0</v>
          </cell>
        </row>
        <row r="610">
          <cell r="A610">
            <v>609</v>
          </cell>
          <cell r="C610" t="e">
            <v>#N/A</v>
          </cell>
          <cell r="D610" t="e">
            <v>#N/A</v>
          </cell>
          <cell r="E610" t="e">
            <v>#N/A</v>
          </cell>
          <cell r="F610" t="e">
            <v>#N/A</v>
          </cell>
          <cell r="G610" t="e">
            <v>#N/A</v>
          </cell>
          <cell r="O610" t="e">
            <v>#N/A</v>
          </cell>
          <cell r="S610">
            <v>0</v>
          </cell>
          <cell r="T610">
            <v>3138400</v>
          </cell>
          <cell r="U610" t="str">
            <v>ya</v>
          </cell>
          <cell r="V610" t="e">
            <v>#N/A</v>
          </cell>
          <cell r="W610" t="e">
            <v>#N/A</v>
          </cell>
          <cell r="X610" t="e">
            <v>#N/A</v>
          </cell>
          <cell r="Z610">
            <v>0</v>
          </cell>
          <cell r="AB610">
            <v>0</v>
          </cell>
          <cell r="AD610">
            <v>0</v>
          </cell>
          <cell r="AF610">
            <v>0</v>
          </cell>
        </row>
        <row r="611">
          <cell r="A611">
            <v>610</v>
          </cell>
          <cell r="C611" t="e">
            <v>#N/A</v>
          </cell>
          <cell r="D611" t="e">
            <v>#N/A</v>
          </cell>
          <cell r="E611" t="e">
            <v>#N/A</v>
          </cell>
          <cell r="F611" t="e">
            <v>#N/A</v>
          </cell>
          <cell r="G611" t="e">
            <v>#N/A</v>
          </cell>
          <cell r="O611" t="e">
            <v>#N/A</v>
          </cell>
          <cell r="S611">
            <v>0</v>
          </cell>
          <cell r="T611">
            <v>3138400</v>
          </cell>
          <cell r="V611">
            <v>0</v>
          </cell>
          <cell r="W611">
            <v>0</v>
          </cell>
          <cell r="X611">
            <v>0</v>
          </cell>
          <cell r="Z611">
            <v>0</v>
          </cell>
          <cell r="AB611">
            <v>0</v>
          </cell>
          <cell r="AD611">
            <v>0</v>
          </cell>
          <cell r="AF611">
            <v>0</v>
          </cell>
        </row>
        <row r="612">
          <cell r="A612">
            <v>611</v>
          </cell>
          <cell r="C612" t="e">
            <v>#N/A</v>
          </cell>
          <cell r="D612" t="e">
            <v>#N/A</v>
          </cell>
          <cell r="E612" t="e">
            <v>#N/A</v>
          </cell>
          <cell r="F612" t="e">
            <v>#N/A</v>
          </cell>
          <cell r="G612" t="e">
            <v>#N/A</v>
          </cell>
          <cell r="O612" t="e">
            <v>#N/A</v>
          </cell>
          <cell r="S612">
            <v>0</v>
          </cell>
          <cell r="T612">
            <v>3138400</v>
          </cell>
          <cell r="V612">
            <v>0</v>
          </cell>
          <cell r="W612">
            <v>0</v>
          </cell>
          <cell r="X612">
            <v>0</v>
          </cell>
          <cell r="Z612">
            <v>0</v>
          </cell>
          <cell r="AB612">
            <v>0</v>
          </cell>
          <cell r="AD612">
            <v>0</v>
          </cell>
          <cell r="AF612">
            <v>0</v>
          </cell>
        </row>
        <row r="613">
          <cell r="A613">
            <v>612</v>
          </cell>
          <cell r="C613" t="e">
            <v>#N/A</v>
          </cell>
          <cell r="D613" t="e">
            <v>#N/A</v>
          </cell>
          <cell r="E613" t="e">
            <v>#N/A</v>
          </cell>
          <cell r="F613" t="e">
            <v>#N/A</v>
          </cell>
          <cell r="G613" t="e">
            <v>#N/A</v>
          </cell>
          <cell r="O613" t="e">
            <v>#N/A</v>
          </cell>
          <cell r="S613">
            <v>0</v>
          </cell>
          <cell r="T613">
            <v>3138400</v>
          </cell>
          <cell r="V613">
            <v>0</v>
          </cell>
          <cell r="W613">
            <v>0</v>
          </cell>
          <cell r="X613">
            <v>0</v>
          </cell>
          <cell r="Z613">
            <v>0</v>
          </cell>
          <cell r="AB613">
            <v>0</v>
          </cell>
          <cell r="AD613">
            <v>0</v>
          </cell>
          <cell r="AF613">
            <v>0</v>
          </cell>
        </row>
        <row r="614">
          <cell r="A614">
            <v>613</v>
          </cell>
          <cell r="C614" t="e">
            <v>#N/A</v>
          </cell>
          <cell r="D614" t="e">
            <v>#N/A</v>
          </cell>
          <cell r="E614" t="e">
            <v>#N/A</v>
          </cell>
          <cell r="F614" t="e">
            <v>#N/A</v>
          </cell>
          <cell r="G614" t="e">
            <v>#N/A</v>
          </cell>
          <cell r="O614" t="e">
            <v>#N/A</v>
          </cell>
          <cell r="S614">
            <v>0</v>
          </cell>
          <cell r="T614">
            <v>3138400</v>
          </cell>
          <cell r="V614">
            <v>0</v>
          </cell>
          <cell r="W614">
            <v>0</v>
          </cell>
          <cell r="X614">
            <v>0</v>
          </cell>
          <cell r="Z614">
            <v>0</v>
          </cell>
          <cell r="AB614">
            <v>0</v>
          </cell>
          <cell r="AD614">
            <v>0</v>
          </cell>
          <cell r="AF614">
            <v>0</v>
          </cell>
        </row>
        <row r="615">
          <cell r="A615">
            <v>614</v>
          </cell>
          <cell r="C615" t="e">
            <v>#N/A</v>
          </cell>
          <cell r="D615" t="e">
            <v>#N/A</v>
          </cell>
          <cell r="E615" t="e">
            <v>#N/A</v>
          </cell>
          <cell r="F615" t="e">
            <v>#N/A</v>
          </cell>
          <cell r="G615" t="e">
            <v>#N/A</v>
          </cell>
          <cell r="O615" t="e">
            <v>#N/A</v>
          </cell>
          <cell r="S615">
            <v>0</v>
          </cell>
          <cell r="T615">
            <v>3138400</v>
          </cell>
          <cell r="U615" t="str">
            <v>ya</v>
          </cell>
          <cell r="V615" t="e">
            <v>#N/A</v>
          </cell>
          <cell r="W615" t="e">
            <v>#N/A</v>
          </cell>
          <cell r="X615" t="e">
            <v>#N/A</v>
          </cell>
          <cell r="Z615">
            <v>0</v>
          </cell>
          <cell r="AB615">
            <v>0</v>
          </cell>
          <cell r="AD615">
            <v>0</v>
          </cell>
          <cell r="AF615">
            <v>0</v>
          </cell>
        </row>
        <row r="616">
          <cell r="A616">
            <v>615</v>
          </cell>
          <cell r="C616" t="e">
            <v>#N/A</v>
          </cell>
          <cell r="D616" t="e">
            <v>#N/A</v>
          </cell>
          <cell r="E616" t="e">
            <v>#N/A</v>
          </cell>
          <cell r="F616" t="e">
            <v>#N/A</v>
          </cell>
          <cell r="G616" t="e">
            <v>#N/A</v>
          </cell>
          <cell r="O616" t="e">
            <v>#N/A</v>
          </cell>
          <cell r="S616">
            <v>0</v>
          </cell>
          <cell r="T616">
            <v>3138400</v>
          </cell>
          <cell r="U616" t="str">
            <v>ya</v>
          </cell>
          <cell r="V616" t="e">
            <v>#N/A</v>
          </cell>
          <cell r="W616" t="e">
            <v>#N/A</v>
          </cell>
          <cell r="X616" t="e">
            <v>#N/A</v>
          </cell>
          <cell r="Z616">
            <v>0</v>
          </cell>
          <cell r="AB616">
            <v>0</v>
          </cell>
          <cell r="AD616">
            <v>0</v>
          </cell>
          <cell r="AF616">
            <v>0</v>
          </cell>
        </row>
        <row r="617">
          <cell r="A617">
            <v>616</v>
          </cell>
          <cell r="C617" t="e">
            <v>#N/A</v>
          </cell>
          <cell r="D617" t="e">
            <v>#N/A</v>
          </cell>
          <cell r="E617" t="e">
            <v>#N/A</v>
          </cell>
          <cell r="F617" t="e">
            <v>#N/A</v>
          </cell>
          <cell r="G617" t="e">
            <v>#N/A</v>
          </cell>
          <cell r="O617" t="e">
            <v>#N/A</v>
          </cell>
          <cell r="S617">
            <v>0</v>
          </cell>
          <cell r="T617">
            <v>3138400</v>
          </cell>
          <cell r="U617" t="str">
            <v>ya</v>
          </cell>
          <cell r="V617" t="e">
            <v>#N/A</v>
          </cell>
          <cell r="W617" t="e">
            <v>#N/A</v>
          </cell>
          <cell r="X617" t="e">
            <v>#N/A</v>
          </cell>
          <cell r="Z617">
            <v>0</v>
          </cell>
          <cell r="AB617">
            <v>0</v>
          </cell>
          <cell r="AD617">
            <v>0</v>
          </cell>
          <cell r="AF617">
            <v>0</v>
          </cell>
        </row>
        <row r="618">
          <cell r="A618">
            <v>617</v>
          </cell>
          <cell r="C618" t="e">
            <v>#N/A</v>
          </cell>
          <cell r="D618" t="e">
            <v>#N/A</v>
          </cell>
          <cell r="E618" t="e">
            <v>#N/A</v>
          </cell>
          <cell r="F618" t="e">
            <v>#N/A</v>
          </cell>
          <cell r="G618" t="e">
            <v>#N/A</v>
          </cell>
          <cell r="O618" t="e">
            <v>#N/A</v>
          </cell>
          <cell r="S618">
            <v>0</v>
          </cell>
          <cell r="T618">
            <v>3138400</v>
          </cell>
          <cell r="U618" t="str">
            <v>ya</v>
          </cell>
          <cell r="V618" t="e">
            <v>#N/A</v>
          </cell>
          <cell r="W618" t="e">
            <v>#N/A</v>
          </cell>
          <cell r="X618" t="e">
            <v>#N/A</v>
          </cell>
          <cell r="Z618">
            <v>0</v>
          </cell>
          <cell r="AB618">
            <v>0</v>
          </cell>
          <cell r="AD618">
            <v>0</v>
          </cell>
          <cell r="AF618">
            <v>0</v>
          </cell>
        </row>
        <row r="619">
          <cell r="A619">
            <v>618</v>
          </cell>
          <cell r="C619" t="e">
            <v>#N/A</v>
          </cell>
          <cell r="D619" t="e">
            <v>#N/A</v>
          </cell>
          <cell r="E619" t="e">
            <v>#N/A</v>
          </cell>
          <cell r="F619" t="e">
            <v>#N/A</v>
          </cell>
          <cell r="G619" t="e">
            <v>#N/A</v>
          </cell>
          <cell r="O619" t="e">
            <v>#N/A</v>
          </cell>
          <cell r="S619">
            <v>0</v>
          </cell>
          <cell r="T619">
            <v>3138400</v>
          </cell>
          <cell r="U619" t="str">
            <v>ya</v>
          </cell>
          <cell r="V619" t="e">
            <v>#N/A</v>
          </cell>
          <cell r="W619" t="e">
            <v>#N/A</v>
          </cell>
          <cell r="X619" t="e">
            <v>#N/A</v>
          </cell>
          <cell r="Z619">
            <v>0</v>
          </cell>
          <cell r="AB619">
            <v>0</v>
          </cell>
          <cell r="AD619">
            <v>0</v>
          </cell>
          <cell r="AF619">
            <v>0</v>
          </cell>
        </row>
        <row r="620">
          <cell r="A620">
            <v>619</v>
          </cell>
          <cell r="C620" t="e">
            <v>#N/A</v>
          </cell>
          <cell r="D620" t="e">
            <v>#N/A</v>
          </cell>
          <cell r="E620" t="e">
            <v>#N/A</v>
          </cell>
          <cell r="F620" t="e">
            <v>#N/A</v>
          </cell>
          <cell r="G620" t="e">
            <v>#N/A</v>
          </cell>
          <cell r="O620" t="e">
            <v>#N/A</v>
          </cell>
          <cell r="S620">
            <v>0</v>
          </cell>
          <cell r="T620">
            <v>3138400</v>
          </cell>
          <cell r="U620" t="str">
            <v>ya</v>
          </cell>
          <cell r="V620" t="e">
            <v>#N/A</v>
          </cell>
          <cell r="W620" t="e">
            <v>#N/A</v>
          </cell>
          <cell r="X620" t="e">
            <v>#N/A</v>
          </cell>
          <cell r="Z620">
            <v>0</v>
          </cell>
          <cell r="AB620">
            <v>0</v>
          </cell>
          <cell r="AD620">
            <v>0</v>
          </cell>
          <cell r="AF620">
            <v>0</v>
          </cell>
        </row>
        <row r="621">
          <cell r="A621">
            <v>620</v>
          </cell>
          <cell r="C621" t="e">
            <v>#N/A</v>
          </cell>
          <cell r="D621" t="e">
            <v>#N/A</v>
          </cell>
          <cell r="E621" t="e">
            <v>#N/A</v>
          </cell>
          <cell r="F621" t="e">
            <v>#N/A</v>
          </cell>
          <cell r="G621" t="e">
            <v>#N/A</v>
          </cell>
          <cell r="O621" t="e">
            <v>#N/A</v>
          </cell>
          <cell r="S621">
            <v>0</v>
          </cell>
          <cell r="T621">
            <v>3138400</v>
          </cell>
          <cell r="V621">
            <v>0</v>
          </cell>
          <cell r="W621">
            <v>0</v>
          </cell>
          <cell r="X621">
            <v>0</v>
          </cell>
          <cell r="Z621">
            <v>0</v>
          </cell>
          <cell r="AB621">
            <v>0</v>
          </cell>
          <cell r="AD621">
            <v>0</v>
          </cell>
          <cell r="AF621">
            <v>0</v>
          </cell>
        </row>
        <row r="622">
          <cell r="A622">
            <v>621</v>
          </cell>
          <cell r="C622" t="e">
            <v>#N/A</v>
          </cell>
          <cell r="D622" t="e">
            <v>#N/A</v>
          </cell>
          <cell r="E622" t="e">
            <v>#N/A</v>
          </cell>
          <cell r="F622" t="e">
            <v>#N/A</v>
          </cell>
          <cell r="G622" t="e">
            <v>#N/A</v>
          </cell>
          <cell r="O622" t="e">
            <v>#N/A</v>
          </cell>
          <cell r="S622">
            <v>0</v>
          </cell>
          <cell r="T622">
            <v>3138400</v>
          </cell>
          <cell r="V622">
            <v>0</v>
          </cell>
          <cell r="W622">
            <v>0</v>
          </cell>
          <cell r="X622">
            <v>0</v>
          </cell>
          <cell r="Z622">
            <v>0</v>
          </cell>
          <cell r="AB622">
            <v>0</v>
          </cell>
          <cell r="AD622">
            <v>0</v>
          </cell>
          <cell r="AF622">
            <v>0</v>
          </cell>
        </row>
        <row r="623">
          <cell r="A623">
            <v>622</v>
          </cell>
          <cell r="C623" t="e">
            <v>#N/A</v>
          </cell>
          <cell r="D623" t="e">
            <v>#N/A</v>
          </cell>
          <cell r="E623" t="e">
            <v>#N/A</v>
          </cell>
          <cell r="F623" t="e">
            <v>#N/A</v>
          </cell>
          <cell r="G623" t="e">
            <v>#N/A</v>
          </cell>
          <cell r="O623" t="e">
            <v>#N/A</v>
          </cell>
          <cell r="S623">
            <v>0</v>
          </cell>
          <cell r="T623">
            <v>3138400</v>
          </cell>
          <cell r="V623">
            <v>0</v>
          </cell>
          <cell r="W623">
            <v>0</v>
          </cell>
          <cell r="X623">
            <v>0</v>
          </cell>
          <cell r="Z623">
            <v>0</v>
          </cell>
          <cell r="AB623">
            <v>0</v>
          </cell>
          <cell r="AD623">
            <v>0</v>
          </cell>
          <cell r="AF623">
            <v>0</v>
          </cell>
        </row>
        <row r="624">
          <cell r="A624">
            <v>623</v>
          </cell>
          <cell r="C624" t="e">
            <v>#N/A</v>
          </cell>
          <cell r="D624" t="e">
            <v>#N/A</v>
          </cell>
          <cell r="E624" t="e">
            <v>#N/A</v>
          </cell>
          <cell r="F624" t="e">
            <v>#N/A</v>
          </cell>
          <cell r="G624" t="e">
            <v>#N/A</v>
          </cell>
          <cell r="O624" t="e">
            <v>#N/A</v>
          </cell>
          <cell r="S624">
            <v>0</v>
          </cell>
          <cell r="T624">
            <v>3138400</v>
          </cell>
          <cell r="V624">
            <v>0</v>
          </cell>
          <cell r="W624">
            <v>0</v>
          </cell>
          <cell r="X624">
            <v>0</v>
          </cell>
          <cell r="Z624">
            <v>0</v>
          </cell>
          <cell r="AB624">
            <v>0</v>
          </cell>
          <cell r="AD624">
            <v>0</v>
          </cell>
          <cell r="AF624">
            <v>0</v>
          </cell>
        </row>
        <row r="625">
          <cell r="A625">
            <v>624</v>
          </cell>
          <cell r="C625" t="e">
            <v>#N/A</v>
          </cell>
          <cell r="D625" t="e">
            <v>#N/A</v>
          </cell>
          <cell r="E625" t="e">
            <v>#N/A</v>
          </cell>
          <cell r="F625" t="e">
            <v>#N/A</v>
          </cell>
          <cell r="G625" t="e">
            <v>#N/A</v>
          </cell>
          <cell r="O625" t="e">
            <v>#N/A</v>
          </cell>
          <cell r="S625">
            <v>0</v>
          </cell>
          <cell r="T625">
            <v>3138400</v>
          </cell>
          <cell r="V625">
            <v>340000</v>
          </cell>
          <cell r="W625">
            <v>296000</v>
          </cell>
          <cell r="X625">
            <v>636000</v>
          </cell>
          <cell r="Z625">
            <v>0</v>
          </cell>
          <cell r="AB625">
            <v>0</v>
          </cell>
          <cell r="AD625">
            <v>0</v>
          </cell>
          <cell r="AF625">
            <v>0</v>
          </cell>
        </row>
        <row r="626">
          <cell r="A626">
            <v>625</v>
          </cell>
          <cell r="C626" t="e">
            <v>#N/A</v>
          </cell>
          <cell r="D626" t="e">
            <v>#N/A</v>
          </cell>
          <cell r="E626" t="e">
            <v>#N/A</v>
          </cell>
          <cell r="F626" t="e">
            <v>#N/A</v>
          </cell>
          <cell r="G626" t="e">
            <v>#N/A</v>
          </cell>
          <cell r="O626" t="e">
            <v>#N/A</v>
          </cell>
          <cell r="S626">
            <v>0</v>
          </cell>
          <cell r="T626">
            <v>3138400</v>
          </cell>
          <cell r="V626">
            <v>340000</v>
          </cell>
          <cell r="W626">
            <v>296000</v>
          </cell>
          <cell r="X626">
            <v>636000</v>
          </cell>
          <cell r="Z626">
            <v>0</v>
          </cell>
          <cell r="AB626">
            <v>0</v>
          </cell>
          <cell r="AD626">
            <v>0</v>
          </cell>
          <cell r="AF626">
            <v>0</v>
          </cell>
        </row>
        <row r="627">
          <cell r="A627">
            <v>626</v>
          </cell>
          <cell r="C627" t="e">
            <v>#N/A</v>
          </cell>
          <cell r="D627" t="e">
            <v>#N/A</v>
          </cell>
          <cell r="E627" t="e">
            <v>#N/A</v>
          </cell>
          <cell r="F627" t="e">
            <v>#N/A</v>
          </cell>
          <cell r="G627" t="e">
            <v>#N/A</v>
          </cell>
          <cell r="O627" t="e">
            <v>#N/A</v>
          </cell>
          <cell r="S627">
            <v>0</v>
          </cell>
          <cell r="T627">
            <v>3138400</v>
          </cell>
          <cell r="V627">
            <v>0</v>
          </cell>
          <cell r="W627">
            <v>0</v>
          </cell>
          <cell r="X627">
            <v>0</v>
          </cell>
          <cell r="Z627">
            <v>0</v>
          </cell>
          <cell r="AB627">
            <v>0</v>
          </cell>
          <cell r="AD627">
            <v>0</v>
          </cell>
          <cell r="AF627">
            <v>0</v>
          </cell>
        </row>
        <row r="628">
          <cell r="A628">
            <v>627</v>
          </cell>
          <cell r="C628" t="e">
            <v>#N/A</v>
          </cell>
          <cell r="D628" t="e">
            <v>#N/A</v>
          </cell>
          <cell r="E628" t="e">
            <v>#N/A</v>
          </cell>
          <cell r="F628" t="e">
            <v>#N/A</v>
          </cell>
          <cell r="G628" t="e">
            <v>#N/A</v>
          </cell>
          <cell r="O628" t="e">
            <v>#N/A</v>
          </cell>
          <cell r="S628">
            <v>0</v>
          </cell>
          <cell r="T628">
            <v>3138400</v>
          </cell>
          <cell r="V628">
            <v>0</v>
          </cell>
          <cell r="W628">
            <v>0</v>
          </cell>
          <cell r="X628">
            <v>0</v>
          </cell>
          <cell r="Z628">
            <v>0</v>
          </cell>
          <cell r="AB628">
            <v>0</v>
          </cell>
          <cell r="AD628">
            <v>0</v>
          </cell>
          <cell r="AF628">
            <v>0</v>
          </cell>
        </row>
        <row r="629">
          <cell r="A629">
            <v>628</v>
          </cell>
          <cell r="C629" t="e">
            <v>#N/A</v>
          </cell>
          <cell r="D629" t="e">
            <v>#N/A</v>
          </cell>
          <cell r="E629" t="e">
            <v>#N/A</v>
          </cell>
          <cell r="F629" t="e">
            <v>#N/A</v>
          </cell>
          <cell r="G629" t="e">
            <v>#N/A</v>
          </cell>
          <cell r="O629" t="e">
            <v>#N/A</v>
          </cell>
          <cell r="S629">
            <v>0</v>
          </cell>
          <cell r="T629">
            <v>3138400</v>
          </cell>
          <cell r="V629">
            <v>0</v>
          </cell>
          <cell r="W629">
            <v>0</v>
          </cell>
          <cell r="X629">
            <v>0</v>
          </cell>
          <cell r="Z629">
            <v>0</v>
          </cell>
          <cell r="AB629">
            <v>0</v>
          </cell>
          <cell r="AD629">
            <v>0</v>
          </cell>
          <cell r="AF629">
            <v>0</v>
          </cell>
        </row>
        <row r="630">
          <cell r="A630">
            <v>629</v>
          </cell>
          <cell r="C630" t="e">
            <v>#N/A</v>
          </cell>
          <cell r="D630" t="e">
            <v>#N/A</v>
          </cell>
          <cell r="E630" t="e">
            <v>#N/A</v>
          </cell>
          <cell r="F630" t="e">
            <v>#N/A</v>
          </cell>
          <cell r="G630" t="e">
            <v>#N/A</v>
          </cell>
          <cell r="O630" t="e">
            <v>#N/A</v>
          </cell>
          <cell r="S630">
            <v>0</v>
          </cell>
          <cell r="T630">
            <v>3138400</v>
          </cell>
          <cell r="V630">
            <v>0</v>
          </cell>
          <cell r="W630">
            <v>0</v>
          </cell>
          <cell r="X630">
            <v>0</v>
          </cell>
          <cell r="Z630">
            <v>0</v>
          </cell>
          <cell r="AB630">
            <v>0</v>
          </cell>
          <cell r="AD630">
            <v>0</v>
          </cell>
          <cell r="AF630">
            <v>0</v>
          </cell>
        </row>
        <row r="631">
          <cell r="A631">
            <v>630</v>
          </cell>
          <cell r="C631" t="e">
            <v>#N/A</v>
          </cell>
          <cell r="D631" t="e">
            <v>#N/A</v>
          </cell>
          <cell r="E631" t="e">
            <v>#N/A</v>
          </cell>
          <cell r="F631" t="e">
            <v>#N/A</v>
          </cell>
          <cell r="G631" t="e">
            <v>#N/A</v>
          </cell>
          <cell r="O631" t="e">
            <v>#N/A</v>
          </cell>
          <cell r="S631">
            <v>0</v>
          </cell>
          <cell r="T631">
            <v>3138400</v>
          </cell>
          <cell r="V631">
            <v>0</v>
          </cell>
          <cell r="W631">
            <v>0</v>
          </cell>
          <cell r="X631">
            <v>0</v>
          </cell>
          <cell r="Z631">
            <v>0</v>
          </cell>
          <cell r="AB631">
            <v>0</v>
          </cell>
          <cell r="AD631">
            <v>0</v>
          </cell>
          <cell r="AF631">
            <v>0</v>
          </cell>
        </row>
        <row r="632">
          <cell r="A632">
            <v>631</v>
          </cell>
          <cell r="C632" t="e">
            <v>#N/A</v>
          </cell>
          <cell r="D632" t="e">
            <v>#N/A</v>
          </cell>
          <cell r="E632" t="e">
            <v>#N/A</v>
          </cell>
          <cell r="F632" t="e">
            <v>#N/A</v>
          </cell>
          <cell r="G632" t="e">
            <v>#N/A</v>
          </cell>
          <cell r="O632" t="e">
            <v>#N/A</v>
          </cell>
          <cell r="S632">
            <v>0</v>
          </cell>
          <cell r="T632">
            <v>3138400</v>
          </cell>
          <cell r="V632">
            <v>0</v>
          </cell>
          <cell r="W632">
            <v>0</v>
          </cell>
          <cell r="X632">
            <v>0</v>
          </cell>
          <cell r="Z632">
            <v>0</v>
          </cell>
          <cell r="AB632">
            <v>0</v>
          </cell>
          <cell r="AD632">
            <v>0</v>
          </cell>
          <cell r="AF632">
            <v>0</v>
          </cell>
        </row>
        <row r="633">
          <cell r="A633">
            <v>632</v>
          </cell>
          <cell r="C633" t="e">
            <v>#N/A</v>
          </cell>
          <cell r="D633" t="e">
            <v>#N/A</v>
          </cell>
          <cell r="E633" t="e">
            <v>#N/A</v>
          </cell>
          <cell r="F633" t="e">
            <v>#N/A</v>
          </cell>
          <cell r="G633" t="e">
            <v>#N/A</v>
          </cell>
          <cell r="O633" t="e">
            <v>#N/A</v>
          </cell>
          <cell r="S633">
            <v>0</v>
          </cell>
          <cell r="T633">
            <v>3138400</v>
          </cell>
          <cell r="V633">
            <v>0</v>
          </cell>
          <cell r="W633">
            <v>0</v>
          </cell>
          <cell r="X633">
            <v>0</v>
          </cell>
          <cell r="Z633">
            <v>0</v>
          </cell>
          <cell r="AB633">
            <v>0</v>
          </cell>
          <cell r="AD633">
            <v>0</v>
          </cell>
          <cell r="AF633">
            <v>0</v>
          </cell>
        </row>
        <row r="634">
          <cell r="A634">
            <v>633</v>
          </cell>
          <cell r="C634" t="e">
            <v>#N/A</v>
          </cell>
          <cell r="D634" t="e">
            <v>#N/A</v>
          </cell>
          <cell r="E634" t="e">
            <v>#N/A</v>
          </cell>
          <cell r="F634" t="e">
            <v>#N/A</v>
          </cell>
          <cell r="G634" t="e">
            <v>#N/A</v>
          </cell>
          <cell r="O634" t="e">
            <v>#N/A</v>
          </cell>
          <cell r="S634">
            <v>0</v>
          </cell>
          <cell r="T634">
            <v>3138400</v>
          </cell>
          <cell r="V634">
            <v>0</v>
          </cell>
          <cell r="W634">
            <v>0</v>
          </cell>
          <cell r="X634">
            <v>0</v>
          </cell>
          <cell r="Z634">
            <v>0</v>
          </cell>
          <cell r="AB634">
            <v>0</v>
          </cell>
          <cell r="AD634">
            <v>0</v>
          </cell>
          <cell r="AF634">
            <v>0</v>
          </cell>
        </row>
        <row r="635">
          <cell r="A635">
            <v>634</v>
          </cell>
          <cell r="C635" t="e">
            <v>#N/A</v>
          </cell>
          <cell r="D635" t="e">
            <v>#N/A</v>
          </cell>
          <cell r="E635" t="e">
            <v>#N/A</v>
          </cell>
          <cell r="F635" t="e">
            <v>#N/A</v>
          </cell>
          <cell r="G635" t="e">
            <v>#N/A</v>
          </cell>
          <cell r="O635" t="e">
            <v>#N/A</v>
          </cell>
          <cell r="S635">
            <v>0</v>
          </cell>
          <cell r="T635">
            <v>3138400</v>
          </cell>
          <cell r="V635">
            <v>0</v>
          </cell>
          <cell r="W635">
            <v>0</v>
          </cell>
          <cell r="X635">
            <v>0</v>
          </cell>
          <cell r="Z635">
            <v>0</v>
          </cell>
          <cell r="AB635">
            <v>0</v>
          </cell>
          <cell r="AD635">
            <v>0</v>
          </cell>
          <cell r="AF635">
            <v>0</v>
          </cell>
        </row>
        <row r="636">
          <cell r="A636">
            <v>635</v>
          </cell>
          <cell r="C636" t="e">
            <v>#N/A</v>
          </cell>
          <cell r="D636" t="e">
            <v>#N/A</v>
          </cell>
          <cell r="E636" t="e">
            <v>#N/A</v>
          </cell>
          <cell r="F636" t="e">
            <v>#N/A</v>
          </cell>
          <cell r="G636" t="e">
            <v>#N/A</v>
          </cell>
          <cell r="O636" t="e">
            <v>#N/A</v>
          </cell>
          <cell r="S636">
            <v>0</v>
          </cell>
          <cell r="T636">
            <v>3138400</v>
          </cell>
          <cell r="V636">
            <v>0</v>
          </cell>
          <cell r="W636">
            <v>0</v>
          </cell>
          <cell r="X636">
            <v>0</v>
          </cell>
          <cell r="Z636">
            <v>0</v>
          </cell>
          <cell r="AB636">
            <v>0</v>
          </cell>
          <cell r="AD636">
            <v>0</v>
          </cell>
          <cell r="AF636">
            <v>0</v>
          </cell>
        </row>
        <row r="637">
          <cell r="A637">
            <v>636</v>
          </cell>
          <cell r="C637" t="e">
            <v>#N/A</v>
          </cell>
          <cell r="D637" t="e">
            <v>#N/A</v>
          </cell>
          <cell r="E637" t="e">
            <v>#N/A</v>
          </cell>
          <cell r="F637" t="e">
            <v>#N/A</v>
          </cell>
          <cell r="G637" t="e">
            <v>#N/A</v>
          </cell>
          <cell r="O637" t="e">
            <v>#N/A</v>
          </cell>
          <cell r="S637">
            <v>0</v>
          </cell>
          <cell r="T637">
            <v>3138400</v>
          </cell>
          <cell r="V637">
            <v>0</v>
          </cell>
          <cell r="W637">
            <v>0</v>
          </cell>
          <cell r="X637">
            <v>0</v>
          </cell>
          <cell r="Z637">
            <v>0</v>
          </cell>
          <cell r="AB637">
            <v>0</v>
          </cell>
          <cell r="AD637">
            <v>0</v>
          </cell>
          <cell r="AF637">
            <v>0</v>
          </cell>
        </row>
        <row r="638">
          <cell r="A638">
            <v>637</v>
          </cell>
          <cell r="C638" t="e">
            <v>#N/A</v>
          </cell>
          <cell r="D638" t="e">
            <v>#N/A</v>
          </cell>
          <cell r="E638" t="e">
            <v>#N/A</v>
          </cell>
          <cell r="F638" t="e">
            <v>#N/A</v>
          </cell>
          <cell r="G638" t="e">
            <v>#N/A</v>
          </cell>
          <cell r="O638" t="e">
            <v>#N/A</v>
          </cell>
          <cell r="S638">
            <v>0</v>
          </cell>
          <cell r="T638">
            <v>3138400</v>
          </cell>
          <cell r="V638">
            <v>0</v>
          </cell>
          <cell r="W638">
            <v>0</v>
          </cell>
          <cell r="X638">
            <v>0</v>
          </cell>
          <cell r="Z638">
            <v>0</v>
          </cell>
          <cell r="AB638">
            <v>0</v>
          </cell>
          <cell r="AD638">
            <v>0</v>
          </cell>
          <cell r="AF638">
            <v>0</v>
          </cell>
        </row>
        <row r="639">
          <cell r="A639">
            <v>638</v>
          </cell>
          <cell r="C639" t="e">
            <v>#N/A</v>
          </cell>
          <cell r="D639" t="e">
            <v>#N/A</v>
          </cell>
          <cell r="E639" t="e">
            <v>#N/A</v>
          </cell>
          <cell r="F639" t="e">
            <v>#N/A</v>
          </cell>
          <cell r="G639" t="e">
            <v>#N/A</v>
          </cell>
          <cell r="O639" t="e">
            <v>#N/A</v>
          </cell>
          <cell r="S639">
            <v>0</v>
          </cell>
          <cell r="T639">
            <v>3138400</v>
          </cell>
          <cell r="V639">
            <v>0</v>
          </cell>
          <cell r="W639">
            <v>0</v>
          </cell>
          <cell r="X639">
            <v>0</v>
          </cell>
          <cell r="Z639">
            <v>0</v>
          </cell>
          <cell r="AB639">
            <v>0</v>
          </cell>
          <cell r="AD639">
            <v>0</v>
          </cell>
          <cell r="AF639">
            <v>0</v>
          </cell>
        </row>
        <row r="640">
          <cell r="A640">
            <v>639</v>
          </cell>
          <cell r="C640" t="e">
            <v>#N/A</v>
          </cell>
          <cell r="D640" t="e">
            <v>#N/A</v>
          </cell>
          <cell r="E640" t="e">
            <v>#N/A</v>
          </cell>
          <cell r="F640" t="e">
            <v>#N/A</v>
          </cell>
          <cell r="G640" t="e">
            <v>#N/A</v>
          </cell>
          <cell r="O640" t="e">
            <v>#N/A</v>
          </cell>
          <cell r="S640">
            <v>0</v>
          </cell>
          <cell r="T640">
            <v>3138400</v>
          </cell>
          <cell r="V640">
            <v>0</v>
          </cell>
          <cell r="W640">
            <v>0</v>
          </cell>
          <cell r="X640">
            <v>0</v>
          </cell>
          <cell r="Z640">
            <v>0</v>
          </cell>
          <cell r="AB640">
            <v>0</v>
          </cell>
          <cell r="AD640">
            <v>0</v>
          </cell>
          <cell r="AF640">
            <v>0</v>
          </cell>
        </row>
        <row r="641">
          <cell r="A641">
            <v>640</v>
          </cell>
          <cell r="C641" t="e">
            <v>#N/A</v>
          </cell>
          <cell r="D641" t="e">
            <v>#N/A</v>
          </cell>
          <cell r="E641" t="e">
            <v>#N/A</v>
          </cell>
          <cell r="F641" t="e">
            <v>#N/A</v>
          </cell>
          <cell r="G641" t="e">
            <v>#N/A</v>
          </cell>
          <cell r="O641" t="e">
            <v>#N/A</v>
          </cell>
          <cell r="S641">
            <v>0</v>
          </cell>
          <cell r="T641">
            <v>3138400</v>
          </cell>
          <cell r="V641">
            <v>0</v>
          </cell>
          <cell r="W641">
            <v>0</v>
          </cell>
          <cell r="X641">
            <v>0</v>
          </cell>
          <cell r="Z641">
            <v>0</v>
          </cell>
          <cell r="AB641">
            <v>0</v>
          </cell>
          <cell r="AD641">
            <v>0</v>
          </cell>
          <cell r="AF641">
            <v>0</v>
          </cell>
        </row>
        <row r="642">
          <cell r="A642">
            <v>641</v>
          </cell>
          <cell r="C642" t="e">
            <v>#N/A</v>
          </cell>
          <cell r="D642" t="e">
            <v>#N/A</v>
          </cell>
          <cell r="E642" t="e">
            <v>#N/A</v>
          </cell>
          <cell r="F642" t="e">
            <v>#N/A</v>
          </cell>
          <cell r="G642" t="e">
            <v>#N/A</v>
          </cell>
          <cell r="O642" t="e">
            <v>#N/A</v>
          </cell>
          <cell r="S642">
            <v>0</v>
          </cell>
          <cell r="T642">
            <v>3138400</v>
          </cell>
          <cell r="V642">
            <v>0</v>
          </cell>
          <cell r="W642">
            <v>0</v>
          </cell>
          <cell r="X642">
            <v>0</v>
          </cell>
          <cell r="Z642">
            <v>0</v>
          </cell>
          <cell r="AB642">
            <v>0</v>
          </cell>
          <cell r="AD642">
            <v>0</v>
          </cell>
          <cell r="AF642">
            <v>0</v>
          </cell>
        </row>
        <row r="643">
          <cell r="A643">
            <v>642</v>
          </cell>
          <cell r="C643" t="e">
            <v>#N/A</v>
          </cell>
          <cell r="D643" t="e">
            <v>#N/A</v>
          </cell>
          <cell r="E643" t="e">
            <v>#N/A</v>
          </cell>
          <cell r="F643" t="e">
            <v>#N/A</v>
          </cell>
          <cell r="G643" t="e">
            <v>#N/A</v>
          </cell>
          <cell r="O643" t="e">
            <v>#N/A</v>
          </cell>
          <cell r="S643">
            <v>0</v>
          </cell>
          <cell r="T643">
            <v>3138400</v>
          </cell>
          <cell r="V643">
            <v>0</v>
          </cell>
          <cell r="W643">
            <v>0</v>
          </cell>
          <cell r="X643">
            <v>0</v>
          </cell>
          <cell r="Z643">
            <v>0</v>
          </cell>
          <cell r="AB643">
            <v>0</v>
          </cell>
          <cell r="AD643">
            <v>0</v>
          </cell>
          <cell r="AF643">
            <v>0</v>
          </cell>
        </row>
        <row r="644">
          <cell r="A644">
            <v>643</v>
          </cell>
          <cell r="C644" t="e">
            <v>#N/A</v>
          </cell>
          <cell r="D644" t="e">
            <v>#N/A</v>
          </cell>
          <cell r="E644" t="e">
            <v>#N/A</v>
          </cell>
          <cell r="F644" t="e">
            <v>#N/A</v>
          </cell>
          <cell r="G644" t="e">
            <v>#N/A</v>
          </cell>
          <cell r="O644" t="e">
            <v>#N/A</v>
          </cell>
          <cell r="S644">
            <v>0</v>
          </cell>
          <cell r="T644">
            <v>3138400</v>
          </cell>
          <cell r="U644" t="str">
            <v>ya</v>
          </cell>
          <cell r="V644" t="e">
            <v>#N/A</v>
          </cell>
          <cell r="W644" t="e">
            <v>#N/A</v>
          </cell>
          <cell r="X644" t="e">
            <v>#N/A</v>
          </cell>
          <cell r="Z644">
            <v>0</v>
          </cell>
          <cell r="AB644">
            <v>0</v>
          </cell>
          <cell r="AD644">
            <v>0</v>
          </cell>
          <cell r="AF644">
            <v>0</v>
          </cell>
        </row>
        <row r="645">
          <cell r="A645">
            <v>644</v>
          </cell>
          <cell r="C645" t="e">
            <v>#N/A</v>
          </cell>
          <cell r="D645" t="e">
            <v>#N/A</v>
          </cell>
          <cell r="E645" t="e">
            <v>#N/A</v>
          </cell>
          <cell r="F645" t="e">
            <v>#N/A</v>
          </cell>
          <cell r="G645" t="e">
            <v>#N/A</v>
          </cell>
          <cell r="O645" t="e">
            <v>#N/A</v>
          </cell>
          <cell r="S645">
            <v>0</v>
          </cell>
          <cell r="T645">
            <v>3138400</v>
          </cell>
          <cell r="U645" t="str">
            <v>ya</v>
          </cell>
          <cell r="V645" t="e">
            <v>#N/A</v>
          </cell>
          <cell r="W645" t="e">
            <v>#N/A</v>
          </cell>
          <cell r="X645" t="e">
            <v>#N/A</v>
          </cell>
          <cell r="Z645">
            <v>0</v>
          </cell>
          <cell r="AB645">
            <v>0</v>
          </cell>
          <cell r="AD645">
            <v>0</v>
          </cell>
          <cell r="AF645">
            <v>0</v>
          </cell>
        </row>
        <row r="646">
          <cell r="A646">
            <v>645</v>
          </cell>
          <cell r="C646" t="e">
            <v>#N/A</v>
          </cell>
          <cell r="D646" t="e">
            <v>#N/A</v>
          </cell>
          <cell r="E646" t="e">
            <v>#N/A</v>
          </cell>
          <cell r="F646" t="e">
            <v>#N/A</v>
          </cell>
          <cell r="G646" t="e">
            <v>#N/A</v>
          </cell>
          <cell r="O646" t="e">
            <v>#N/A</v>
          </cell>
          <cell r="S646">
            <v>0</v>
          </cell>
          <cell r="T646">
            <v>3138400</v>
          </cell>
          <cell r="U646" t="str">
            <v>ya</v>
          </cell>
          <cell r="V646" t="e">
            <v>#N/A</v>
          </cell>
          <cell r="W646" t="e">
            <v>#N/A</v>
          </cell>
          <cell r="X646" t="e">
            <v>#N/A</v>
          </cell>
          <cell r="Z646">
            <v>0</v>
          </cell>
          <cell r="AB646">
            <v>0</v>
          </cell>
          <cell r="AD646">
            <v>0</v>
          </cell>
          <cell r="AF646">
            <v>0</v>
          </cell>
        </row>
        <row r="647">
          <cell r="A647">
            <v>646</v>
          </cell>
          <cell r="C647" t="e">
            <v>#N/A</v>
          </cell>
          <cell r="D647" t="e">
            <v>#N/A</v>
          </cell>
          <cell r="E647" t="e">
            <v>#N/A</v>
          </cell>
          <cell r="F647" t="e">
            <v>#N/A</v>
          </cell>
          <cell r="G647" t="e">
            <v>#N/A</v>
          </cell>
          <cell r="O647" t="e">
            <v>#N/A</v>
          </cell>
          <cell r="S647">
            <v>0</v>
          </cell>
          <cell r="T647">
            <v>3138400</v>
          </cell>
          <cell r="U647" t="str">
            <v>ya</v>
          </cell>
          <cell r="V647" t="e">
            <v>#N/A</v>
          </cell>
          <cell r="W647" t="e">
            <v>#N/A</v>
          </cell>
          <cell r="X647" t="e">
            <v>#N/A</v>
          </cell>
          <cell r="Z647">
            <v>0</v>
          </cell>
          <cell r="AB647">
            <v>0</v>
          </cell>
          <cell r="AD647">
            <v>0</v>
          </cell>
          <cell r="AF647">
            <v>0</v>
          </cell>
        </row>
        <row r="648">
          <cell r="A648">
            <v>647</v>
          </cell>
          <cell r="C648" t="e">
            <v>#N/A</v>
          </cell>
          <cell r="D648" t="e">
            <v>#N/A</v>
          </cell>
          <cell r="E648" t="e">
            <v>#N/A</v>
          </cell>
          <cell r="F648" t="e">
            <v>#N/A</v>
          </cell>
          <cell r="G648" t="e">
            <v>#N/A</v>
          </cell>
          <cell r="O648" t="e">
            <v>#N/A</v>
          </cell>
          <cell r="S648">
            <v>0</v>
          </cell>
          <cell r="T648">
            <v>3138400</v>
          </cell>
          <cell r="U648" t="str">
            <v>ya</v>
          </cell>
          <cell r="V648" t="e">
            <v>#N/A</v>
          </cell>
          <cell r="W648" t="e">
            <v>#N/A</v>
          </cell>
          <cell r="X648" t="e">
            <v>#N/A</v>
          </cell>
          <cell r="Z648">
            <v>0</v>
          </cell>
          <cell r="AB648">
            <v>0</v>
          </cell>
          <cell r="AD648">
            <v>0</v>
          </cell>
          <cell r="AF648">
            <v>0</v>
          </cell>
        </row>
        <row r="649">
          <cell r="A649">
            <v>648</v>
          </cell>
          <cell r="C649" t="e">
            <v>#N/A</v>
          </cell>
          <cell r="D649" t="e">
            <v>#N/A</v>
          </cell>
          <cell r="E649" t="e">
            <v>#N/A</v>
          </cell>
          <cell r="F649" t="e">
            <v>#N/A</v>
          </cell>
          <cell r="G649" t="e">
            <v>#N/A</v>
          </cell>
          <cell r="O649" t="e">
            <v>#N/A</v>
          </cell>
          <cell r="S649">
            <v>0</v>
          </cell>
          <cell r="T649">
            <v>3138400</v>
          </cell>
          <cell r="U649" t="str">
            <v>ya</v>
          </cell>
          <cell r="V649" t="e">
            <v>#N/A</v>
          </cell>
          <cell r="W649" t="e">
            <v>#N/A</v>
          </cell>
          <cell r="X649" t="e">
            <v>#N/A</v>
          </cell>
          <cell r="Z649">
            <v>0</v>
          </cell>
          <cell r="AB649">
            <v>0</v>
          </cell>
          <cell r="AD649">
            <v>0</v>
          </cell>
          <cell r="AF649">
            <v>0</v>
          </cell>
        </row>
        <row r="650">
          <cell r="A650">
            <v>649</v>
          </cell>
          <cell r="C650" t="e">
            <v>#N/A</v>
          </cell>
          <cell r="D650" t="e">
            <v>#N/A</v>
          </cell>
          <cell r="E650" t="e">
            <v>#N/A</v>
          </cell>
          <cell r="F650" t="e">
            <v>#N/A</v>
          </cell>
          <cell r="G650" t="e">
            <v>#N/A</v>
          </cell>
          <cell r="O650" t="e">
            <v>#N/A</v>
          </cell>
          <cell r="S650">
            <v>0</v>
          </cell>
          <cell r="T650">
            <v>3138400</v>
          </cell>
          <cell r="V650">
            <v>0</v>
          </cell>
          <cell r="W650">
            <v>0</v>
          </cell>
          <cell r="X650">
            <v>0</v>
          </cell>
          <cell r="Z650">
            <v>0</v>
          </cell>
          <cell r="AB650">
            <v>0</v>
          </cell>
          <cell r="AD650">
            <v>0</v>
          </cell>
          <cell r="AF650">
            <v>0</v>
          </cell>
        </row>
        <row r="651">
          <cell r="A651">
            <v>650</v>
          </cell>
          <cell r="C651" t="e">
            <v>#N/A</v>
          </cell>
          <cell r="D651" t="e">
            <v>#N/A</v>
          </cell>
          <cell r="E651" t="e">
            <v>#N/A</v>
          </cell>
          <cell r="F651" t="e">
            <v>#N/A</v>
          </cell>
          <cell r="G651" t="e">
            <v>#N/A</v>
          </cell>
          <cell r="O651" t="e">
            <v>#N/A</v>
          </cell>
          <cell r="S651">
            <v>0</v>
          </cell>
          <cell r="T651">
            <v>3138400</v>
          </cell>
          <cell r="V651">
            <v>0</v>
          </cell>
          <cell r="W651">
            <v>0</v>
          </cell>
          <cell r="X651">
            <v>0</v>
          </cell>
          <cell r="Z651">
            <v>0</v>
          </cell>
          <cell r="AB651">
            <v>0</v>
          </cell>
          <cell r="AD651">
            <v>0</v>
          </cell>
          <cell r="AF651">
            <v>0</v>
          </cell>
        </row>
        <row r="652">
          <cell r="A652">
            <v>651</v>
          </cell>
          <cell r="C652" t="e">
            <v>#N/A</v>
          </cell>
          <cell r="D652" t="e">
            <v>#N/A</v>
          </cell>
          <cell r="E652" t="e">
            <v>#N/A</v>
          </cell>
          <cell r="F652" t="e">
            <v>#N/A</v>
          </cell>
          <cell r="G652" t="e">
            <v>#N/A</v>
          </cell>
          <cell r="O652" t="e">
            <v>#N/A</v>
          </cell>
          <cell r="S652">
            <v>0</v>
          </cell>
          <cell r="T652">
            <v>3138400</v>
          </cell>
          <cell r="V652">
            <v>0</v>
          </cell>
          <cell r="W652">
            <v>0</v>
          </cell>
          <cell r="X652">
            <v>0</v>
          </cell>
          <cell r="Z652">
            <v>0</v>
          </cell>
          <cell r="AB652">
            <v>0</v>
          </cell>
          <cell r="AD652">
            <v>0</v>
          </cell>
          <cell r="AF652">
            <v>0</v>
          </cell>
        </row>
        <row r="653">
          <cell r="A653">
            <v>652</v>
          </cell>
          <cell r="C653" t="e">
            <v>#N/A</v>
          </cell>
          <cell r="D653" t="e">
            <v>#N/A</v>
          </cell>
          <cell r="E653" t="e">
            <v>#N/A</v>
          </cell>
          <cell r="F653" t="e">
            <v>#N/A</v>
          </cell>
          <cell r="G653" t="e">
            <v>#N/A</v>
          </cell>
          <cell r="O653" t="e">
            <v>#N/A</v>
          </cell>
          <cell r="S653">
            <v>0</v>
          </cell>
          <cell r="T653">
            <v>3138400</v>
          </cell>
          <cell r="V653">
            <v>0</v>
          </cell>
          <cell r="W653">
            <v>0</v>
          </cell>
          <cell r="X653">
            <v>0</v>
          </cell>
          <cell r="Z653">
            <v>0</v>
          </cell>
          <cell r="AB653">
            <v>0</v>
          </cell>
          <cell r="AD653">
            <v>0</v>
          </cell>
          <cell r="AF653">
            <v>0</v>
          </cell>
        </row>
        <row r="654">
          <cell r="A654">
            <v>653</v>
          </cell>
          <cell r="C654" t="e">
            <v>#N/A</v>
          </cell>
          <cell r="D654" t="e">
            <v>#N/A</v>
          </cell>
          <cell r="E654" t="e">
            <v>#N/A</v>
          </cell>
          <cell r="F654" t="e">
            <v>#N/A</v>
          </cell>
          <cell r="G654" t="e">
            <v>#N/A</v>
          </cell>
          <cell r="O654" t="e">
            <v>#N/A</v>
          </cell>
          <cell r="S654">
            <v>0</v>
          </cell>
          <cell r="T654">
            <v>3138400</v>
          </cell>
          <cell r="V654">
            <v>0</v>
          </cell>
          <cell r="W654">
            <v>0</v>
          </cell>
          <cell r="X654">
            <v>0</v>
          </cell>
          <cell r="Z654">
            <v>0</v>
          </cell>
          <cell r="AB654">
            <v>0</v>
          </cell>
          <cell r="AD654">
            <v>0</v>
          </cell>
          <cell r="AF654">
            <v>0</v>
          </cell>
        </row>
        <row r="655">
          <cell r="A655">
            <v>654</v>
          </cell>
          <cell r="C655" t="e">
            <v>#N/A</v>
          </cell>
          <cell r="D655" t="e">
            <v>#N/A</v>
          </cell>
          <cell r="E655" t="e">
            <v>#N/A</v>
          </cell>
          <cell r="F655" t="e">
            <v>#N/A</v>
          </cell>
          <cell r="G655" t="e">
            <v>#N/A</v>
          </cell>
          <cell r="O655" t="e">
            <v>#N/A</v>
          </cell>
          <cell r="S655">
            <v>0</v>
          </cell>
          <cell r="T655">
            <v>3138400</v>
          </cell>
          <cell r="V655">
            <v>0</v>
          </cell>
          <cell r="W655">
            <v>0</v>
          </cell>
          <cell r="X655">
            <v>0</v>
          </cell>
          <cell r="Z655">
            <v>0</v>
          </cell>
          <cell r="AB655">
            <v>0</v>
          </cell>
          <cell r="AD655">
            <v>0</v>
          </cell>
          <cell r="AF655">
            <v>0</v>
          </cell>
        </row>
        <row r="656">
          <cell r="A656">
            <v>655</v>
          </cell>
          <cell r="C656" t="e">
            <v>#N/A</v>
          </cell>
          <cell r="D656" t="e">
            <v>#N/A</v>
          </cell>
          <cell r="E656" t="e">
            <v>#N/A</v>
          </cell>
          <cell r="F656" t="e">
            <v>#N/A</v>
          </cell>
          <cell r="G656" t="e">
            <v>#N/A</v>
          </cell>
          <cell r="O656" t="e">
            <v>#N/A</v>
          </cell>
          <cell r="S656">
            <v>0</v>
          </cell>
          <cell r="T656">
            <v>3138400</v>
          </cell>
          <cell r="V656">
            <v>0</v>
          </cell>
          <cell r="W656">
            <v>0</v>
          </cell>
          <cell r="X656">
            <v>0</v>
          </cell>
          <cell r="Z656">
            <v>0</v>
          </cell>
          <cell r="AB656">
            <v>0</v>
          </cell>
          <cell r="AD656">
            <v>0</v>
          </cell>
          <cell r="AF656">
            <v>0</v>
          </cell>
        </row>
        <row r="657">
          <cell r="A657">
            <v>656</v>
          </cell>
          <cell r="C657" t="e">
            <v>#N/A</v>
          </cell>
          <cell r="D657" t="e">
            <v>#N/A</v>
          </cell>
          <cell r="E657" t="e">
            <v>#N/A</v>
          </cell>
          <cell r="F657" t="e">
            <v>#N/A</v>
          </cell>
          <cell r="G657" t="e">
            <v>#N/A</v>
          </cell>
          <cell r="O657" t="e">
            <v>#N/A</v>
          </cell>
          <cell r="S657">
            <v>0</v>
          </cell>
          <cell r="T657">
            <v>3138400</v>
          </cell>
          <cell r="V657">
            <v>0</v>
          </cell>
          <cell r="W657">
            <v>0</v>
          </cell>
          <cell r="X657">
            <v>0</v>
          </cell>
          <cell r="Z657">
            <v>0</v>
          </cell>
          <cell r="AB657">
            <v>0</v>
          </cell>
          <cell r="AD657">
            <v>0</v>
          </cell>
          <cell r="AF657">
            <v>0</v>
          </cell>
        </row>
        <row r="658">
          <cell r="A658">
            <v>657</v>
          </cell>
          <cell r="C658" t="e">
            <v>#N/A</v>
          </cell>
          <cell r="D658" t="e">
            <v>#N/A</v>
          </cell>
          <cell r="E658" t="e">
            <v>#N/A</v>
          </cell>
          <cell r="F658" t="e">
            <v>#N/A</v>
          </cell>
          <cell r="G658" t="e">
            <v>#N/A</v>
          </cell>
          <cell r="O658" t="e">
            <v>#N/A</v>
          </cell>
          <cell r="S658">
            <v>0</v>
          </cell>
          <cell r="T658">
            <v>3138400</v>
          </cell>
          <cell r="V658">
            <v>0</v>
          </cell>
          <cell r="W658">
            <v>0</v>
          </cell>
          <cell r="X658">
            <v>0</v>
          </cell>
          <cell r="Z658">
            <v>0</v>
          </cell>
          <cell r="AB658">
            <v>0</v>
          </cell>
          <cell r="AD658">
            <v>0</v>
          </cell>
          <cell r="AF658">
            <v>0</v>
          </cell>
        </row>
        <row r="659">
          <cell r="A659">
            <v>658</v>
          </cell>
          <cell r="C659" t="e">
            <v>#N/A</v>
          </cell>
          <cell r="D659" t="e">
            <v>#N/A</v>
          </cell>
          <cell r="E659" t="e">
            <v>#N/A</v>
          </cell>
          <cell r="F659" t="e">
            <v>#N/A</v>
          </cell>
          <cell r="G659" t="e">
            <v>#N/A</v>
          </cell>
          <cell r="O659" t="e">
            <v>#N/A</v>
          </cell>
          <cell r="S659">
            <v>0</v>
          </cell>
          <cell r="T659">
            <v>3138400</v>
          </cell>
          <cell r="V659">
            <v>0</v>
          </cell>
          <cell r="W659">
            <v>0</v>
          </cell>
          <cell r="X659">
            <v>0</v>
          </cell>
          <cell r="Z659">
            <v>0</v>
          </cell>
          <cell r="AB659">
            <v>0</v>
          </cell>
          <cell r="AD659">
            <v>0</v>
          </cell>
          <cell r="AF659">
            <v>0</v>
          </cell>
        </row>
        <row r="660">
          <cell r="A660">
            <v>659</v>
          </cell>
          <cell r="C660" t="e">
            <v>#N/A</v>
          </cell>
          <cell r="D660" t="e">
            <v>#N/A</v>
          </cell>
          <cell r="E660" t="e">
            <v>#N/A</v>
          </cell>
          <cell r="F660" t="e">
            <v>#N/A</v>
          </cell>
          <cell r="G660" t="e">
            <v>#N/A</v>
          </cell>
          <cell r="O660" t="e">
            <v>#N/A</v>
          </cell>
          <cell r="S660">
            <v>0</v>
          </cell>
          <cell r="T660">
            <v>3138400</v>
          </cell>
          <cell r="V660">
            <v>0</v>
          </cell>
          <cell r="W660">
            <v>0</v>
          </cell>
          <cell r="X660">
            <v>0</v>
          </cell>
          <cell r="Z660">
            <v>0</v>
          </cell>
          <cell r="AB660">
            <v>0</v>
          </cell>
          <cell r="AD660">
            <v>0</v>
          </cell>
          <cell r="AF660">
            <v>0</v>
          </cell>
        </row>
        <row r="661">
          <cell r="A661">
            <v>660</v>
          </cell>
          <cell r="C661" t="e">
            <v>#N/A</v>
          </cell>
          <cell r="D661" t="e">
            <v>#N/A</v>
          </cell>
          <cell r="E661" t="e">
            <v>#N/A</v>
          </cell>
          <cell r="F661" t="e">
            <v>#N/A</v>
          </cell>
          <cell r="G661" t="e">
            <v>#N/A</v>
          </cell>
          <cell r="O661" t="e">
            <v>#N/A</v>
          </cell>
          <cell r="S661">
            <v>0</v>
          </cell>
          <cell r="T661">
            <v>3138400</v>
          </cell>
          <cell r="V661">
            <v>0</v>
          </cell>
          <cell r="W661">
            <v>0</v>
          </cell>
          <cell r="X661">
            <v>0</v>
          </cell>
          <cell r="Z661">
            <v>0</v>
          </cell>
          <cell r="AB661">
            <v>0</v>
          </cell>
          <cell r="AD661">
            <v>0</v>
          </cell>
          <cell r="AF661">
            <v>0</v>
          </cell>
        </row>
        <row r="662">
          <cell r="A662">
            <v>661</v>
          </cell>
          <cell r="C662" t="e">
            <v>#N/A</v>
          </cell>
          <cell r="D662" t="e">
            <v>#N/A</v>
          </cell>
          <cell r="E662" t="e">
            <v>#N/A</v>
          </cell>
          <cell r="F662" t="e">
            <v>#N/A</v>
          </cell>
          <cell r="G662" t="e">
            <v>#N/A</v>
          </cell>
          <cell r="O662" t="e">
            <v>#N/A</v>
          </cell>
          <cell r="S662">
            <v>0</v>
          </cell>
          <cell r="T662">
            <v>3138400</v>
          </cell>
          <cell r="V662">
            <v>0</v>
          </cell>
          <cell r="W662">
            <v>0</v>
          </cell>
          <cell r="X662">
            <v>0</v>
          </cell>
          <cell r="Z662">
            <v>0</v>
          </cell>
          <cell r="AB662">
            <v>0</v>
          </cell>
          <cell r="AD662">
            <v>0</v>
          </cell>
          <cell r="AF662">
            <v>0</v>
          </cell>
        </row>
        <row r="663">
          <cell r="A663">
            <v>662</v>
          </cell>
          <cell r="C663" t="e">
            <v>#N/A</v>
          </cell>
          <cell r="D663" t="e">
            <v>#N/A</v>
          </cell>
          <cell r="E663" t="e">
            <v>#N/A</v>
          </cell>
          <cell r="F663" t="e">
            <v>#N/A</v>
          </cell>
          <cell r="G663" t="e">
            <v>#N/A</v>
          </cell>
          <cell r="O663" t="e">
            <v>#N/A</v>
          </cell>
          <cell r="S663">
            <v>0</v>
          </cell>
          <cell r="T663">
            <v>3138400</v>
          </cell>
          <cell r="V663">
            <v>0</v>
          </cell>
          <cell r="W663">
            <v>0</v>
          </cell>
          <cell r="X663">
            <v>0</v>
          </cell>
          <cell r="Z663">
            <v>0</v>
          </cell>
          <cell r="AB663">
            <v>0</v>
          </cell>
          <cell r="AD663">
            <v>0</v>
          </cell>
          <cell r="AF663">
            <v>0</v>
          </cell>
        </row>
        <row r="664">
          <cell r="A664">
            <v>663</v>
          </cell>
          <cell r="C664" t="e">
            <v>#N/A</v>
          </cell>
          <cell r="D664" t="e">
            <v>#N/A</v>
          </cell>
          <cell r="E664" t="e">
            <v>#N/A</v>
          </cell>
          <cell r="F664" t="e">
            <v>#N/A</v>
          </cell>
          <cell r="G664" t="e">
            <v>#N/A</v>
          </cell>
          <cell r="O664" t="e">
            <v>#N/A</v>
          </cell>
          <cell r="S664">
            <v>0</v>
          </cell>
          <cell r="T664">
            <v>3138400</v>
          </cell>
          <cell r="V664">
            <v>0</v>
          </cell>
          <cell r="W664">
            <v>0</v>
          </cell>
          <cell r="X664">
            <v>0</v>
          </cell>
          <cell r="Z664">
            <v>0</v>
          </cell>
          <cell r="AB664">
            <v>0</v>
          </cell>
          <cell r="AD664">
            <v>0</v>
          </cell>
          <cell r="AF664">
            <v>0</v>
          </cell>
        </row>
        <row r="665">
          <cell r="A665">
            <v>664</v>
          </cell>
          <cell r="C665" t="e">
            <v>#N/A</v>
          </cell>
          <cell r="D665" t="e">
            <v>#N/A</v>
          </cell>
          <cell r="E665" t="e">
            <v>#N/A</v>
          </cell>
          <cell r="F665" t="e">
            <v>#N/A</v>
          </cell>
          <cell r="G665" t="e">
            <v>#N/A</v>
          </cell>
          <cell r="O665" t="e">
            <v>#N/A</v>
          </cell>
          <cell r="S665">
            <v>0</v>
          </cell>
          <cell r="T665">
            <v>3138400</v>
          </cell>
          <cell r="V665">
            <v>0</v>
          </cell>
          <cell r="W665">
            <v>0</v>
          </cell>
          <cell r="X665">
            <v>0</v>
          </cell>
          <cell r="Z665">
            <v>0</v>
          </cell>
          <cell r="AB665">
            <v>0</v>
          </cell>
          <cell r="AD665">
            <v>0</v>
          </cell>
          <cell r="AF665">
            <v>0</v>
          </cell>
        </row>
        <row r="666">
          <cell r="A666">
            <v>665</v>
          </cell>
          <cell r="C666" t="e">
            <v>#N/A</v>
          </cell>
          <cell r="D666" t="e">
            <v>#N/A</v>
          </cell>
          <cell r="E666" t="e">
            <v>#N/A</v>
          </cell>
          <cell r="F666" t="e">
            <v>#N/A</v>
          </cell>
          <cell r="G666" t="e">
            <v>#N/A</v>
          </cell>
          <cell r="O666" t="e">
            <v>#N/A</v>
          </cell>
          <cell r="S666">
            <v>0</v>
          </cell>
          <cell r="T666">
            <v>3138400</v>
          </cell>
          <cell r="V666">
            <v>0</v>
          </cell>
          <cell r="W666">
            <v>0</v>
          </cell>
          <cell r="X666">
            <v>0</v>
          </cell>
          <cell r="Z666">
            <v>0</v>
          </cell>
          <cell r="AB666">
            <v>0</v>
          </cell>
          <cell r="AD666">
            <v>0</v>
          </cell>
          <cell r="AF666">
            <v>0</v>
          </cell>
        </row>
        <row r="667">
          <cell r="A667">
            <v>666</v>
          </cell>
          <cell r="C667" t="e">
            <v>#N/A</v>
          </cell>
          <cell r="D667" t="e">
            <v>#N/A</v>
          </cell>
          <cell r="E667" t="e">
            <v>#N/A</v>
          </cell>
          <cell r="F667" t="e">
            <v>#N/A</v>
          </cell>
          <cell r="G667" t="e">
            <v>#N/A</v>
          </cell>
          <cell r="O667" t="e">
            <v>#N/A</v>
          </cell>
          <cell r="S667">
            <v>0</v>
          </cell>
          <cell r="T667">
            <v>3138400</v>
          </cell>
          <cell r="V667">
            <v>0</v>
          </cell>
          <cell r="W667">
            <v>0</v>
          </cell>
          <cell r="X667">
            <v>0</v>
          </cell>
          <cell r="Z667">
            <v>0</v>
          </cell>
          <cell r="AB667">
            <v>0</v>
          </cell>
          <cell r="AD667">
            <v>0</v>
          </cell>
          <cell r="AF667">
            <v>0</v>
          </cell>
        </row>
        <row r="668">
          <cell r="A668">
            <v>667</v>
          </cell>
          <cell r="C668" t="e">
            <v>#N/A</v>
          </cell>
          <cell r="D668" t="e">
            <v>#N/A</v>
          </cell>
          <cell r="E668" t="e">
            <v>#N/A</v>
          </cell>
          <cell r="F668" t="e">
            <v>#N/A</v>
          </cell>
          <cell r="G668" t="e">
            <v>#N/A</v>
          </cell>
          <cell r="O668" t="e">
            <v>#N/A</v>
          </cell>
          <cell r="S668">
            <v>0</v>
          </cell>
          <cell r="T668">
            <v>3138400</v>
          </cell>
          <cell r="V668">
            <v>0</v>
          </cell>
          <cell r="W668">
            <v>0</v>
          </cell>
          <cell r="X668">
            <v>0</v>
          </cell>
          <cell r="Z668">
            <v>0</v>
          </cell>
          <cell r="AB668">
            <v>0</v>
          </cell>
          <cell r="AD668">
            <v>0</v>
          </cell>
          <cell r="AF668">
            <v>0</v>
          </cell>
        </row>
        <row r="669">
          <cell r="A669">
            <v>668</v>
          </cell>
          <cell r="C669" t="e">
            <v>#N/A</v>
          </cell>
          <cell r="D669" t="e">
            <v>#N/A</v>
          </cell>
          <cell r="E669" t="e">
            <v>#N/A</v>
          </cell>
          <cell r="F669" t="e">
            <v>#N/A</v>
          </cell>
          <cell r="G669" t="e">
            <v>#N/A</v>
          </cell>
          <cell r="O669" t="e">
            <v>#N/A</v>
          </cell>
          <cell r="S669">
            <v>0</v>
          </cell>
          <cell r="T669">
            <v>3138400</v>
          </cell>
          <cell r="V669">
            <v>0</v>
          </cell>
          <cell r="W669">
            <v>0</v>
          </cell>
          <cell r="X669">
            <v>0</v>
          </cell>
          <cell r="Z669">
            <v>0</v>
          </cell>
          <cell r="AB669">
            <v>0</v>
          </cell>
          <cell r="AD669">
            <v>0</v>
          </cell>
          <cell r="AF669">
            <v>0</v>
          </cell>
        </row>
        <row r="670">
          <cell r="A670">
            <v>669</v>
          </cell>
          <cell r="C670" t="e">
            <v>#N/A</v>
          </cell>
          <cell r="D670" t="e">
            <v>#N/A</v>
          </cell>
          <cell r="E670" t="e">
            <v>#N/A</v>
          </cell>
          <cell r="F670" t="e">
            <v>#N/A</v>
          </cell>
          <cell r="G670" t="e">
            <v>#N/A</v>
          </cell>
          <cell r="O670" t="e">
            <v>#N/A</v>
          </cell>
          <cell r="S670">
            <v>0</v>
          </cell>
          <cell r="T670">
            <v>3138400</v>
          </cell>
          <cell r="V670">
            <v>0</v>
          </cell>
          <cell r="W670">
            <v>0</v>
          </cell>
          <cell r="X670">
            <v>0</v>
          </cell>
          <cell r="Z670">
            <v>0</v>
          </cell>
          <cell r="AB670">
            <v>0</v>
          </cell>
          <cell r="AD670">
            <v>0</v>
          </cell>
          <cell r="AF670">
            <v>0</v>
          </cell>
        </row>
        <row r="671">
          <cell r="A671">
            <v>670</v>
          </cell>
          <cell r="C671" t="e">
            <v>#N/A</v>
          </cell>
          <cell r="D671" t="e">
            <v>#N/A</v>
          </cell>
          <cell r="E671" t="e">
            <v>#N/A</v>
          </cell>
          <cell r="F671" t="e">
            <v>#N/A</v>
          </cell>
          <cell r="G671" t="e">
            <v>#N/A</v>
          </cell>
          <cell r="O671" t="e">
            <v>#N/A</v>
          </cell>
          <cell r="S671">
            <v>0</v>
          </cell>
          <cell r="T671">
            <v>3138400</v>
          </cell>
          <cell r="V671">
            <v>0</v>
          </cell>
          <cell r="W671">
            <v>0</v>
          </cell>
          <cell r="X671">
            <v>0</v>
          </cell>
          <cell r="Z671">
            <v>0</v>
          </cell>
          <cell r="AB671">
            <v>0</v>
          </cell>
          <cell r="AD671">
            <v>0</v>
          </cell>
          <cell r="AF671">
            <v>0</v>
          </cell>
        </row>
        <row r="672">
          <cell r="A672">
            <v>671</v>
          </cell>
          <cell r="C672" t="e">
            <v>#N/A</v>
          </cell>
          <cell r="D672" t="e">
            <v>#N/A</v>
          </cell>
          <cell r="E672" t="e">
            <v>#N/A</v>
          </cell>
          <cell r="F672" t="e">
            <v>#N/A</v>
          </cell>
          <cell r="G672" t="e">
            <v>#N/A</v>
          </cell>
          <cell r="O672" t="e">
            <v>#N/A</v>
          </cell>
          <cell r="S672">
            <v>0</v>
          </cell>
          <cell r="T672">
            <v>3138400</v>
          </cell>
          <cell r="V672">
            <v>0</v>
          </cell>
          <cell r="W672">
            <v>0</v>
          </cell>
          <cell r="X672">
            <v>0</v>
          </cell>
          <cell r="Z672">
            <v>0</v>
          </cell>
          <cell r="AB672">
            <v>0</v>
          </cell>
          <cell r="AD672">
            <v>0</v>
          </cell>
          <cell r="AF672">
            <v>0</v>
          </cell>
        </row>
        <row r="673">
          <cell r="A673">
            <v>672</v>
          </cell>
          <cell r="C673" t="e">
            <v>#N/A</v>
          </cell>
          <cell r="D673" t="e">
            <v>#N/A</v>
          </cell>
          <cell r="E673" t="e">
            <v>#N/A</v>
          </cell>
          <cell r="F673" t="e">
            <v>#N/A</v>
          </cell>
          <cell r="G673" t="e">
            <v>#N/A</v>
          </cell>
          <cell r="O673" t="e">
            <v>#N/A</v>
          </cell>
          <cell r="S673">
            <v>0</v>
          </cell>
          <cell r="T673">
            <v>3138400</v>
          </cell>
          <cell r="V673">
            <v>0</v>
          </cell>
          <cell r="W673">
            <v>0</v>
          </cell>
          <cell r="X673">
            <v>0</v>
          </cell>
          <cell r="Z673">
            <v>0</v>
          </cell>
          <cell r="AB673">
            <v>0</v>
          </cell>
          <cell r="AD673">
            <v>0</v>
          </cell>
          <cell r="AF673">
            <v>0</v>
          </cell>
        </row>
        <row r="674">
          <cell r="A674">
            <v>673</v>
          </cell>
          <cell r="C674" t="e">
            <v>#N/A</v>
          </cell>
          <cell r="D674" t="e">
            <v>#N/A</v>
          </cell>
          <cell r="E674" t="e">
            <v>#N/A</v>
          </cell>
          <cell r="F674" t="e">
            <v>#N/A</v>
          </cell>
          <cell r="G674" t="e">
            <v>#N/A</v>
          </cell>
          <cell r="O674" t="e">
            <v>#N/A</v>
          </cell>
          <cell r="S674">
            <v>0</v>
          </cell>
          <cell r="T674">
            <v>3138400</v>
          </cell>
          <cell r="V674">
            <v>0</v>
          </cell>
          <cell r="W674">
            <v>0</v>
          </cell>
          <cell r="X674">
            <v>0</v>
          </cell>
          <cell r="Z674">
            <v>0</v>
          </cell>
          <cell r="AB674">
            <v>0</v>
          </cell>
          <cell r="AD674">
            <v>0</v>
          </cell>
          <cell r="AF674">
            <v>0</v>
          </cell>
        </row>
        <row r="675">
          <cell r="A675">
            <v>674</v>
          </cell>
          <cell r="C675" t="e">
            <v>#N/A</v>
          </cell>
          <cell r="D675" t="e">
            <v>#N/A</v>
          </cell>
          <cell r="E675" t="e">
            <v>#N/A</v>
          </cell>
          <cell r="F675" t="e">
            <v>#N/A</v>
          </cell>
          <cell r="G675" t="e">
            <v>#N/A</v>
          </cell>
          <cell r="O675" t="e">
            <v>#N/A</v>
          </cell>
          <cell r="S675">
            <v>0</v>
          </cell>
          <cell r="T675">
            <v>3138400</v>
          </cell>
          <cell r="V675">
            <v>0</v>
          </cell>
          <cell r="W675">
            <v>0</v>
          </cell>
          <cell r="X675">
            <v>0</v>
          </cell>
          <cell r="Z675">
            <v>0</v>
          </cell>
          <cell r="AB675">
            <v>0</v>
          </cell>
          <cell r="AD675">
            <v>0</v>
          </cell>
          <cell r="AF675">
            <v>0</v>
          </cell>
        </row>
        <row r="676">
          <cell r="A676">
            <v>675</v>
          </cell>
          <cell r="C676" t="e">
            <v>#N/A</v>
          </cell>
          <cell r="D676" t="e">
            <v>#N/A</v>
          </cell>
          <cell r="E676" t="e">
            <v>#N/A</v>
          </cell>
          <cell r="F676" t="e">
            <v>#N/A</v>
          </cell>
          <cell r="G676" t="e">
            <v>#N/A</v>
          </cell>
          <cell r="O676" t="e">
            <v>#N/A</v>
          </cell>
          <cell r="S676">
            <v>0</v>
          </cell>
          <cell r="T676">
            <v>3138400</v>
          </cell>
          <cell r="V676">
            <v>0</v>
          </cell>
          <cell r="W676">
            <v>0</v>
          </cell>
          <cell r="X676">
            <v>0</v>
          </cell>
          <cell r="Z676">
            <v>0</v>
          </cell>
          <cell r="AB676">
            <v>0</v>
          </cell>
          <cell r="AD676">
            <v>0</v>
          </cell>
          <cell r="AF676">
            <v>0</v>
          </cell>
        </row>
        <row r="677">
          <cell r="A677">
            <v>676</v>
          </cell>
          <cell r="C677" t="e">
            <v>#N/A</v>
          </cell>
          <cell r="D677" t="e">
            <v>#N/A</v>
          </cell>
          <cell r="E677" t="e">
            <v>#N/A</v>
          </cell>
          <cell r="F677" t="e">
            <v>#N/A</v>
          </cell>
          <cell r="G677" t="e">
            <v>#N/A</v>
          </cell>
          <cell r="O677" t="e">
            <v>#N/A</v>
          </cell>
          <cell r="S677">
            <v>0</v>
          </cell>
          <cell r="T677">
            <v>3138400</v>
          </cell>
          <cell r="V677">
            <v>0</v>
          </cell>
          <cell r="W677">
            <v>0</v>
          </cell>
          <cell r="X677">
            <v>0</v>
          </cell>
          <cell r="Z677">
            <v>0</v>
          </cell>
          <cell r="AB677">
            <v>0</v>
          </cell>
          <cell r="AD677">
            <v>0</v>
          </cell>
          <cell r="AF677">
            <v>0</v>
          </cell>
        </row>
        <row r="678">
          <cell r="A678">
            <v>677</v>
          </cell>
          <cell r="C678" t="e">
            <v>#N/A</v>
          </cell>
          <cell r="D678" t="e">
            <v>#N/A</v>
          </cell>
          <cell r="E678" t="e">
            <v>#N/A</v>
          </cell>
          <cell r="F678" t="e">
            <v>#N/A</v>
          </cell>
          <cell r="G678" t="e">
            <v>#N/A</v>
          </cell>
          <cell r="O678" t="e">
            <v>#N/A</v>
          </cell>
          <cell r="S678">
            <v>0</v>
          </cell>
          <cell r="T678">
            <v>3138400</v>
          </cell>
          <cell r="V678">
            <v>0</v>
          </cell>
          <cell r="W678">
            <v>0</v>
          </cell>
          <cell r="X678">
            <v>0</v>
          </cell>
          <cell r="Z678">
            <v>0</v>
          </cell>
          <cell r="AB678">
            <v>0</v>
          </cell>
          <cell r="AD678">
            <v>0</v>
          </cell>
          <cell r="AF678">
            <v>0</v>
          </cell>
        </row>
        <row r="679">
          <cell r="A679">
            <v>678</v>
          </cell>
          <cell r="C679" t="e">
            <v>#N/A</v>
          </cell>
          <cell r="D679" t="e">
            <v>#N/A</v>
          </cell>
          <cell r="E679" t="e">
            <v>#N/A</v>
          </cell>
          <cell r="F679" t="e">
            <v>#N/A</v>
          </cell>
          <cell r="G679" t="e">
            <v>#N/A</v>
          </cell>
          <cell r="O679" t="e">
            <v>#N/A</v>
          </cell>
          <cell r="S679">
            <v>0</v>
          </cell>
          <cell r="T679">
            <v>3138400</v>
          </cell>
          <cell r="V679">
            <v>0</v>
          </cell>
          <cell r="W679">
            <v>0</v>
          </cell>
          <cell r="X679">
            <v>0</v>
          </cell>
          <cell r="Z679">
            <v>0</v>
          </cell>
          <cell r="AB679">
            <v>0</v>
          </cell>
          <cell r="AD679">
            <v>0</v>
          </cell>
          <cell r="AF679">
            <v>0</v>
          </cell>
        </row>
        <row r="680">
          <cell r="A680">
            <v>679</v>
          </cell>
          <cell r="C680" t="e">
            <v>#N/A</v>
          </cell>
          <cell r="D680" t="e">
            <v>#N/A</v>
          </cell>
          <cell r="E680" t="e">
            <v>#N/A</v>
          </cell>
          <cell r="F680" t="e">
            <v>#N/A</v>
          </cell>
          <cell r="G680" t="e">
            <v>#N/A</v>
          </cell>
          <cell r="O680" t="e">
            <v>#N/A</v>
          </cell>
          <cell r="S680">
            <v>0</v>
          </cell>
          <cell r="T680">
            <v>3138400</v>
          </cell>
          <cell r="V680">
            <v>0</v>
          </cell>
          <cell r="W680">
            <v>0</v>
          </cell>
          <cell r="X680">
            <v>0</v>
          </cell>
          <cell r="Z680">
            <v>0</v>
          </cell>
          <cell r="AB680">
            <v>0</v>
          </cell>
          <cell r="AD680">
            <v>0</v>
          </cell>
          <cell r="AF680">
            <v>0</v>
          </cell>
        </row>
        <row r="681">
          <cell r="A681">
            <v>680</v>
          </cell>
          <cell r="C681" t="e">
            <v>#N/A</v>
          </cell>
          <cell r="D681" t="e">
            <v>#N/A</v>
          </cell>
          <cell r="E681" t="e">
            <v>#N/A</v>
          </cell>
          <cell r="F681" t="e">
            <v>#N/A</v>
          </cell>
          <cell r="G681" t="e">
            <v>#N/A</v>
          </cell>
          <cell r="O681" t="e">
            <v>#N/A</v>
          </cell>
          <cell r="S681">
            <v>0</v>
          </cell>
          <cell r="T681">
            <v>3138400</v>
          </cell>
          <cell r="V681">
            <v>0</v>
          </cell>
          <cell r="W681">
            <v>0</v>
          </cell>
          <cell r="X681">
            <v>0</v>
          </cell>
          <cell r="Z681">
            <v>0</v>
          </cell>
          <cell r="AB681">
            <v>0</v>
          </cell>
          <cell r="AD681">
            <v>0</v>
          </cell>
          <cell r="AF681">
            <v>0</v>
          </cell>
        </row>
        <row r="682">
          <cell r="A682">
            <v>681</v>
          </cell>
          <cell r="C682" t="e">
            <v>#N/A</v>
          </cell>
          <cell r="D682" t="e">
            <v>#N/A</v>
          </cell>
          <cell r="E682" t="e">
            <v>#N/A</v>
          </cell>
          <cell r="F682" t="e">
            <v>#N/A</v>
          </cell>
          <cell r="G682" t="e">
            <v>#N/A</v>
          </cell>
          <cell r="O682" t="e">
            <v>#N/A</v>
          </cell>
          <cell r="S682">
            <v>0</v>
          </cell>
          <cell r="T682">
            <v>3138400</v>
          </cell>
          <cell r="V682">
            <v>0</v>
          </cell>
          <cell r="W682">
            <v>0</v>
          </cell>
          <cell r="X682">
            <v>0</v>
          </cell>
          <cell r="Z682">
            <v>0</v>
          </cell>
          <cell r="AB682">
            <v>0</v>
          </cell>
          <cell r="AD682">
            <v>0</v>
          </cell>
          <cell r="AF682">
            <v>0</v>
          </cell>
        </row>
        <row r="683">
          <cell r="A683">
            <v>682</v>
          </cell>
          <cell r="C683" t="e">
            <v>#N/A</v>
          </cell>
          <cell r="D683" t="e">
            <v>#N/A</v>
          </cell>
          <cell r="E683" t="e">
            <v>#N/A</v>
          </cell>
          <cell r="F683" t="e">
            <v>#N/A</v>
          </cell>
          <cell r="G683" t="e">
            <v>#N/A</v>
          </cell>
          <cell r="O683" t="e">
            <v>#N/A</v>
          </cell>
          <cell r="S683">
            <v>0</v>
          </cell>
          <cell r="T683">
            <v>3138400</v>
          </cell>
          <cell r="V683">
            <v>0</v>
          </cell>
          <cell r="W683">
            <v>0</v>
          </cell>
          <cell r="X683">
            <v>0</v>
          </cell>
          <cell r="Z683">
            <v>0</v>
          </cell>
          <cell r="AB683">
            <v>0</v>
          </cell>
          <cell r="AD683">
            <v>0</v>
          </cell>
          <cell r="AF683">
            <v>0</v>
          </cell>
        </row>
        <row r="684">
          <cell r="A684">
            <v>683</v>
          </cell>
          <cell r="C684" t="e">
            <v>#N/A</v>
          </cell>
          <cell r="D684" t="e">
            <v>#N/A</v>
          </cell>
          <cell r="E684" t="e">
            <v>#N/A</v>
          </cell>
          <cell r="F684" t="e">
            <v>#N/A</v>
          </cell>
          <cell r="G684" t="e">
            <v>#N/A</v>
          </cell>
          <cell r="O684" t="e">
            <v>#N/A</v>
          </cell>
          <cell r="S684">
            <v>0</v>
          </cell>
          <cell r="T684">
            <v>3138400</v>
          </cell>
          <cell r="V684">
            <v>0</v>
          </cell>
          <cell r="W684">
            <v>0</v>
          </cell>
          <cell r="X684">
            <v>0</v>
          </cell>
          <cell r="Z684">
            <v>0</v>
          </cell>
          <cell r="AB684">
            <v>0</v>
          </cell>
          <cell r="AD684">
            <v>0</v>
          </cell>
          <cell r="AF684">
            <v>0</v>
          </cell>
        </row>
        <row r="685">
          <cell r="A685">
            <v>684</v>
          </cell>
          <cell r="C685" t="e">
            <v>#N/A</v>
          </cell>
          <cell r="D685" t="e">
            <v>#N/A</v>
          </cell>
          <cell r="E685" t="e">
            <v>#N/A</v>
          </cell>
          <cell r="F685" t="e">
            <v>#N/A</v>
          </cell>
          <cell r="G685" t="e">
            <v>#N/A</v>
          </cell>
          <cell r="O685" t="e">
            <v>#N/A</v>
          </cell>
          <cell r="S685">
            <v>0</v>
          </cell>
          <cell r="T685">
            <v>3138400</v>
          </cell>
          <cell r="V685">
            <v>0</v>
          </cell>
          <cell r="W685">
            <v>0</v>
          </cell>
          <cell r="X685">
            <v>0</v>
          </cell>
          <cell r="Z685">
            <v>0</v>
          </cell>
          <cell r="AB685">
            <v>0</v>
          </cell>
          <cell r="AD685">
            <v>0</v>
          </cell>
          <cell r="AF685">
            <v>0</v>
          </cell>
        </row>
        <row r="686">
          <cell r="A686">
            <v>685</v>
          </cell>
          <cell r="C686" t="e">
            <v>#N/A</v>
          </cell>
          <cell r="D686" t="e">
            <v>#N/A</v>
          </cell>
          <cell r="E686" t="e">
            <v>#N/A</v>
          </cell>
          <cell r="F686" t="e">
            <v>#N/A</v>
          </cell>
          <cell r="G686" t="e">
            <v>#N/A</v>
          </cell>
          <cell r="O686" t="e">
            <v>#N/A</v>
          </cell>
          <cell r="S686">
            <v>0</v>
          </cell>
          <cell r="T686">
            <v>3138400</v>
          </cell>
          <cell r="V686">
            <v>0</v>
          </cell>
          <cell r="W686">
            <v>0</v>
          </cell>
          <cell r="X686">
            <v>0</v>
          </cell>
          <cell r="Z686">
            <v>0</v>
          </cell>
          <cell r="AB686">
            <v>0</v>
          </cell>
          <cell r="AD686">
            <v>0</v>
          </cell>
          <cell r="AF686">
            <v>0</v>
          </cell>
        </row>
        <row r="687">
          <cell r="A687">
            <v>686</v>
          </cell>
          <cell r="C687" t="e">
            <v>#N/A</v>
          </cell>
          <cell r="D687" t="e">
            <v>#N/A</v>
          </cell>
          <cell r="E687" t="e">
            <v>#N/A</v>
          </cell>
          <cell r="F687" t="e">
            <v>#N/A</v>
          </cell>
          <cell r="G687" t="e">
            <v>#N/A</v>
          </cell>
          <cell r="O687" t="e">
            <v>#N/A</v>
          </cell>
          <cell r="S687">
            <v>0</v>
          </cell>
          <cell r="T687">
            <v>3138400</v>
          </cell>
          <cell r="V687">
            <v>0</v>
          </cell>
          <cell r="W687">
            <v>0</v>
          </cell>
          <cell r="X687">
            <v>0</v>
          </cell>
          <cell r="Z687">
            <v>0</v>
          </cell>
          <cell r="AB687">
            <v>0</v>
          </cell>
          <cell r="AD687">
            <v>0</v>
          </cell>
          <cell r="AF687">
            <v>0</v>
          </cell>
        </row>
        <row r="688">
          <cell r="A688">
            <v>687</v>
          </cell>
          <cell r="C688" t="e">
            <v>#N/A</v>
          </cell>
          <cell r="D688" t="e">
            <v>#N/A</v>
          </cell>
          <cell r="E688" t="e">
            <v>#N/A</v>
          </cell>
          <cell r="F688" t="e">
            <v>#N/A</v>
          </cell>
          <cell r="G688" t="e">
            <v>#N/A</v>
          </cell>
          <cell r="O688" t="e">
            <v>#N/A</v>
          </cell>
          <cell r="S688">
            <v>0</v>
          </cell>
          <cell r="T688">
            <v>3138400</v>
          </cell>
          <cell r="V688">
            <v>0</v>
          </cell>
          <cell r="W688">
            <v>0</v>
          </cell>
          <cell r="X688">
            <v>0</v>
          </cell>
          <cell r="Z688">
            <v>0</v>
          </cell>
          <cell r="AB688">
            <v>0</v>
          </cell>
          <cell r="AD688">
            <v>0</v>
          </cell>
          <cell r="AF688">
            <v>0</v>
          </cell>
        </row>
        <row r="689">
          <cell r="A689">
            <v>688</v>
          </cell>
          <cell r="C689" t="e">
            <v>#N/A</v>
          </cell>
          <cell r="D689" t="e">
            <v>#N/A</v>
          </cell>
          <cell r="E689" t="e">
            <v>#N/A</v>
          </cell>
          <cell r="F689" t="e">
            <v>#N/A</v>
          </cell>
          <cell r="G689" t="e">
            <v>#N/A</v>
          </cell>
          <cell r="O689" t="e">
            <v>#N/A</v>
          </cell>
          <cell r="S689">
            <v>0</v>
          </cell>
          <cell r="T689">
            <v>3138400</v>
          </cell>
          <cell r="V689">
            <v>0</v>
          </cell>
          <cell r="W689">
            <v>0</v>
          </cell>
          <cell r="X689">
            <v>0</v>
          </cell>
          <cell r="Z689">
            <v>0</v>
          </cell>
          <cell r="AB689">
            <v>0</v>
          </cell>
          <cell r="AD689">
            <v>0</v>
          </cell>
          <cell r="AF689">
            <v>0</v>
          </cell>
        </row>
        <row r="690">
          <cell r="A690">
            <v>689</v>
          </cell>
          <cell r="C690" t="e">
            <v>#N/A</v>
          </cell>
          <cell r="D690" t="e">
            <v>#N/A</v>
          </cell>
          <cell r="E690" t="e">
            <v>#N/A</v>
          </cell>
          <cell r="F690" t="e">
            <v>#N/A</v>
          </cell>
          <cell r="G690" t="e">
            <v>#N/A</v>
          </cell>
          <cell r="O690" t="e">
            <v>#N/A</v>
          </cell>
          <cell r="S690">
            <v>0</v>
          </cell>
          <cell r="T690">
            <v>3138400</v>
          </cell>
          <cell r="V690">
            <v>0</v>
          </cell>
          <cell r="W690">
            <v>0</v>
          </cell>
          <cell r="X690">
            <v>0</v>
          </cell>
          <cell r="Z690">
            <v>0</v>
          </cell>
          <cell r="AB690">
            <v>0</v>
          </cell>
          <cell r="AD690">
            <v>0</v>
          </cell>
          <cell r="AF690">
            <v>0</v>
          </cell>
        </row>
        <row r="691">
          <cell r="A691">
            <v>690</v>
          </cell>
          <cell r="C691" t="e">
            <v>#N/A</v>
          </cell>
          <cell r="D691" t="e">
            <v>#N/A</v>
          </cell>
          <cell r="E691" t="e">
            <v>#N/A</v>
          </cell>
          <cell r="F691" t="e">
            <v>#N/A</v>
          </cell>
          <cell r="G691" t="e">
            <v>#N/A</v>
          </cell>
          <cell r="O691" t="e">
            <v>#N/A</v>
          </cell>
          <cell r="S691">
            <v>0</v>
          </cell>
          <cell r="T691">
            <v>3138400</v>
          </cell>
          <cell r="V691">
            <v>0</v>
          </cell>
          <cell r="W691">
            <v>0</v>
          </cell>
          <cell r="X691">
            <v>0</v>
          </cell>
          <cell r="Z691">
            <v>0</v>
          </cell>
          <cell r="AB691">
            <v>0</v>
          </cell>
          <cell r="AD691">
            <v>0</v>
          </cell>
          <cell r="AF691">
            <v>0</v>
          </cell>
        </row>
        <row r="692">
          <cell r="A692">
            <v>691</v>
          </cell>
          <cell r="C692" t="e">
            <v>#N/A</v>
          </cell>
          <cell r="D692" t="e">
            <v>#N/A</v>
          </cell>
          <cell r="E692" t="e">
            <v>#N/A</v>
          </cell>
          <cell r="F692" t="e">
            <v>#N/A</v>
          </cell>
          <cell r="G692" t="e">
            <v>#N/A</v>
          </cell>
          <cell r="O692" t="e">
            <v>#N/A</v>
          </cell>
          <cell r="S692">
            <v>0</v>
          </cell>
          <cell r="T692">
            <v>3138400</v>
          </cell>
          <cell r="V692">
            <v>0</v>
          </cell>
          <cell r="W692">
            <v>0</v>
          </cell>
          <cell r="X692">
            <v>0</v>
          </cell>
          <cell r="Z692">
            <v>0</v>
          </cell>
          <cell r="AB692">
            <v>0</v>
          </cell>
          <cell r="AD692">
            <v>0</v>
          </cell>
          <cell r="AF692">
            <v>0</v>
          </cell>
        </row>
        <row r="693">
          <cell r="A693">
            <v>692</v>
          </cell>
          <cell r="C693" t="e">
            <v>#N/A</v>
          </cell>
          <cell r="D693" t="e">
            <v>#N/A</v>
          </cell>
          <cell r="E693" t="e">
            <v>#N/A</v>
          </cell>
          <cell r="F693" t="e">
            <v>#N/A</v>
          </cell>
          <cell r="G693" t="e">
            <v>#N/A</v>
          </cell>
          <cell r="O693" t="e">
            <v>#N/A</v>
          </cell>
          <cell r="S693">
            <v>0</v>
          </cell>
          <cell r="T693">
            <v>3138400</v>
          </cell>
          <cell r="V693">
            <v>0</v>
          </cell>
          <cell r="W693">
            <v>0</v>
          </cell>
          <cell r="X693">
            <v>0</v>
          </cell>
          <cell r="Z693">
            <v>0</v>
          </cell>
          <cell r="AB693">
            <v>0</v>
          </cell>
          <cell r="AD693">
            <v>0</v>
          </cell>
          <cell r="AF693">
            <v>0</v>
          </cell>
        </row>
        <row r="694">
          <cell r="A694">
            <v>693</v>
          </cell>
          <cell r="C694" t="e">
            <v>#N/A</v>
          </cell>
          <cell r="D694" t="e">
            <v>#N/A</v>
          </cell>
          <cell r="E694" t="e">
            <v>#N/A</v>
          </cell>
          <cell r="F694" t="e">
            <v>#N/A</v>
          </cell>
          <cell r="G694" t="e">
            <v>#N/A</v>
          </cell>
          <cell r="O694" t="e">
            <v>#N/A</v>
          </cell>
          <cell r="S694">
            <v>0</v>
          </cell>
          <cell r="T694">
            <v>3138400</v>
          </cell>
          <cell r="V694">
            <v>0</v>
          </cell>
          <cell r="W694">
            <v>0</v>
          </cell>
          <cell r="X694">
            <v>0</v>
          </cell>
          <cell r="Z694">
            <v>0</v>
          </cell>
          <cell r="AB694">
            <v>0</v>
          </cell>
          <cell r="AD694">
            <v>0</v>
          </cell>
          <cell r="AF694">
            <v>0</v>
          </cell>
        </row>
        <row r="695">
          <cell r="A695">
            <v>694</v>
          </cell>
          <cell r="C695" t="e">
            <v>#N/A</v>
          </cell>
          <cell r="D695" t="e">
            <v>#N/A</v>
          </cell>
          <cell r="E695" t="e">
            <v>#N/A</v>
          </cell>
          <cell r="F695" t="e">
            <v>#N/A</v>
          </cell>
          <cell r="G695" t="e">
            <v>#N/A</v>
          </cell>
          <cell r="O695" t="e">
            <v>#N/A</v>
          </cell>
          <cell r="S695">
            <v>0</v>
          </cell>
          <cell r="T695">
            <v>3138400</v>
          </cell>
          <cell r="V695">
            <v>0</v>
          </cell>
          <cell r="W695">
            <v>0</v>
          </cell>
          <cell r="X695">
            <v>0</v>
          </cell>
          <cell r="Z695">
            <v>0</v>
          </cell>
          <cell r="AB695">
            <v>0</v>
          </cell>
          <cell r="AD695">
            <v>0</v>
          </cell>
          <cell r="AF695">
            <v>0</v>
          </cell>
        </row>
        <row r="696">
          <cell r="A696">
            <v>695</v>
          </cell>
          <cell r="C696" t="e">
            <v>#N/A</v>
          </cell>
          <cell r="D696" t="e">
            <v>#N/A</v>
          </cell>
          <cell r="E696" t="e">
            <v>#N/A</v>
          </cell>
          <cell r="F696" t="e">
            <v>#N/A</v>
          </cell>
          <cell r="G696" t="e">
            <v>#N/A</v>
          </cell>
          <cell r="O696" t="e">
            <v>#N/A</v>
          </cell>
          <cell r="S696">
            <v>0</v>
          </cell>
          <cell r="T696">
            <v>3138400</v>
          </cell>
          <cell r="V696">
            <v>0</v>
          </cell>
          <cell r="W696">
            <v>0</v>
          </cell>
          <cell r="X696">
            <v>0</v>
          </cell>
          <cell r="Z696">
            <v>0</v>
          </cell>
          <cell r="AB696">
            <v>0</v>
          </cell>
          <cell r="AD696">
            <v>0</v>
          </cell>
          <cell r="AF696">
            <v>0</v>
          </cell>
        </row>
        <row r="697">
          <cell r="A697">
            <v>696</v>
          </cell>
          <cell r="C697" t="e">
            <v>#N/A</v>
          </cell>
          <cell r="D697" t="e">
            <v>#N/A</v>
          </cell>
          <cell r="E697" t="e">
            <v>#N/A</v>
          </cell>
          <cell r="F697" t="e">
            <v>#N/A</v>
          </cell>
          <cell r="G697" t="e">
            <v>#N/A</v>
          </cell>
          <cell r="O697" t="e">
            <v>#N/A</v>
          </cell>
          <cell r="S697">
            <v>0</v>
          </cell>
          <cell r="T697">
            <v>3138400</v>
          </cell>
          <cell r="V697">
            <v>0</v>
          </cell>
          <cell r="W697">
            <v>0</v>
          </cell>
          <cell r="X697">
            <v>0</v>
          </cell>
          <cell r="Z697">
            <v>0</v>
          </cell>
          <cell r="AB697">
            <v>0</v>
          </cell>
          <cell r="AD697">
            <v>0</v>
          </cell>
          <cell r="AF697">
            <v>0</v>
          </cell>
        </row>
        <row r="698">
          <cell r="A698">
            <v>697</v>
          </cell>
          <cell r="C698" t="e">
            <v>#N/A</v>
          </cell>
          <cell r="D698" t="e">
            <v>#N/A</v>
          </cell>
          <cell r="E698" t="e">
            <v>#N/A</v>
          </cell>
          <cell r="F698" t="e">
            <v>#N/A</v>
          </cell>
          <cell r="G698" t="e">
            <v>#N/A</v>
          </cell>
          <cell r="O698" t="e">
            <v>#N/A</v>
          </cell>
          <cell r="S698">
            <v>0</v>
          </cell>
          <cell r="T698">
            <v>3138400</v>
          </cell>
          <cell r="V698">
            <v>0</v>
          </cell>
          <cell r="W698">
            <v>0</v>
          </cell>
          <cell r="X698">
            <v>0</v>
          </cell>
          <cell r="Z698">
            <v>0</v>
          </cell>
          <cell r="AB698">
            <v>0</v>
          </cell>
          <cell r="AD698">
            <v>0</v>
          </cell>
          <cell r="AF698">
            <v>0</v>
          </cell>
        </row>
        <row r="699">
          <cell r="A699">
            <v>698</v>
          </cell>
          <cell r="C699" t="e">
            <v>#N/A</v>
          </cell>
          <cell r="D699" t="e">
            <v>#N/A</v>
          </cell>
          <cell r="E699" t="e">
            <v>#N/A</v>
          </cell>
          <cell r="F699" t="e">
            <v>#N/A</v>
          </cell>
          <cell r="G699" t="e">
            <v>#N/A</v>
          </cell>
          <cell r="O699" t="e">
            <v>#N/A</v>
          </cell>
          <cell r="S699">
            <v>0</v>
          </cell>
          <cell r="T699">
            <v>3138400</v>
          </cell>
          <cell r="V699">
            <v>0</v>
          </cell>
          <cell r="W699">
            <v>0</v>
          </cell>
          <cell r="X699">
            <v>0</v>
          </cell>
          <cell r="Z699">
            <v>0</v>
          </cell>
          <cell r="AB699">
            <v>0</v>
          </cell>
          <cell r="AD699">
            <v>0</v>
          </cell>
          <cell r="AF699">
            <v>0</v>
          </cell>
        </row>
        <row r="700">
          <cell r="A700">
            <v>699</v>
          </cell>
          <cell r="C700" t="e">
            <v>#N/A</v>
          </cell>
          <cell r="D700" t="e">
            <v>#N/A</v>
          </cell>
          <cell r="E700" t="e">
            <v>#N/A</v>
          </cell>
          <cell r="F700" t="e">
            <v>#N/A</v>
          </cell>
          <cell r="G700" t="e">
            <v>#N/A</v>
          </cell>
          <cell r="O700" t="e">
            <v>#N/A</v>
          </cell>
          <cell r="S700">
            <v>0</v>
          </cell>
          <cell r="T700">
            <v>3138400</v>
          </cell>
          <cell r="V700">
            <v>0</v>
          </cell>
          <cell r="W700">
            <v>0</v>
          </cell>
          <cell r="X700">
            <v>0</v>
          </cell>
          <cell r="Z700">
            <v>0</v>
          </cell>
          <cell r="AB700">
            <v>0</v>
          </cell>
          <cell r="AD700">
            <v>0</v>
          </cell>
          <cell r="AF700">
            <v>0</v>
          </cell>
        </row>
        <row r="701">
          <cell r="A701">
            <v>700</v>
          </cell>
          <cell r="C701" t="e">
            <v>#N/A</v>
          </cell>
          <cell r="D701" t="e">
            <v>#N/A</v>
          </cell>
          <cell r="E701" t="e">
            <v>#N/A</v>
          </cell>
          <cell r="F701" t="e">
            <v>#N/A</v>
          </cell>
          <cell r="G701" t="e">
            <v>#N/A</v>
          </cell>
          <cell r="O701" t="e">
            <v>#N/A</v>
          </cell>
          <cell r="S701">
            <v>0</v>
          </cell>
          <cell r="T701">
            <v>3138400</v>
          </cell>
          <cell r="V701">
            <v>0</v>
          </cell>
          <cell r="W701">
            <v>0</v>
          </cell>
          <cell r="X701">
            <v>0</v>
          </cell>
          <cell r="Z701">
            <v>0</v>
          </cell>
          <cell r="AB701">
            <v>0</v>
          </cell>
          <cell r="AD701">
            <v>0</v>
          </cell>
          <cell r="AF701">
            <v>0</v>
          </cell>
        </row>
        <row r="702">
          <cell r="A702">
            <v>701</v>
          </cell>
          <cell r="C702" t="e">
            <v>#N/A</v>
          </cell>
          <cell r="D702" t="e">
            <v>#N/A</v>
          </cell>
          <cell r="E702" t="e">
            <v>#N/A</v>
          </cell>
          <cell r="F702" t="e">
            <v>#N/A</v>
          </cell>
          <cell r="G702" t="e">
            <v>#N/A</v>
          </cell>
          <cell r="O702" t="e">
            <v>#N/A</v>
          </cell>
          <cell r="S702">
            <v>0</v>
          </cell>
          <cell r="T702">
            <v>3138400</v>
          </cell>
          <cell r="V702">
            <v>0</v>
          </cell>
          <cell r="W702">
            <v>0</v>
          </cell>
          <cell r="X702">
            <v>0</v>
          </cell>
          <cell r="Z702">
            <v>0</v>
          </cell>
          <cell r="AB702">
            <v>0</v>
          </cell>
          <cell r="AD702">
            <v>0</v>
          </cell>
          <cell r="AF702">
            <v>0</v>
          </cell>
        </row>
        <row r="703">
          <cell r="A703">
            <v>702</v>
          </cell>
          <cell r="C703" t="e">
            <v>#N/A</v>
          </cell>
          <cell r="D703" t="e">
            <v>#N/A</v>
          </cell>
          <cell r="E703" t="e">
            <v>#N/A</v>
          </cell>
          <cell r="F703" t="e">
            <v>#N/A</v>
          </cell>
          <cell r="G703" t="e">
            <v>#N/A</v>
          </cell>
          <cell r="O703" t="e">
            <v>#N/A</v>
          </cell>
          <cell r="S703">
            <v>0</v>
          </cell>
          <cell r="T703">
            <v>3138400</v>
          </cell>
          <cell r="V703">
            <v>0</v>
          </cell>
          <cell r="W703">
            <v>0</v>
          </cell>
          <cell r="X703">
            <v>0</v>
          </cell>
          <cell r="Z703">
            <v>0</v>
          </cell>
          <cell r="AB703">
            <v>0</v>
          </cell>
          <cell r="AD703">
            <v>0</v>
          </cell>
          <cell r="AF703">
            <v>0</v>
          </cell>
        </row>
        <row r="704">
          <cell r="A704">
            <v>703</v>
          </cell>
          <cell r="C704" t="e">
            <v>#N/A</v>
          </cell>
          <cell r="D704" t="e">
            <v>#N/A</v>
          </cell>
          <cell r="E704" t="e">
            <v>#N/A</v>
          </cell>
          <cell r="F704" t="e">
            <v>#N/A</v>
          </cell>
          <cell r="G704" t="e">
            <v>#N/A</v>
          </cell>
          <cell r="O704" t="e">
            <v>#N/A</v>
          </cell>
          <cell r="S704">
            <v>0</v>
          </cell>
          <cell r="T704">
            <v>3138400</v>
          </cell>
          <cell r="U704" t="str">
            <v>ya</v>
          </cell>
          <cell r="V704" t="e">
            <v>#N/A</v>
          </cell>
          <cell r="W704" t="e">
            <v>#N/A</v>
          </cell>
          <cell r="X704" t="e">
            <v>#N/A</v>
          </cell>
          <cell r="Z704">
            <v>0</v>
          </cell>
          <cell r="AB704">
            <v>0</v>
          </cell>
          <cell r="AD704">
            <v>0</v>
          </cell>
          <cell r="AF704">
            <v>0</v>
          </cell>
        </row>
        <row r="705">
          <cell r="A705">
            <v>704</v>
          </cell>
          <cell r="C705" t="e">
            <v>#N/A</v>
          </cell>
          <cell r="D705" t="e">
            <v>#N/A</v>
          </cell>
          <cell r="E705" t="e">
            <v>#N/A</v>
          </cell>
          <cell r="F705" t="e">
            <v>#N/A</v>
          </cell>
          <cell r="G705" t="e">
            <v>#N/A</v>
          </cell>
          <cell r="O705" t="e">
            <v>#N/A</v>
          </cell>
          <cell r="S705">
            <v>0</v>
          </cell>
          <cell r="T705">
            <v>3138400</v>
          </cell>
          <cell r="U705" t="str">
            <v>ya</v>
          </cell>
          <cell r="V705" t="e">
            <v>#N/A</v>
          </cell>
          <cell r="W705" t="e">
            <v>#N/A</v>
          </cell>
          <cell r="X705" t="e">
            <v>#N/A</v>
          </cell>
          <cell r="Z705">
            <v>0</v>
          </cell>
          <cell r="AB705">
            <v>0</v>
          </cell>
          <cell r="AD705">
            <v>0</v>
          </cell>
          <cell r="AF705">
            <v>0</v>
          </cell>
        </row>
        <row r="706">
          <cell r="A706">
            <v>705</v>
          </cell>
          <cell r="C706" t="e">
            <v>#N/A</v>
          </cell>
          <cell r="D706" t="e">
            <v>#N/A</v>
          </cell>
          <cell r="E706" t="e">
            <v>#N/A</v>
          </cell>
          <cell r="F706" t="e">
            <v>#N/A</v>
          </cell>
          <cell r="G706" t="e">
            <v>#N/A</v>
          </cell>
          <cell r="O706" t="e">
            <v>#N/A</v>
          </cell>
          <cell r="S706">
            <v>0</v>
          </cell>
          <cell r="T706">
            <v>3138400</v>
          </cell>
          <cell r="V706">
            <v>0</v>
          </cell>
          <cell r="W706">
            <v>0</v>
          </cell>
          <cell r="X706">
            <v>0</v>
          </cell>
          <cell r="Z706">
            <v>0</v>
          </cell>
          <cell r="AB706">
            <v>0</v>
          </cell>
          <cell r="AD706">
            <v>0</v>
          </cell>
          <cell r="AF706">
            <v>0</v>
          </cell>
        </row>
        <row r="707">
          <cell r="A707">
            <v>706</v>
          </cell>
          <cell r="C707" t="e">
            <v>#N/A</v>
          </cell>
          <cell r="D707" t="e">
            <v>#N/A</v>
          </cell>
          <cell r="E707" t="e">
            <v>#N/A</v>
          </cell>
          <cell r="F707" t="e">
            <v>#N/A</v>
          </cell>
          <cell r="G707" t="e">
            <v>#N/A</v>
          </cell>
          <cell r="O707" t="e">
            <v>#N/A</v>
          </cell>
          <cell r="S707">
            <v>0</v>
          </cell>
          <cell r="T707">
            <v>3138400</v>
          </cell>
          <cell r="V707">
            <v>0</v>
          </cell>
          <cell r="W707">
            <v>0</v>
          </cell>
          <cell r="X707">
            <v>0</v>
          </cell>
          <cell r="Z707">
            <v>0</v>
          </cell>
          <cell r="AB707">
            <v>0</v>
          </cell>
          <cell r="AD707">
            <v>0</v>
          </cell>
          <cell r="AF707">
            <v>0</v>
          </cell>
        </row>
        <row r="708">
          <cell r="A708">
            <v>707</v>
          </cell>
          <cell r="C708" t="e">
            <v>#N/A</v>
          </cell>
          <cell r="D708" t="e">
            <v>#N/A</v>
          </cell>
          <cell r="E708" t="e">
            <v>#N/A</v>
          </cell>
          <cell r="F708" t="e">
            <v>#N/A</v>
          </cell>
          <cell r="G708" t="e">
            <v>#N/A</v>
          </cell>
          <cell r="O708" t="e">
            <v>#N/A</v>
          </cell>
          <cell r="S708">
            <v>0</v>
          </cell>
          <cell r="T708">
            <v>3138400</v>
          </cell>
          <cell r="V708">
            <v>0</v>
          </cell>
          <cell r="W708">
            <v>0</v>
          </cell>
          <cell r="X708">
            <v>0</v>
          </cell>
          <cell r="Z708">
            <v>0</v>
          </cell>
          <cell r="AB708">
            <v>0</v>
          </cell>
          <cell r="AD708">
            <v>0</v>
          </cell>
          <cell r="AF708">
            <v>0</v>
          </cell>
        </row>
        <row r="709">
          <cell r="A709">
            <v>708</v>
          </cell>
          <cell r="C709" t="e">
            <v>#N/A</v>
          </cell>
          <cell r="D709" t="e">
            <v>#N/A</v>
          </cell>
          <cell r="E709" t="e">
            <v>#N/A</v>
          </cell>
          <cell r="F709" t="e">
            <v>#N/A</v>
          </cell>
          <cell r="G709" t="e">
            <v>#N/A</v>
          </cell>
          <cell r="O709" t="e">
            <v>#N/A</v>
          </cell>
          <cell r="S709">
            <v>0</v>
          </cell>
          <cell r="T709">
            <v>3138400</v>
          </cell>
          <cell r="V709">
            <v>0</v>
          </cell>
          <cell r="W709">
            <v>0</v>
          </cell>
          <cell r="X709">
            <v>0</v>
          </cell>
          <cell r="Z709">
            <v>0</v>
          </cell>
          <cell r="AB709">
            <v>0</v>
          </cell>
          <cell r="AD709">
            <v>0</v>
          </cell>
          <cell r="AF709">
            <v>0</v>
          </cell>
        </row>
        <row r="710">
          <cell r="A710">
            <v>709</v>
          </cell>
          <cell r="C710" t="e">
            <v>#N/A</v>
          </cell>
          <cell r="D710" t="e">
            <v>#N/A</v>
          </cell>
          <cell r="E710" t="e">
            <v>#N/A</v>
          </cell>
          <cell r="F710" t="e">
            <v>#N/A</v>
          </cell>
          <cell r="G710" t="e">
            <v>#N/A</v>
          </cell>
          <cell r="O710" t="e">
            <v>#N/A</v>
          </cell>
          <cell r="S710">
            <v>0</v>
          </cell>
          <cell r="T710">
            <v>3138400</v>
          </cell>
          <cell r="V710">
            <v>0</v>
          </cell>
          <cell r="W710">
            <v>0</v>
          </cell>
          <cell r="X710">
            <v>0</v>
          </cell>
          <cell r="Z710">
            <v>0</v>
          </cell>
          <cell r="AB710">
            <v>0</v>
          </cell>
          <cell r="AD710">
            <v>0</v>
          </cell>
          <cell r="AF710">
            <v>0</v>
          </cell>
        </row>
        <row r="711">
          <cell r="A711">
            <v>710</v>
          </cell>
          <cell r="C711" t="e">
            <v>#N/A</v>
          </cell>
          <cell r="D711" t="e">
            <v>#N/A</v>
          </cell>
          <cell r="E711" t="e">
            <v>#N/A</v>
          </cell>
          <cell r="F711" t="e">
            <v>#N/A</v>
          </cell>
          <cell r="G711" t="e">
            <v>#N/A</v>
          </cell>
          <cell r="O711" t="e">
            <v>#N/A</v>
          </cell>
          <cell r="S711">
            <v>0</v>
          </cell>
          <cell r="T711">
            <v>3138400</v>
          </cell>
          <cell r="V711">
            <v>0</v>
          </cell>
          <cell r="W711">
            <v>0</v>
          </cell>
          <cell r="X711">
            <v>0</v>
          </cell>
          <cell r="Z711">
            <v>0</v>
          </cell>
          <cell r="AB711">
            <v>0</v>
          </cell>
          <cell r="AD711">
            <v>0</v>
          </cell>
          <cell r="AF711">
            <v>0</v>
          </cell>
        </row>
        <row r="712">
          <cell r="A712">
            <v>711</v>
          </cell>
          <cell r="C712" t="e">
            <v>#N/A</v>
          </cell>
          <cell r="D712" t="e">
            <v>#N/A</v>
          </cell>
          <cell r="E712" t="e">
            <v>#N/A</v>
          </cell>
          <cell r="F712" t="e">
            <v>#N/A</v>
          </cell>
          <cell r="G712" t="e">
            <v>#N/A</v>
          </cell>
          <cell r="O712" t="e">
            <v>#N/A</v>
          </cell>
          <cell r="S712">
            <v>0</v>
          </cell>
          <cell r="T712">
            <v>3138400</v>
          </cell>
          <cell r="V712">
            <v>0</v>
          </cell>
          <cell r="W712">
            <v>0</v>
          </cell>
          <cell r="X712">
            <v>0</v>
          </cell>
          <cell r="Z712">
            <v>0</v>
          </cell>
          <cell r="AB712">
            <v>0</v>
          </cell>
          <cell r="AD712">
            <v>0</v>
          </cell>
          <cell r="AF712">
            <v>0</v>
          </cell>
        </row>
        <row r="713">
          <cell r="A713">
            <v>712</v>
          </cell>
          <cell r="C713" t="e">
            <v>#N/A</v>
          </cell>
          <cell r="D713" t="e">
            <v>#N/A</v>
          </cell>
          <cell r="E713" t="e">
            <v>#N/A</v>
          </cell>
          <cell r="F713" t="e">
            <v>#N/A</v>
          </cell>
          <cell r="G713" t="e">
            <v>#N/A</v>
          </cell>
          <cell r="O713" t="e">
            <v>#N/A</v>
          </cell>
          <cell r="S713">
            <v>0</v>
          </cell>
          <cell r="T713">
            <v>3138400</v>
          </cell>
          <cell r="V713">
            <v>0</v>
          </cell>
          <cell r="W713">
            <v>0</v>
          </cell>
          <cell r="X713">
            <v>0</v>
          </cell>
          <cell r="Z713">
            <v>0</v>
          </cell>
          <cell r="AB713">
            <v>0</v>
          </cell>
          <cell r="AD713">
            <v>0</v>
          </cell>
          <cell r="AF713">
            <v>0</v>
          </cell>
        </row>
        <row r="714">
          <cell r="A714">
            <v>713</v>
          </cell>
          <cell r="C714" t="e">
            <v>#N/A</v>
          </cell>
          <cell r="D714" t="e">
            <v>#N/A</v>
          </cell>
          <cell r="E714" t="e">
            <v>#N/A</v>
          </cell>
          <cell r="F714" t="e">
            <v>#N/A</v>
          </cell>
          <cell r="G714" t="e">
            <v>#N/A</v>
          </cell>
          <cell r="O714" t="e">
            <v>#N/A</v>
          </cell>
          <cell r="S714">
            <v>0</v>
          </cell>
          <cell r="T714">
            <v>3138400</v>
          </cell>
          <cell r="V714">
            <v>0</v>
          </cell>
          <cell r="W714">
            <v>0</v>
          </cell>
          <cell r="X714">
            <v>0</v>
          </cell>
          <cell r="Z714">
            <v>0</v>
          </cell>
          <cell r="AB714">
            <v>0</v>
          </cell>
          <cell r="AD714">
            <v>0</v>
          </cell>
          <cell r="AF714">
            <v>0</v>
          </cell>
        </row>
        <row r="715">
          <cell r="A715">
            <v>714</v>
          </cell>
          <cell r="C715" t="e">
            <v>#N/A</v>
          </cell>
          <cell r="D715" t="e">
            <v>#N/A</v>
          </cell>
          <cell r="E715" t="e">
            <v>#N/A</v>
          </cell>
          <cell r="F715" t="e">
            <v>#N/A</v>
          </cell>
          <cell r="G715" t="e">
            <v>#N/A</v>
          </cell>
          <cell r="O715" t="e">
            <v>#N/A</v>
          </cell>
          <cell r="S715">
            <v>0</v>
          </cell>
          <cell r="T715">
            <v>3138400</v>
          </cell>
          <cell r="V715">
            <v>0</v>
          </cell>
          <cell r="W715">
            <v>0</v>
          </cell>
          <cell r="X715">
            <v>0</v>
          </cell>
          <cell r="Z715">
            <v>0</v>
          </cell>
          <cell r="AB715">
            <v>0</v>
          </cell>
          <cell r="AD715">
            <v>0</v>
          </cell>
          <cell r="AF715">
            <v>0</v>
          </cell>
        </row>
        <row r="716">
          <cell r="A716">
            <v>715</v>
          </cell>
          <cell r="C716" t="e">
            <v>#N/A</v>
          </cell>
          <cell r="D716" t="e">
            <v>#N/A</v>
          </cell>
          <cell r="E716" t="e">
            <v>#N/A</v>
          </cell>
          <cell r="F716" t="e">
            <v>#N/A</v>
          </cell>
          <cell r="G716" t="e">
            <v>#N/A</v>
          </cell>
          <cell r="O716" t="e">
            <v>#N/A</v>
          </cell>
          <cell r="S716">
            <v>0</v>
          </cell>
          <cell r="T716">
            <v>3138400</v>
          </cell>
          <cell r="V716">
            <v>0</v>
          </cell>
          <cell r="W716">
            <v>0</v>
          </cell>
          <cell r="X716">
            <v>0</v>
          </cell>
          <cell r="Z716">
            <v>0</v>
          </cell>
          <cell r="AB716">
            <v>0</v>
          </cell>
          <cell r="AD716">
            <v>0</v>
          </cell>
          <cell r="AF716">
            <v>0</v>
          </cell>
        </row>
        <row r="717">
          <cell r="A717">
            <v>716</v>
          </cell>
          <cell r="C717" t="e">
            <v>#N/A</v>
          </cell>
          <cell r="D717" t="e">
            <v>#N/A</v>
          </cell>
          <cell r="E717" t="e">
            <v>#N/A</v>
          </cell>
          <cell r="F717" t="e">
            <v>#N/A</v>
          </cell>
          <cell r="G717" t="e">
            <v>#N/A</v>
          </cell>
          <cell r="O717" t="e">
            <v>#N/A</v>
          </cell>
          <cell r="S717">
            <v>0</v>
          </cell>
          <cell r="T717">
            <v>3138400</v>
          </cell>
          <cell r="V717">
            <v>0</v>
          </cell>
          <cell r="W717">
            <v>0</v>
          </cell>
          <cell r="X717">
            <v>0</v>
          </cell>
          <cell r="Z717">
            <v>0</v>
          </cell>
          <cell r="AB717">
            <v>0</v>
          </cell>
          <cell r="AD717">
            <v>0</v>
          </cell>
          <cell r="AF717">
            <v>0</v>
          </cell>
        </row>
        <row r="718">
          <cell r="A718">
            <v>717</v>
          </cell>
          <cell r="C718" t="e">
            <v>#N/A</v>
          </cell>
          <cell r="D718" t="e">
            <v>#N/A</v>
          </cell>
          <cell r="E718" t="e">
            <v>#N/A</v>
          </cell>
          <cell r="F718" t="e">
            <v>#N/A</v>
          </cell>
          <cell r="G718" t="e">
            <v>#N/A</v>
          </cell>
          <cell r="O718" t="e">
            <v>#N/A</v>
          </cell>
          <cell r="S718">
            <v>0</v>
          </cell>
          <cell r="T718">
            <v>3138400</v>
          </cell>
          <cell r="V718">
            <v>0</v>
          </cell>
          <cell r="W718">
            <v>0</v>
          </cell>
          <cell r="X718">
            <v>0</v>
          </cell>
          <cell r="Z718">
            <v>0</v>
          </cell>
          <cell r="AB718">
            <v>0</v>
          </cell>
          <cell r="AD718">
            <v>0</v>
          </cell>
          <cell r="AF718">
            <v>0</v>
          </cell>
        </row>
        <row r="719">
          <cell r="A719">
            <v>718</v>
          </cell>
          <cell r="C719" t="e">
            <v>#N/A</v>
          </cell>
          <cell r="D719" t="e">
            <v>#N/A</v>
          </cell>
          <cell r="E719" t="e">
            <v>#N/A</v>
          </cell>
          <cell r="F719" t="e">
            <v>#N/A</v>
          </cell>
          <cell r="G719" t="e">
            <v>#N/A</v>
          </cell>
          <cell r="O719" t="e">
            <v>#N/A</v>
          </cell>
          <cell r="S719">
            <v>0</v>
          </cell>
          <cell r="T719">
            <v>3138400</v>
          </cell>
          <cell r="U719" t="str">
            <v>ya</v>
          </cell>
          <cell r="V719" t="e">
            <v>#N/A</v>
          </cell>
          <cell r="W719" t="e">
            <v>#N/A</v>
          </cell>
          <cell r="X719" t="e">
            <v>#N/A</v>
          </cell>
          <cell r="Z719">
            <v>0</v>
          </cell>
          <cell r="AB719">
            <v>0</v>
          </cell>
          <cell r="AD719">
            <v>0</v>
          </cell>
          <cell r="AF719">
            <v>0</v>
          </cell>
        </row>
        <row r="720">
          <cell r="A720">
            <v>719</v>
          </cell>
          <cell r="C720" t="e">
            <v>#N/A</v>
          </cell>
          <cell r="D720" t="e">
            <v>#N/A</v>
          </cell>
          <cell r="E720" t="e">
            <v>#N/A</v>
          </cell>
          <cell r="F720" t="e">
            <v>#N/A</v>
          </cell>
          <cell r="G720" t="e">
            <v>#N/A</v>
          </cell>
          <cell r="O720" t="e">
            <v>#N/A</v>
          </cell>
          <cell r="S720">
            <v>0</v>
          </cell>
          <cell r="T720">
            <v>3138400</v>
          </cell>
          <cell r="U720" t="str">
            <v>ya</v>
          </cell>
          <cell r="V720" t="e">
            <v>#N/A</v>
          </cell>
          <cell r="W720" t="e">
            <v>#N/A</v>
          </cell>
          <cell r="X720" t="e">
            <v>#N/A</v>
          </cell>
          <cell r="Z720">
            <v>0</v>
          </cell>
          <cell r="AB720">
            <v>0</v>
          </cell>
          <cell r="AD720">
            <v>0</v>
          </cell>
          <cell r="AF720">
            <v>0</v>
          </cell>
        </row>
        <row r="721">
          <cell r="A721">
            <v>720</v>
          </cell>
          <cell r="C721" t="e">
            <v>#N/A</v>
          </cell>
          <cell r="D721" t="e">
            <v>#N/A</v>
          </cell>
          <cell r="E721" t="e">
            <v>#N/A</v>
          </cell>
          <cell r="F721" t="e">
            <v>#N/A</v>
          </cell>
          <cell r="G721" t="e">
            <v>#N/A</v>
          </cell>
          <cell r="O721" t="e">
            <v>#N/A</v>
          </cell>
          <cell r="S721">
            <v>0</v>
          </cell>
          <cell r="T721">
            <v>3138400</v>
          </cell>
          <cell r="V721">
            <v>0</v>
          </cell>
          <cell r="W721">
            <v>0</v>
          </cell>
          <cell r="X721">
            <v>0</v>
          </cell>
          <cell r="Z721">
            <v>0</v>
          </cell>
          <cell r="AB721">
            <v>0</v>
          </cell>
          <cell r="AD721">
            <v>0</v>
          </cell>
          <cell r="AF721">
            <v>0</v>
          </cell>
        </row>
        <row r="722">
          <cell r="A722">
            <v>721</v>
          </cell>
          <cell r="C722" t="e">
            <v>#N/A</v>
          </cell>
          <cell r="D722" t="e">
            <v>#N/A</v>
          </cell>
          <cell r="E722" t="e">
            <v>#N/A</v>
          </cell>
          <cell r="F722" t="e">
            <v>#N/A</v>
          </cell>
          <cell r="G722" t="e">
            <v>#N/A</v>
          </cell>
          <cell r="O722" t="e">
            <v>#N/A</v>
          </cell>
          <cell r="S722">
            <v>0</v>
          </cell>
          <cell r="T722">
            <v>3138400</v>
          </cell>
          <cell r="V722">
            <v>0</v>
          </cell>
          <cell r="W722">
            <v>0</v>
          </cell>
          <cell r="X722">
            <v>0</v>
          </cell>
          <cell r="Z722">
            <v>0</v>
          </cell>
          <cell r="AB722">
            <v>0</v>
          </cell>
          <cell r="AD722">
            <v>0</v>
          </cell>
          <cell r="AF722">
            <v>0</v>
          </cell>
        </row>
        <row r="723">
          <cell r="A723">
            <v>722</v>
          </cell>
          <cell r="C723" t="e">
            <v>#N/A</v>
          </cell>
          <cell r="D723" t="e">
            <v>#N/A</v>
          </cell>
          <cell r="E723" t="e">
            <v>#N/A</v>
          </cell>
          <cell r="F723" t="e">
            <v>#N/A</v>
          </cell>
          <cell r="G723" t="e">
            <v>#N/A</v>
          </cell>
          <cell r="O723" t="e">
            <v>#N/A</v>
          </cell>
          <cell r="S723">
            <v>0</v>
          </cell>
          <cell r="T723">
            <v>3138400</v>
          </cell>
          <cell r="V723">
            <v>0</v>
          </cell>
          <cell r="W723">
            <v>0</v>
          </cell>
          <cell r="X723">
            <v>0</v>
          </cell>
          <cell r="Z723">
            <v>0</v>
          </cell>
          <cell r="AB723">
            <v>0</v>
          </cell>
          <cell r="AD723">
            <v>0</v>
          </cell>
          <cell r="AF723">
            <v>0</v>
          </cell>
        </row>
        <row r="724">
          <cell r="A724">
            <v>723</v>
          </cell>
          <cell r="C724" t="e">
            <v>#N/A</v>
          </cell>
          <cell r="D724" t="e">
            <v>#N/A</v>
          </cell>
          <cell r="E724" t="e">
            <v>#N/A</v>
          </cell>
          <cell r="F724" t="e">
            <v>#N/A</v>
          </cell>
          <cell r="G724" t="e">
            <v>#N/A</v>
          </cell>
          <cell r="O724" t="e">
            <v>#N/A</v>
          </cell>
          <cell r="S724">
            <v>0</v>
          </cell>
          <cell r="T724">
            <v>3138400</v>
          </cell>
          <cell r="V724">
            <v>0</v>
          </cell>
          <cell r="W724">
            <v>0</v>
          </cell>
          <cell r="X724">
            <v>0</v>
          </cell>
          <cell r="Z724">
            <v>0</v>
          </cell>
          <cell r="AB724">
            <v>0</v>
          </cell>
          <cell r="AD724">
            <v>0</v>
          </cell>
          <cell r="AF724">
            <v>0</v>
          </cell>
        </row>
        <row r="725">
          <cell r="A725">
            <v>724</v>
          </cell>
          <cell r="C725" t="e">
            <v>#N/A</v>
          </cell>
          <cell r="D725" t="e">
            <v>#N/A</v>
          </cell>
          <cell r="E725" t="e">
            <v>#N/A</v>
          </cell>
          <cell r="F725" t="e">
            <v>#N/A</v>
          </cell>
          <cell r="G725" t="e">
            <v>#N/A</v>
          </cell>
          <cell r="O725" t="e">
            <v>#N/A</v>
          </cell>
          <cell r="S725">
            <v>0</v>
          </cell>
          <cell r="T725">
            <v>3138400</v>
          </cell>
          <cell r="V725">
            <v>0</v>
          </cell>
          <cell r="W725">
            <v>0</v>
          </cell>
          <cell r="X725">
            <v>0</v>
          </cell>
          <cell r="Z725">
            <v>0</v>
          </cell>
          <cell r="AB725">
            <v>0</v>
          </cell>
          <cell r="AD725">
            <v>0</v>
          </cell>
          <cell r="AF725">
            <v>0</v>
          </cell>
        </row>
        <row r="726">
          <cell r="A726">
            <v>725</v>
          </cell>
          <cell r="C726" t="e">
            <v>#N/A</v>
          </cell>
          <cell r="D726" t="e">
            <v>#N/A</v>
          </cell>
          <cell r="E726" t="e">
            <v>#N/A</v>
          </cell>
          <cell r="F726" t="e">
            <v>#N/A</v>
          </cell>
          <cell r="G726" t="e">
            <v>#N/A</v>
          </cell>
          <cell r="O726" t="e">
            <v>#N/A</v>
          </cell>
          <cell r="S726">
            <v>0</v>
          </cell>
          <cell r="T726">
            <v>3138400</v>
          </cell>
          <cell r="V726">
            <v>0</v>
          </cell>
          <cell r="W726">
            <v>0</v>
          </cell>
          <cell r="X726">
            <v>0</v>
          </cell>
          <cell r="Z726">
            <v>0</v>
          </cell>
          <cell r="AB726">
            <v>0</v>
          </cell>
          <cell r="AD726">
            <v>0</v>
          </cell>
          <cell r="AF726">
            <v>0</v>
          </cell>
        </row>
        <row r="727">
          <cell r="A727">
            <v>726</v>
          </cell>
          <cell r="C727" t="e">
            <v>#N/A</v>
          </cell>
          <cell r="D727" t="e">
            <v>#N/A</v>
          </cell>
          <cell r="E727" t="e">
            <v>#N/A</v>
          </cell>
          <cell r="F727" t="e">
            <v>#N/A</v>
          </cell>
          <cell r="G727" t="e">
            <v>#N/A</v>
          </cell>
          <cell r="O727" t="e">
            <v>#N/A</v>
          </cell>
          <cell r="S727">
            <v>0</v>
          </cell>
          <cell r="T727">
            <v>3138400</v>
          </cell>
          <cell r="V727">
            <v>0</v>
          </cell>
          <cell r="W727">
            <v>0</v>
          </cell>
          <cell r="X727">
            <v>0</v>
          </cell>
          <cell r="Z727">
            <v>0</v>
          </cell>
          <cell r="AB727">
            <v>0</v>
          </cell>
          <cell r="AD727">
            <v>0</v>
          </cell>
          <cell r="AF727">
            <v>0</v>
          </cell>
        </row>
        <row r="728">
          <cell r="A728">
            <v>727</v>
          </cell>
          <cell r="C728" t="e">
            <v>#N/A</v>
          </cell>
          <cell r="D728" t="e">
            <v>#N/A</v>
          </cell>
          <cell r="E728" t="e">
            <v>#N/A</v>
          </cell>
          <cell r="F728" t="e">
            <v>#N/A</v>
          </cell>
          <cell r="G728" t="e">
            <v>#N/A</v>
          </cell>
          <cell r="O728" t="e">
            <v>#N/A</v>
          </cell>
          <cell r="S728">
            <v>0</v>
          </cell>
          <cell r="T728">
            <v>3138400</v>
          </cell>
          <cell r="V728">
            <v>0</v>
          </cell>
          <cell r="W728">
            <v>0</v>
          </cell>
          <cell r="X728">
            <v>0</v>
          </cell>
          <cell r="Z728">
            <v>0</v>
          </cell>
          <cell r="AB728">
            <v>0</v>
          </cell>
          <cell r="AD728">
            <v>0</v>
          </cell>
          <cell r="AF728">
            <v>0</v>
          </cell>
        </row>
        <row r="729">
          <cell r="A729">
            <v>728</v>
          </cell>
          <cell r="C729" t="e">
            <v>#N/A</v>
          </cell>
          <cell r="D729" t="e">
            <v>#N/A</v>
          </cell>
          <cell r="E729" t="e">
            <v>#N/A</v>
          </cell>
          <cell r="F729" t="e">
            <v>#N/A</v>
          </cell>
          <cell r="G729" t="e">
            <v>#N/A</v>
          </cell>
          <cell r="O729" t="e">
            <v>#N/A</v>
          </cell>
          <cell r="S729">
            <v>0</v>
          </cell>
          <cell r="T729">
            <v>3138400</v>
          </cell>
          <cell r="U729" t="str">
            <v>ya</v>
          </cell>
          <cell r="V729" t="e">
            <v>#N/A</v>
          </cell>
          <cell r="W729" t="e">
            <v>#N/A</v>
          </cell>
          <cell r="X729" t="e">
            <v>#N/A</v>
          </cell>
          <cell r="Z729">
            <v>0</v>
          </cell>
          <cell r="AB729">
            <v>0</v>
          </cell>
          <cell r="AD729">
            <v>0</v>
          </cell>
          <cell r="AF729">
            <v>0</v>
          </cell>
        </row>
        <row r="730">
          <cell r="A730">
            <v>729</v>
          </cell>
          <cell r="C730" t="e">
            <v>#N/A</v>
          </cell>
          <cell r="D730" t="e">
            <v>#N/A</v>
          </cell>
          <cell r="E730" t="e">
            <v>#N/A</v>
          </cell>
          <cell r="F730" t="e">
            <v>#N/A</v>
          </cell>
          <cell r="G730" t="e">
            <v>#N/A</v>
          </cell>
          <cell r="O730" t="e">
            <v>#N/A</v>
          </cell>
          <cell r="S730">
            <v>0</v>
          </cell>
          <cell r="T730">
            <v>3138400</v>
          </cell>
          <cell r="U730" t="str">
            <v>ya</v>
          </cell>
          <cell r="V730" t="e">
            <v>#N/A</v>
          </cell>
          <cell r="W730" t="e">
            <v>#N/A</v>
          </cell>
          <cell r="X730" t="e">
            <v>#N/A</v>
          </cell>
          <cell r="Z730">
            <v>0</v>
          </cell>
          <cell r="AB730">
            <v>0</v>
          </cell>
          <cell r="AD730">
            <v>0</v>
          </cell>
          <cell r="AF730">
            <v>0</v>
          </cell>
        </row>
        <row r="731">
          <cell r="A731">
            <v>730</v>
          </cell>
          <cell r="C731" t="e">
            <v>#N/A</v>
          </cell>
          <cell r="D731" t="e">
            <v>#N/A</v>
          </cell>
          <cell r="E731" t="e">
            <v>#N/A</v>
          </cell>
          <cell r="F731" t="e">
            <v>#N/A</v>
          </cell>
          <cell r="G731" t="e">
            <v>#N/A</v>
          </cell>
          <cell r="O731" t="e">
            <v>#N/A</v>
          </cell>
          <cell r="S731">
            <v>0</v>
          </cell>
          <cell r="T731">
            <v>3138400</v>
          </cell>
          <cell r="V731">
            <v>0</v>
          </cell>
          <cell r="W731">
            <v>0</v>
          </cell>
          <cell r="X731">
            <v>0</v>
          </cell>
          <cell r="Z731">
            <v>0</v>
          </cell>
          <cell r="AB731">
            <v>0</v>
          </cell>
          <cell r="AD731">
            <v>0</v>
          </cell>
          <cell r="AF731">
            <v>0</v>
          </cell>
        </row>
        <row r="732">
          <cell r="A732">
            <v>731</v>
          </cell>
          <cell r="C732" t="e">
            <v>#N/A</v>
          </cell>
          <cell r="D732" t="e">
            <v>#N/A</v>
          </cell>
          <cell r="E732" t="e">
            <v>#N/A</v>
          </cell>
          <cell r="F732" t="e">
            <v>#N/A</v>
          </cell>
          <cell r="G732" t="e">
            <v>#N/A</v>
          </cell>
          <cell r="O732" t="e">
            <v>#N/A</v>
          </cell>
          <cell r="S732">
            <v>0</v>
          </cell>
          <cell r="T732">
            <v>3138400</v>
          </cell>
          <cell r="V732">
            <v>0</v>
          </cell>
          <cell r="W732">
            <v>0</v>
          </cell>
          <cell r="X732">
            <v>0</v>
          </cell>
          <cell r="Z732">
            <v>0</v>
          </cell>
          <cell r="AB732">
            <v>0</v>
          </cell>
          <cell r="AD732">
            <v>0</v>
          </cell>
          <cell r="AF732">
            <v>0</v>
          </cell>
        </row>
        <row r="733">
          <cell r="A733">
            <v>732</v>
          </cell>
          <cell r="C733" t="e">
            <v>#N/A</v>
          </cell>
          <cell r="D733" t="e">
            <v>#N/A</v>
          </cell>
          <cell r="E733" t="e">
            <v>#N/A</v>
          </cell>
          <cell r="F733" t="e">
            <v>#N/A</v>
          </cell>
          <cell r="G733" t="e">
            <v>#N/A</v>
          </cell>
          <cell r="O733" t="e">
            <v>#N/A</v>
          </cell>
          <cell r="S733">
            <v>0</v>
          </cell>
          <cell r="T733">
            <v>3138400</v>
          </cell>
          <cell r="V733">
            <v>0</v>
          </cell>
          <cell r="W733">
            <v>0</v>
          </cell>
          <cell r="X733">
            <v>0</v>
          </cell>
          <cell r="Z733">
            <v>0</v>
          </cell>
          <cell r="AB733">
            <v>0</v>
          </cell>
          <cell r="AD733">
            <v>0</v>
          </cell>
          <cell r="AF733">
            <v>0</v>
          </cell>
        </row>
        <row r="734">
          <cell r="A734">
            <v>733</v>
          </cell>
          <cell r="C734" t="e">
            <v>#N/A</v>
          </cell>
          <cell r="D734" t="e">
            <v>#N/A</v>
          </cell>
          <cell r="E734" t="e">
            <v>#N/A</v>
          </cell>
          <cell r="F734" t="e">
            <v>#N/A</v>
          </cell>
          <cell r="G734" t="e">
            <v>#N/A</v>
          </cell>
          <cell r="O734" t="e">
            <v>#N/A</v>
          </cell>
          <cell r="S734">
            <v>0</v>
          </cell>
          <cell r="T734">
            <v>3138400</v>
          </cell>
          <cell r="V734">
            <v>0</v>
          </cell>
          <cell r="W734">
            <v>0</v>
          </cell>
          <cell r="X734">
            <v>0</v>
          </cell>
          <cell r="Z734">
            <v>0</v>
          </cell>
          <cell r="AB734">
            <v>0</v>
          </cell>
          <cell r="AD734">
            <v>0</v>
          </cell>
          <cell r="AF734">
            <v>0</v>
          </cell>
        </row>
        <row r="735">
          <cell r="A735">
            <v>734</v>
          </cell>
          <cell r="C735" t="e">
            <v>#N/A</v>
          </cell>
          <cell r="D735" t="e">
            <v>#N/A</v>
          </cell>
          <cell r="E735" t="e">
            <v>#N/A</v>
          </cell>
          <cell r="F735" t="e">
            <v>#N/A</v>
          </cell>
          <cell r="G735" t="e">
            <v>#N/A</v>
          </cell>
          <cell r="O735" t="e">
            <v>#N/A</v>
          </cell>
          <cell r="S735">
            <v>0</v>
          </cell>
          <cell r="T735">
            <v>3138400</v>
          </cell>
          <cell r="V735">
            <v>0</v>
          </cell>
          <cell r="W735">
            <v>0</v>
          </cell>
          <cell r="X735">
            <v>0</v>
          </cell>
          <cell r="Z735">
            <v>0</v>
          </cell>
          <cell r="AB735">
            <v>0</v>
          </cell>
          <cell r="AD735">
            <v>0</v>
          </cell>
          <cell r="AF735">
            <v>0</v>
          </cell>
        </row>
        <row r="736">
          <cell r="A736">
            <v>735</v>
          </cell>
          <cell r="C736" t="e">
            <v>#N/A</v>
          </cell>
          <cell r="D736" t="e">
            <v>#N/A</v>
          </cell>
          <cell r="E736" t="e">
            <v>#N/A</v>
          </cell>
          <cell r="F736" t="e">
            <v>#N/A</v>
          </cell>
          <cell r="G736" t="e">
            <v>#N/A</v>
          </cell>
          <cell r="O736" t="e">
            <v>#N/A</v>
          </cell>
          <cell r="S736">
            <v>0</v>
          </cell>
          <cell r="T736">
            <v>3138400</v>
          </cell>
          <cell r="V736">
            <v>0</v>
          </cell>
          <cell r="W736">
            <v>0</v>
          </cell>
          <cell r="X736">
            <v>0</v>
          </cell>
          <cell r="Z736">
            <v>0</v>
          </cell>
          <cell r="AB736">
            <v>0</v>
          </cell>
          <cell r="AD736">
            <v>0</v>
          </cell>
          <cell r="AF736">
            <v>0</v>
          </cell>
        </row>
        <row r="737">
          <cell r="A737">
            <v>736</v>
          </cell>
          <cell r="C737" t="e">
            <v>#N/A</v>
          </cell>
          <cell r="D737" t="e">
            <v>#N/A</v>
          </cell>
          <cell r="E737" t="e">
            <v>#N/A</v>
          </cell>
          <cell r="F737" t="e">
            <v>#N/A</v>
          </cell>
          <cell r="G737" t="e">
            <v>#N/A</v>
          </cell>
          <cell r="O737" t="e">
            <v>#N/A</v>
          </cell>
          <cell r="S737">
            <v>0</v>
          </cell>
          <cell r="T737">
            <v>3138400</v>
          </cell>
          <cell r="V737">
            <v>0</v>
          </cell>
          <cell r="W737">
            <v>0</v>
          </cell>
          <cell r="X737">
            <v>0</v>
          </cell>
          <cell r="Z737">
            <v>0</v>
          </cell>
          <cell r="AB737">
            <v>0</v>
          </cell>
          <cell r="AD737">
            <v>0</v>
          </cell>
          <cell r="AF737">
            <v>0</v>
          </cell>
        </row>
        <row r="738">
          <cell r="A738">
            <v>737</v>
          </cell>
          <cell r="C738" t="e">
            <v>#N/A</v>
          </cell>
          <cell r="D738" t="e">
            <v>#N/A</v>
          </cell>
          <cell r="E738" t="e">
            <v>#N/A</v>
          </cell>
          <cell r="F738" t="e">
            <v>#N/A</v>
          </cell>
          <cell r="G738" t="e">
            <v>#N/A</v>
          </cell>
          <cell r="O738" t="e">
            <v>#N/A</v>
          </cell>
          <cell r="S738">
            <v>0</v>
          </cell>
          <cell r="T738">
            <v>3138400</v>
          </cell>
          <cell r="U738" t="str">
            <v>ya</v>
          </cell>
          <cell r="V738" t="e">
            <v>#N/A</v>
          </cell>
          <cell r="W738" t="e">
            <v>#N/A</v>
          </cell>
          <cell r="X738" t="e">
            <v>#N/A</v>
          </cell>
          <cell r="Z738">
            <v>0</v>
          </cell>
          <cell r="AB738">
            <v>0</v>
          </cell>
          <cell r="AD738">
            <v>0</v>
          </cell>
          <cell r="AF738">
            <v>0</v>
          </cell>
        </row>
        <row r="739">
          <cell r="A739">
            <v>738</v>
          </cell>
          <cell r="C739" t="e">
            <v>#N/A</v>
          </cell>
          <cell r="D739" t="e">
            <v>#N/A</v>
          </cell>
          <cell r="E739" t="e">
            <v>#N/A</v>
          </cell>
          <cell r="F739" t="e">
            <v>#N/A</v>
          </cell>
          <cell r="G739" t="e">
            <v>#N/A</v>
          </cell>
          <cell r="O739" t="e">
            <v>#N/A</v>
          </cell>
          <cell r="S739">
            <v>0</v>
          </cell>
          <cell r="T739">
            <v>3138400</v>
          </cell>
          <cell r="U739" t="str">
            <v>ya</v>
          </cell>
          <cell r="V739" t="e">
            <v>#N/A</v>
          </cell>
          <cell r="W739" t="e">
            <v>#N/A</v>
          </cell>
          <cell r="X739" t="e">
            <v>#N/A</v>
          </cell>
          <cell r="Z739">
            <v>0</v>
          </cell>
          <cell r="AB739">
            <v>0</v>
          </cell>
          <cell r="AD739">
            <v>0</v>
          </cell>
          <cell r="AF739">
            <v>0</v>
          </cell>
        </row>
        <row r="740">
          <cell r="A740">
            <v>739</v>
          </cell>
          <cell r="C740" t="e">
            <v>#N/A</v>
          </cell>
          <cell r="D740" t="e">
            <v>#N/A</v>
          </cell>
          <cell r="E740" t="e">
            <v>#N/A</v>
          </cell>
          <cell r="F740" t="e">
            <v>#N/A</v>
          </cell>
          <cell r="G740" t="e">
            <v>#N/A</v>
          </cell>
          <cell r="O740" t="e">
            <v>#N/A</v>
          </cell>
          <cell r="S740">
            <v>0</v>
          </cell>
          <cell r="T740">
            <v>3138400</v>
          </cell>
          <cell r="V740">
            <v>0</v>
          </cell>
          <cell r="W740">
            <v>0</v>
          </cell>
          <cell r="X740">
            <v>0</v>
          </cell>
          <cell r="Z740">
            <v>0</v>
          </cell>
          <cell r="AB740">
            <v>0</v>
          </cell>
          <cell r="AD740">
            <v>0</v>
          </cell>
          <cell r="AF740">
            <v>0</v>
          </cell>
        </row>
        <row r="741">
          <cell r="A741">
            <v>740</v>
          </cell>
          <cell r="C741" t="e">
            <v>#N/A</v>
          </cell>
          <cell r="D741" t="e">
            <v>#N/A</v>
          </cell>
          <cell r="E741" t="e">
            <v>#N/A</v>
          </cell>
          <cell r="F741" t="e">
            <v>#N/A</v>
          </cell>
          <cell r="G741" t="e">
            <v>#N/A</v>
          </cell>
          <cell r="O741" t="e">
            <v>#N/A</v>
          </cell>
          <cell r="S741">
            <v>0</v>
          </cell>
          <cell r="T741">
            <v>3138400</v>
          </cell>
          <cell r="U741" t="str">
            <v>ya</v>
          </cell>
          <cell r="V741" t="e">
            <v>#N/A</v>
          </cell>
          <cell r="W741" t="e">
            <v>#N/A</v>
          </cell>
          <cell r="X741" t="e">
            <v>#N/A</v>
          </cell>
          <cell r="Z741">
            <v>0</v>
          </cell>
          <cell r="AB741">
            <v>0</v>
          </cell>
          <cell r="AD741">
            <v>0</v>
          </cell>
          <cell r="AF741">
            <v>0</v>
          </cell>
        </row>
        <row r="742">
          <cell r="A742">
            <v>741</v>
          </cell>
          <cell r="C742" t="e">
            <v>#N/A</v>
          </cell>
          <cell r="D742" t="e">
            <v>#N/A</v>
          </cell>
          <cell r="E742" t="e">
            <v>#N/A</v>
          </cell>
          <cell r="F742" t="e">
            <v>#N/A</v>
          </cell>
          <cell r="G742" t="e">
            <v>#N/A</v>
          </cell>
          <cell r="O742" t="e">
            <v>#N/A</v>
          </cell>
          <cell r="S742">
            <v>0</v>
          </cell>
          <cell r="T742">
            <v>3138400</v>
          </cell>
          <cell r="U742" t="str">
            <v>ya</v>
          </cell>
          <cell r="V742" t="e">
            <v>#N/A</v>
          </cell>
          <cell r="W742" t="e">
            <v>#N/A</v>
          </cell>
          <cell r="X742" t="e">
            <v>#N/A</v>
          </cell>
          <cell r="Z742">
            <v>0</v>
          </cell>
          <cell r="AB742">
            <v>0</v>
          </cell>
          <cell r="AD742">
            <v>0</v>
          </cell>
          <cell r="AF742">
            <v>0</v>
          </cell>
        </row>
        <row r="743">
          <cell r="A743">
            <v>742</v>
          </cell>
          <cell r="C743" t="e">
            <v>#N/A</v>
          </cell>
          <cell r="D743" t="e">
            <v>#N/A</v>
          </cell>
          <cell r="E743" t="e">
            <v>#N/A</v>
          </cell>
          <cell r="F743" t="e">
            <v>#N/A</v>
          </cell>
          <cell r="G743" t="e">
            <v>#N/A</v>
          </cell>
          <cell r="O743" t="e">
            <v>#N/A</v>
          </cell>
          <cell r="S743">
            <v>0</v>
          </cell>
          <cell r="T743">
            <v>3138400</v>
          </cell>
          <cell r="V743">
            <v>0</v>
          </cell>
          <cell r="W743">
            <v>0</v>
          </cell>
          <cell r="X743">
            <v>0</v>
          </cell>
          <cell r="Z743">
            <v>0</v>
          </cell>
          <cell r="AB743">
            <v>0</v>
          </cell>
          <cell r="AD743">
            <v>0</v>
          </cell>
          <cell r="AF743">
            <v>0</v>
          </cell>
        </row>
        <row r="744">
          <cell r="A744">
            <v>743</v>
          </cell>
          <cell r="C744" t="e">
            <v>#N/A</v>
          </cell>
          <cell r="D744" t="e">
            <v>#N/A</v>
          </cell>
          <cell r="E744" t="e">
            <v>#N/A</v>
          </cell>
          <cell r="F744" t="e">
            <v>#N/A</v>
          </cell>
          <cell r="G744" t="e">
            <v>#N/A</v>
          </cell>
          <cell r="O744" t="e">
            <v>#N/A</v>
          </cell>
          <cell r="S744">
            <v>0</v>
          </cell>
          <cell r="T744">
            <v>3138400</v>
          </cell>
          <cell r="V744">
            <v>0</v>
          </cell>
          <cell r="W744">
            <v>0</v>
          </cell>
          <cell r="X744">
            <v>0</v>
          </cell>
          <cell r="Z744">
            <v>0</v>
          </cell>
          <cell r="AB744">
            <v>0</v>
          </cell>
          <cell r="AD744">
            <v>0</v>
          </cell>
          <cell r="AF744">
            <v>0</v>
          </cell>
        </row>
        <row r="745">
          <cell r="A745">
            <v>744</v>
          </cell>
          <cell r="C745" t="e">
            <v>#N/A</v>
          </cell>
          <cell r="D745" t="e">
            <v>#N/A</v>
          </cell>
          <cell r="E745" t="e">
            <v>#N/A</v>
          </cell>
          <cell r="F745" t="e">
            <v>#N/A</v>
          </cell>
          <cell r="G745" t="e">
            <v>#N/A</v>
          </cell>
          <cell r="O745" t="e">
            <v>#N/A</v>
          </cell>
          <cell r="S745">
            <v>0</v>
          </cell>
          <cell r="T745">
            <v>3138400</v>
          </cell>
          <cell r="V745">
            <v>0</v>
          </cell>
          <cell r="W745">
            <v>0</v>
          </cell>
          <cell r="X745">
            <v>0</v>
          </cell>
          <cell r="Z745">
            <v>0</v>
          </cell>
          <cell r="AB745">
            <v>0</v>
          </cell>
          <cell r="AD745">
            <v>0</v>
          </cell>
          <cell r="AF745">
            <v>0</v>
          </cell>
        </row>
        <row r="746">
          <cell r="A746">
            <v>745</v>
          </cell>
          <cell r="C746" t="e">
            <v>#N/A</v>
          </cell>
          <cell r="D746" t="e">
            <v>#N/A</v>
          </cell>
          <cell r="E746" t="e">
            <v>#N/A</v>
          </cell>
          <cell r="F746" t="e">
            <v>#N/A</v>
          </cell>
          <cell r="G746" t="e">
            <v>#N/A</v>
          </cell>
          <cell r="O746" t="e">
            <v>#N/A</v>
          </cell>
          <cell r="S746">
            <v>0</v>
          </cell>
          <cell r="T746">
            <v>3138400</v>
          </cell>
          <cell r="V746">
            <v>0</v>
          </cell>
          <cell r="W746">
            <v>0</v>
          </cell>
          <cell r="X746">
            <v>0</v>
          </cell>
          <cell r="Z746">
            <v>0</v>
          </cell>
          <cell r="AB746">
            <v>0</v>
          </cell>
          <cell r="AD746">
            <v>0</v>
          </cell>
          <cell r="AF746">
            <v>0</v>
          </cell>
        </row>
        <row r="747">
          <cell r="A747">
            <v>746</v>
          </cell>
          <cell r="C747" t="e">
            <v>#N/A</v>
          </cell>
          <cell r="D747" t="e">
            <v>#N/A</v>
          </cell>
          <cell r="E747" t="e">
            <v>#N/A</v>
          </cell>
          <cell r="F747" t="e">
            <v>#N/A</v>
          </cell>
          <cell r="G747" t="e">
            <v>#N/A</v>
          </cell>
          <cell r="O747" t="e">
            <v>#N/A</v>
          </cell>
          <cell r="S747">
            <v>0</v>
          </cell>
          <cell r="T747">
            <v>3138400</v>
          </cell>
          <cell r="U747" t="str">
            <v>ya</v>
          </cell>
          <cell r="V747" t="e">
            <v>#N/A</v>
          </cell>
          <cell r="W747" t="e">
            <v>#N/A</v>
          </cell>
          <cell r="X747" t="e">
            <v>#N/A</v>
          </cell>
          <cell r="Z747">
            <v>0</v>
          </cell>
          <cell r="AB747">
            <v>0</v>
          </cell>
          <cell r="AD747">
            <v>0</v>
          </cell>
          <cell r="AF747">
            <v>0</v>
          </cell>
        </row>
        <row r="748">
          <cell r="A748">
            <v>747</v>
          </cell>
          <cell r="C748" t="e">
            <v>#N/A</v>
          </cell>
          <cell r="D748" t="e">
            <v>#N/A</v>
          </cell>
          <cell r="E748" t="e">
            <v>#N/A</v>
          </cell>
          <cell r="F748" t="e">
            <v>#N/A</v>
          </cell>
          <cell r="G748" t="e">
            <v>#N/A</v>
          </cell>
          <cell r="O748" t="e">
            <v>#N/A</v>
          </cell>
          <cell r="S748">
            <v>0</v>
          </cell>
          <cell r="T748">
            <v>3138400</v>
          </cell>
          <cell r="U748" t="str">
            <v>ya</v>
          </cell>
          <cell r="V748" t="e">
            <v>#N/A</v>
          </cell>
          <cell r="W748" t="e">
            <v>#N/A</v>
          </cell>
          <cell r="X748" t="e">
            <v>#N/A</v>
          </cell>
          <cell r="Z748">
            <v>0</v>
          </cell>
          <cell r="AB748">
            <v>0</v>
          </cell>
          <cell r="AD748">
            <v>0</v>
          </cell>
          <cell r="AF748">
            <v>0</v>
          </cell>
        </row>
        <row r="749">
          <cell r="A749">
            <v>748</v>
          </cell>
          <cell r="C749" t="e">
            <v>#N/A</v>
          </cell>
          <cell r="D749" t="e">
            <v>#N/A</v>
          </cell>
          <cell r="E749" t="e">
            <v>#N/A</v>
          </cell>
          <cell r="F749" t="e">
            <v>#N/A</v>
          </cell>
          <cell r="G749" t="e">
            <v>#N/A</v>
          </cell>
          <cell r="O749" t="e">
            <v>#N/A</v>
          </cell>
          <cell r="S749">
            <v>0</v>
          </cell>
          <cell r="T749">
            <v>3138400</v>
          </cell>
          <cell r="U749" t="str">
            <v>ya</v>
          </cell>
          <cell r="V749" t="e">
            <v>#N/A</v>
          </cell>
          <cell r="W749" t="e">
            <v>#N/A</v>
          </cell>
          <cell r="X749" t="e">
            <v>#N/A</v>
          </cell>
          <cell r="Z749">
            <v>0</v>
          </cell>
          <cell r="AB749">
            <v>0</v>
          </cell>
          <cell r="AD749">
            <v>0</v>
          </cell>
          <cell r="AF749">
            <v>0</v>
          </cell>
        </row>
        <row r="750">
          <cell r="A750">
            <v>749</v>
          </cell>
          <cell r="C750" t="e">
            <v>#N/A</v>
          </cell>
          <cell r="D750" t="e">
            <v>#N/A</v>
          </cell>
          <cell r="E750" t="e">
            <v>#N/A</v>
          </cell>
          <cell r="F750" t="e">
            <v>#N/A</v>
          </cell>
          <cell r="G750" t="e">
            <v>#N/A</v>
          </cell>
          <cell r="O750" t="e">
            <v>#N/A</v>
          </cell>
          <cell r="S750">
            <v>0</v>
          </cell>
          <cell r="T750">
            <v>3138400</v>
          </cell>
          <cell r="U750" t="str">
            <v>ya</v>
          </cell>
          <cell r="V750" t="e">
            <v>#N/A</v>
          </cell>
          <cell r="W750" t="e">
            <v>#N/A</v>
          </cell>
          <cell r="X750" t="e">
            <v>#N/A</v>
          </cell>
          <cell r="Z750">
            <v>0</v>
          </cell>
          <cell r="AB750">
            <v>0</v>
          </cell>
          <cell r="AD750">
            <v>0</v>
          </cell>
          <cell r="AF750">
            <v>0</v>
          </cell>
        </row>
        <row r="751">
          <cell r="A751">
            <v>750</v>
          </cell>
          <cell r="C751" t="e">
            <v>#N/A</v>
          </cell>
          <cell r="D751" t="e">
            <v>#N/A</v>
          </cell>
          <cell r="E751" t="e">
            <v>#N/A</v>
          </cell>
          <cell r="F751" t="e">
            <v>#N/A</v>
          </cell>
          <cell r="G751" t="e">
            <v>#N/A</v>
          </cell>
          <cell r="O751" t="e">
            <v>#N/A</v>
          </cell>
          <cell r="S751">
            <v>0</v>
          </cell>
          <cell r="T751">
            <v>3138400</v>
          </cell>
          <cell r="U751" t="str">
            <v>ya</v>
          </cell>
          <cell r="V751" t="e">
            <v>#N/A</v>
          </cell>
          <cell r="W751" t="e">
            <v>#N/A</v>
          </cell>
          <cell r="X751" t="e">
            <v>#N/A</v>
          </cell>
          <cell r="Z751">
            <v>0</v>
          </cell>
          <cell r="AB751">
            <v>0</v>
          </cell>
          <cell r="AD751">
            <v>0</v>
          </cell>
          <cell r="AF751">
            <v>0</v>
          </cell>
        </row>
        <row r="752">
          <cell r="A752">
            <v>751</v>
          </cell>
          <cell r="C752" t="e">
            <v>#N/A</v>
          </cell>
          <cell r="D752" t="e">
            <v>#N/A</v>
          </cell>
          <cell r="E752" t="e">
            <v>#N/A</v>
          </cell>
          <cell r="F752" t="e">
            <v>#N/A</v>
          </cell>
          <cell r="G752" t="e">
            <v>#N/A</v>
          </cell>
          <cell r="O752" t="e">
            <v>#N/A</v>
          </cell>
          <cell r="S752">
            <v>0</v>
          </cell>
          <cell r="T752">
            <v>3138400</v>
          </cell>
          <cell r="V752">
            <v>0</v>
          </cell>
          <cell r="W752">
            <v>0</v>
          </cell>
          <cell r="X752">
            <v>0</v>
          </cell>
          <cell r="Z752">
            <v>0</v>
          </cell>
          <cell r="AB752">
            <v>0</v>
          </cell>
          <cell r="AD752">
            <v>0</v>
          </cell>
          <cell r="AF752">
            <v>0</v>
          </cell>
        </row>
        <row r="753">
          <cell r="A753">
            <v>752</v>
          </cell>
          <cell r="C753" t="e">
            <v>#N/A</v>
          </cell>
          <cell r="D753" t="e">
            <v>#N/A</v>
          </cell>
          <cell r="E753" t="e">
            <v>#N/A</v>
          </cell>
          <cell r="F753" t="e">
            <v>#N/A</v>
          </cell>
          <cell r="G753" t="e">
            <v>#N/A</v>
          </cell>
          <cell r="O753" t="e">
            <v>#N/A</v>
          </cell>
          <cell r="S753">
            <v>0</v>
          </cell>
          <cell r="T753">
            <v>3138400</v>
          </cell>
          <cell r="V753">
            <v>0</v>
          </cell>
          <cell r="W753">
            <v>0</v>
          </cell>
          <cell r="X753">
            <v>0</v>
          </cell>
          <cell r="Z753">
            <v>0</v>
          </cell>
          <cell r="AB753">
            <v>0</v>
          </cell>
          <cell r="AD753">
            <v>0</v>
          </cell>
          <cell r="AF753">
            <v>0</v>
          </cell>
        </row>
        <row r="754">
          <cell r="A754">
            <v>753</v>
          </cell>
          <cell r="C754" t="e">
            <v>#N/A</v>
          </cell>
          <cell r="D754" t="e">
            <v>#N/A</v>
          </cell>
          <cell r="E754" t="e">
            <v>#N/A</v>
          </cell>
          <cell r="F754" t="e">
            <v>#N/A</v>
          </cell>
          <cell r="G754" t="e">
            <v>#N/A</v>
          </cell>
          <cell r="O754" t="e">
            <v>#N/A</v>
          </cell>
          <cell r="S754">
            <v>0</v>
          </cell>
          <cell r="T754">
            <v>3138400</v>
          </cell>
          <cell r="V754">
            <v>0</v>
          </cell>
          <cell r="W754">
            <v>0</v>
          </cell>
          <cell r="X754">
            <v>0</v>
          </cell>
          <cell r="Z754">
            <v>0</v>
          </cell>
          <cell r="AB754">
            <v>0</v>
          </cell>
          <cell r="AD754">
            <v>0</v>
          </cell>
          <cell r="AF754">
            <v>0</v>
          </cell>
        </row>
        <row r="755">
          <cell r="A755">
            <v>754</v>
          </cell>
          <cell r="C755" t="e">
            <v>#N/A</v>
          </cell>
          <cell r="D755" t="e">
            <v>#N/A</v>
          </cell>
          <cell r="E755" t="e">
            <v>#N/A</v>
          </cell>
          <cell r="F755" t="e">
            <v>#N/A</v>
          </cell>
          <cell r="G755" t="e">
            <v>#N/A</v>
          </cell>
          <cell r="O755" t="e">
            <v>#N/A</v>
          </cell>
          <cell r="S755">
            <v>0</v>
          </cell>
          <cell r="T755">
            <v>3138400</v>
          </cell>
          <cell r="V755">
            <v>0</v>
          </cell>
          <cell r="W755">
            <v>0</v>
          </cell>
          <cell r="X755">
            <v>0</v>
          </cell>
          <cell r="Z755">
            <v>0</v>
          </cell>
          <cell r="AB755">
            <v>0</v>
          </cell>
          <cell r="AD755">
            <v>0</v>
          </cell>
          <cell r="AF755">
            <v>0</v>
          </cell>
        </row>
        <row r="756">
          <cell r="A756">
            <v>755</v>
          </cell>
          <cell r="C756" t="e">
            <v>#N/A</v>
          </cell>
          <cell r="D756" t="e">
            <v>#N/A</v>
          </cell>
          <cell r="E756" t="e">
            <v>#N/A</v>
          </cell>
          <cell r="F756" t="e">
            <v>#N/A</v>
          </cell>
          <cell r="G756" t="e">
            <v>#N/A</v>
          </cell>
          <cell r="O756" t="e">
            <v>#N/A</v>
          </cell>
          <cell r="S756">
            <v>0</v>
          </cell>
          <cell r="T756">
            <v>3138400</v>
          </cell>
          <cell r="V756">
            <v>0</v>
          </cell>
          <cell r="W756">
            <v>0</v>
          </cell>
          <cell r="X756">
            <v>0</v>
          </cell>
          <cell r="Z756">
            <v>0</v>
          </cell>
          <cell r="AB756">
            <v>0</v>
          </cell>
          <cell r="AD756">
            <v>0</v>
          </cell>
          <cell r="AF756">
            <v>0</v>
          </cell>
        </row>
        <row r="757">
          <cell r="A757">
            <v>756</v>
          </cell>
          <cell r="C757" t="e">
            <v>#N/A</v>
          </cell>
          <cell r="D757" t="e">
            <v>#N/A</v>
          </cell>
          <cell r="E757" t="e">
            <v>#N/A</v>
          </cell>
          <cell r="F757" t="e">
            <v>#N/A</v>
          </cell>
          <cell r="G757" t="e">
            <v>#N/A</v>
          </cell>
          <cell r="O757" t="e">
            <v>#N/A</v>
          </cell>
          <cell r="S757">
            <v>0</v>
          </cell>
          <cell r="T757">
            <v>3138400</v>
          </cell>
          <cell r="V757">
            <v>0</v>
          </cell>
          <cell r="W757">
            <v>0</v>
          </cell>
          <cell r="X757">
            <v>0</v>
          </cell>
          <cell r="Z757">
            <v>0</v>
          </cell>
          <cell r="AB757">
            <v>0</v>
          </cell>
          <cell r="AD757">
            <v>0</v>
          </cell>
          <cell r="AF757">
            <v>0</v>
          </cell>
        </row>
        <row r="758">
          <cell r="A758">
            <v>757</v>
          </cell>
          <cell r="C758" t="e">
            <v>#N/A</v>
          </cell>
          <cell r="D758" t="e">
            <v>#N/A</v>
          </cell>
          <cell r="E758" t="e">
            <v>#N/A</v>
          </cell>
          <cell r="F758" t="e">
            <v>#N/A</v>
          </cell>
          <cell r="G758" t="e">
            <v>#N/A</v>
          </cell>
          <cell r="O758" t="e">
            <v>#N/A</v>
          </cell>
          <cell r="S758">
            <v>0</v>
          </cell>
          <cell r="T758">
            <v>3138400</v>
          </cell>
          <cell r="V758">
            <v>0</v>
          </cell>
          <cell r="W758">
            <v>0</v>
          </cell>
          <cell r="X758">
            <v>0</v>
          </cell>
          <cell r="Z758">
            <v>0</v>
          </cell>
          <cell r="AB758">
            <v>0</v>
          </cell>
          <cell r="AD758">
            <v>0</v>
          </cell>
          <cell r="AF758">
            <v>0</v>
          </cell>
        </row>
        <row r="759">
          <cell r="A759">
            <v>758</v>
          </cell>
          <cell r="C759" t="e">
            <v>#N/A</v>
          </cell>
          <cell r="D759" t="e">
            <v>#N/A</v>
          </cell>
          <cell r="E759" t="e">
            <v>#N/A</v>
          </cell>
          <cell r="F759" t="e">
            <v>#N/A</v>
          </cell>
          <cell r="G759" t="e">
            <v>#N/A</v>
          </cell>
          <cell r="O759" t="e">
            <v>#N/A</v>
          </cell>
          <cell r="S759">
            <v>0</v>
          </cell>
          <cell r="T759">
            <v>3138400</v>
          </cell>
          <cell r="U759" t="str">
            <v>ya</v>
          </cell>
          <cell r="V759" t="e">
            <v>#N/A</v>
          </cell>
          <cell r="W759" t="e">
            <v>#N/A</v>
          </cell>
          <cell r="X759" t="e">
            <v>#N/A</v>
          </cell>
          <cell r="Z759">
            <v>0</v>
          </cell>
          <cell r="AB759">
            <v>0</v>
          </cell>
          <cell r="AD759">
            <v>0</v>
          </cell>
          <cell r="AF759">
            <v>0</v>
          </cell>
        </row>
        <row r="760">
          <cell r="A760">
            <v>759</v>
          </cell>
          <cell r="C760" t="e">
            <v>#N/A</v>
          </cell>
          <cell r="D760" t="e">
            <v>#N/A</v>
          </cell>
          <cell r="E760" t="e">
            <v>#N/A</v>
          </cell>
          <cell r="F760" t="e">
            <v>#N/A</v>
          </cell>
          <cell r="G760" t="e">
            <v>#N/A</v>
          </cell>
          <cell r="O760" t="e">
            <v>#N/A</v>
          </cell>
          <cell r="S760">
            <v>0</v>
          </cell>
          <cell r="T760">
            <v>3138400</v>
          </cell>
          <cell r="U760" t="str">
            <v>ya</v>
          </cell>
          <cell r="V760" t="e">
            <v>#N/A</v>
          </cell>
          <cell r="W760" t="e">
            <v>#N/A</v>
          </cell>
          <cell r="X760" t="e">
            <v>#N/A</v>
          </cell>
          <cell r="Z760">
            <v>0</v>
          </cell>
          <cell r="AB760">
            <v>0</v>
          </cell>
          <cell r="AD760">
            <v>0</v>
          </cell>
          <cell r="AF760">
            <v>0</v>
          </cell>
        </row>
        <row r="761">
          <cell r="A761">
            <v>760</v>
          </cell>
          <cell r="C761" t="e">
            <v>#N/A</v>
          </cell>
          <cell r="D761" t="e">
            <v>#N/A</v>
          </cell>
          <cell r="E761" t="e">
            <v>#N/A</v>
          </cell>
          <cell r="F761" t="e">
            <v>#N/A</v>
          </cell>
          <cell r="G761" t="e">
            <v>#N/A</v>
          </cell>
          <cell r="O761" t="e">
            <v>#N/A</v>
          </cell>
          <cell r="S761">
            <v>0</v>
          </cell>
          <cell r="T761">
            <v>3138400</v>
          </cell>
          <cell r="U761" t="str">
            <v>ya</v>
          </cell>
          <cell r="V761" t="e">
            <v>#N/A</v>
          </cell>
          <cell r="W761" t="e">
            <v>#N/A</v>
          </cell>
          <cell r="X761" t="e">
            <v>#N/A</v>
          </cell>
          <cell r="Z761">
            <v>0</v>
          </cell>
          <cell r="AB761">
            <v>0</v>
          </cell>
          <cell r="AD761">
            <v>0</v>
          </cell>
          <cell r="AF761">
            <v>0</v>
          </cell>
        </row>
        <row r="762">
          <cell r="A762">
            <v>761</v>
          </cell>
          <cell r="C762" t="e">
            <v>#N/A</v>
          </cell>
          <cell r="D762" t="e">
            <v>#N/A</v>
          </cell>
          <cell r="E762" t="e">
            <v>#N/A</v>
          </cell>
          <cell r="F762" t="e">
            <v>#N/A</v>
          </cell>
          <cell r="G762" t="e">
            <v>#N/A</v>
          </cell>
          <cell r="O762" t="e">
            <v>#N/A</v>
          </cell>
          <cell r="S762">
            <v>0</v>
          </cell>
          <cell r="T762">
            <v>3138400</v>
          </cell>
          <cell r="U762" t="str">
            <v>ya</v>
          </cell>
          <cell r="V762" t="e">
            <v>#N/A</v>
          </cell>
          <cell r="W762" t="e">
            <v>#N/A</v>
          </cell>
          <cell r="X762" t="e">
            <v>#N/A</v>
          </cell>
          <cell r="Z762">
            <v>0</v>
          </cell>
          <cell r="AB762">
            <v>0</v>
          </cell>
          <cell r="AD762">
            <v>0</v>
          </cell>
          <cell r="AF762">
            <v>0</v>
          </cell>
        </row>
        <row r="763">
          <cell r="A763">
            <v>762</v>
          </cell>
          <cell r="C763" t="e">
            <v>#N/A</v>
          </cell>
          <cell r="D763" t="e">
            <v>#N/A</v>
          </cell>
          <cell r="E763" t="e">
            <v>#N/A</v>
          </cell>
          <cell r="F763" t="e">
            <v>#N/A</v>
          </cell>
          <cell r="G763" t="e">
            <v>#N/A</v>
          </cell>
          <cell r="O763" t="e">
            <v>#N/A</v>
          </cell>
          <cell r="S763">
            <v>0</v>
          </cell>
          <cell r="T763">
            <v>3138400</v>
          </cell>
          <cell r="V763">
            <v>0</v>
          </cell>
          <cell r="W763">
            <v>0</v>
          </cell>
          <cell r="X763">
            <v>0</v>
          </cell>
          <cell r="Z763">
            <v>0</v>
          </cell>
          <cell r="AB763">
            <v>0</v>
          </cell>
          <cell r="AD763">
            <v>0</v>
          </cell>
          <cell r="AF763">
            <v>0</v>
          </cell>
        </row>
        <row r="764">
          <cell r="A764">
            <v>763</v>
          </cell>
          <cell r="C764" t="e">
            <v>#N/A</v>
          </cell>
          <cell r="D764" t="e">
            <v>#N/A</v>
          </cell>
          <cell r="E764" t="e">
            <v>#N/A</v>
          </cell>
          <cell r="F764" t="e">
            <v>#N/A</v>
          </cell>
          <cell r="G764" t="e">
            <v>#N/A</v>
          </cell>
          <cell r="O764" t="e">
            <v>#N/A</v>
          </cell>
          <cell r="S764">
            <v>0</v>
          </cell>
          <cell r="T764">
            <v>3138400</v>
          </cell>
          <cell r="U764" t="str">
            <v>ya</v>
          </cell>
          <cell r="V764" t="e">
            <v>#N/A</v>
          </cell>
          <cell r="W764" t="e">
            <v>#N/A</v>
          </cell>
          <cell r="X764" t="e">
            <v>#N/A</v>
          </cell>
          <cell r="Z764">
            <v>0</v>
          </cell>
          <cell r="AB764">
            <v>0</v>
          </cell>
          <cell r="AD764">
            <v>0</v>
          </cell>
          <cell r="AF764">
            <v>0</v>
          </cell>
        </row>
        <row r="765">
          <cell r="A765">
            <v>764</v>
          </cell>
          <cell r="C765" t="e">
            <v>#N/A</v>
          </cell>
          <cell r="D765" t="e">
            <v>#N/A</v>
          </cell>
          <cell r="E765" t="e">
            <v>#N/A</v>
          </cell>
          <cell r="F765" t="e">
            <v>#N/A</v>
          </cell>
          <cell r="G765" t="e">
            <v>#N/A</v>
          </cell>
          <cell r="O765" t="e">
            <v>#N/A</v>
          </cell>
          <cell r="S765">
            <v>0</v>
          </cell>
          <cell r="T765">
            <v>3138400</v>
          </cell>
          <cell r="U765" t="str">
            <v>ya</v>
          </cell>
          <cell r="V765" t="e">
            <v>#N/A</v>
          </cell>
          <cell r="W765" t="e">
            <v>#N/A</v>
          </cell>
          <cell r="X765" t="e">
            <v>#N/A</v>
          </cell>
          <cell r="Z765">
            <v>0</v>
          </cell>
          <cell r="AB765">
            <v>0</v>
          </cell>
          <cell r="AD765">
            <v>0</v>
          </cell>
          <cell r="AF765">
            <v>0</v>
          </cell>
        </row>
        <row r="766">
          <cell r="A766">
            <v>765</v>
          </cell>
          <cell r="C766" t="e">
            <v>#N/A</v>
          </cell>
          <cell r="D766" t="e">
            <v>#N/A</v>
          </cell>
          <cell r="E766" t="e">
            <v>#N/A</v>
          </cell>
          <cell r="F766" t="e">
            <v>#N/A</v>
          </cell>
          <cell r="G766" t="e">
            <v>#N/A</v>
          </cell>
          <cell r="O766" t="e">
            <v>#N/A</v>
          </cell>
          <cell r="S766">
            <v>150000</v>
          </cell>
          <cell r="T766">
            <v>3138400</v>
          </cell>
          <cell r="V766">
            <v>0</v>
          </cell>
          <cell r="W766">
            <v>0</v>
          </cell>
          <cell r="X766">
            <v>0</v>
          </cell>
          <cell r="Z766">
            <v>0</v>
          </cell>
          <cell r="AB766">
            <v>0</v>
          </cell>
          <cell r="AD766">
            <v>0</v>
          </cell>
          <cell r="AF766">
            <v>0</v>
          </cell>
        </row>
        <row r="767">
          <cell r="A767">
            <v>766</v>
          </cell>
          <cell r="C767" t="e">
            <v>#N/A</v>
          </cell>
          <cell r="D767" t="e">
            <v>#N/A</v>
          </cell>
          <cell r="E767" t="e">
            <v>#N/A</v>
          </cell>
          <cell r="F767" t="e">
            <v>#N/A</v>
          </cell>
          <cell r="G767" t="e">
            <v>#N/A</v>
          </cell>
          <cell r="O767" t="e">
            <v>#N/A</v>
          </cell>
          <cell r="S767">
            <v>150000</v>
          </cell>
          <cell r="T767">
            <v>3138400</v>
          </cell>
          <cell r="V767">
            <v>0</v>
          </cell>
          <cell r="W767">
            <v>0</v>
          </cell>
          <cell r="X767">
            <v>0</v>
          </cell>
          <cell r="Z767">
            <v>0</v>
          </cell>
          <cell r="AB767">
            <v>0</v>
          </cell>
          <cell r="AD767">
            <v>0</v>
          </cell>
          <cell r="AF767">
            <v>0</v>
          </cell>
        </row>
        <row r="768">
          <cell r="A768">
            <v>767</v>
          </cell>
          <cell r="C768" t="e">
            <v>#N/A</v>
          </cell>
          <cell r="D768" t="e">
            <v>#N/A</v>
          </cell>
          <cell r="E768" t="e">
            <v>#N/A</v>
          </cell>
          <cell r="F768" t="e">
            <v>#N/A</v>
          </cell>
          <cell r="G768" t="e">
            <v>#N/A</v>
          </cell>
          <cell r="O768" t="e">
            <v>#N/A</v>
          </cell>
          <cell r="S768">
            <v>150000</v>
          </cell>
          <cell r="T768">
            <v>3138400</v>
          </cell>
          <cell r="V768">
            <v>0</v>
          </cell>
          <cell r="W768">
            <v>0</v>
          </cell>
          <cell r="X768">
            <v>0</v>
          </cell>
          <cell r="Z768">
            <v>0</v>
          </cell>
          <cell r="AB768">
            <v>0</v>
          </cell>
          <cell r="AD768">
            <v>0</v>
          </cell>
          <cell r="AF768">
            <v>0</v>
          </cell>
        </row>
        <row r="769">
          <cell r="A769">
            <v>768</v>
          </cell>
          <cell r="C769" t="e">
            <v>#N/A</v>
          </cell>
          <cell r="D769" t="e">
            <v>#N/A</v>
          </cell>
          <cell r="E769" t="e">
            <v>#N/A</v>
          </cell>
          <cell r="F769" t="e">
            <v>#N/A</v>
          </cell>
          <cell r="G769" t="e">
            <v>#N/A</v>
          </cell>
          <cell r="O769" t="e">
            <v>#N/A</v>
          </cell>
          <cell r="S769">
            <v>150000</v>
          </cell>
          <cell r="T769">
            <v>3138400</v>
          </cell>
          <cell r="V769">
            <v>0</v>
          </cell>
          <cell r="W769">
            <v>0</v>
          </cell>
          <cell r="X769">
            <v>0</v>
          </cell>
          <cell r="Z769">
            <v>0</v>
          </cell>
          <cell r="AB769">
            <v>0</v>
          </cell>
          <cell r="AD769">
            <v>0</v>
          </cell>
          <cell r="AF769">
            <v>0</v>
          </cell>
        </row>
        <row r="770">
          <cell r="A770">
            <v>769</v>
          </cell>
          <cell r="C770" t="e">
            <v>#N/A</v>
          </cell>
          <cell r="D770" t="e">
            <v>#N/A</v>
          </cell>
          <cell r="E770" t="e">
            <v>#N/A</v>
          </cell>
          <cell r="F770" t="e">
            <v>#N/A</v>
          </cell>
          <cell r="G770" t="e">
            <v>#N/A</v>
          </cell>
          <cell r="O770" t="e">
            <v>#N/A</v>
          </cell>
          <cell r="S770">
            <v>150000</v>
          </cell>
          <cell r="T770">
            <v>3138400</v>
          </cell>
          <cell r="V770">
            <v>0</v>
          </cell>
          <cell r="W770">
            <v>0</v>
          </cell>
          <cell r="X770">
            <v>0</v>
          </cell>
          <cell r="Z770">
            <v>0</v>
          </cell>
          <cell r="AB770">
            <v>0</v>
          </cell>
          <cell r="AD770">
            <v>0</v>
          </cell>
          <cell r="AF770">
            <v>0</v>
          </cell>
        </row>
        <row r="771">
          <cell r="A771">
            <v>770</v>
          </cell>
          <cell r="C771" t="e">
            <v>#N/A</v>
          </cell>
          <cell r="D771" t="e">
            <v>#N/A</v>
          </cell>
          <cell r="E771" t="e">
            <v>#N/A</v>
          </cell>
          <cell r="F771" t="e">
            <v>#N/A</v>
          </cell>
          <cell r="G771" t="e">
            <v>#N/A</v>
          </cell>
          <cell r="O771" t="e">
            <v>#N/A</v>
          </cell>
          <cell r="S771">
            <v>0</v>
          </cell>
          <cell r="T771">
            <v>3138400</v>
          </cell>
          <cell r="V771">
            <v>0</v>
          </cell>
          <cell r="W771">
            <v>0</v>
          </cell>
          <cell r="X771">
            <v>0</v>
          </cell>
          <cell r="Z771">
            <v>0</v>
          </cell>
          <cell r="AB771">
            <v>0</v>
          </cell>
          <cell r="AD771">
            <v>0</v>
          </cell>
          <cell r="AF771">
            <v>0</v>
          </cell>
        </row>
        <row r="772">
          <cell r="A772">
            <v>771</v>
          </cell>
          <cell r="C772" t="e">
            <v>#N/A</v>
          </cell>
          <cell r="D772" t="e">
            <v>#N/A</v>
          </cell>
          <cell r="E772" t="e">
            <v>#N/A</v>
          </cell>
          <cell r="F772" t="e">
            <v>#N/A</v>
          </cell>
          <cell r="G772" t="e">
            <v>#N/A</v>
          </cell>
          <cell r="O772" t="e">
            <v>#N/A</v>
          </cell>
          <cell r="S772">
            <v>0</v>
          </cell>
          <cell r="T772">
            <v>3138400</v>
          </cell>
          <cell r="V772">
            <v>0</v>
          </cell>
          <cell r="W772">
            <v>0</v>
          </cell>
          <cell r="X772">
            <v>0</v>
          </cell>
          <cell r="Z772">
            <v>0</v>
          </cell>
          <cell r="AB772">
            <v>0</v>
          </cell>
          <cell r="AD772">
            <v>0</v>
          </cell>
          <cell r="AF772">
            <v>0</v>
          </cell>
        </row>
        <row r="773">
          <cell r="A773">
            <v>772</v>
          </cell>
          <cell r="C773" t="e">
            <v>#N/A</v>
          </cell>
          <cell r="D773" t="e">
            <v>#N/A</v>
          </cell>
          <cell r="E773" t="e">
            <v>#N/A</v>
          </cell>
          <cell r="F773" t="e">
            <v>#N/A</v>
          </cell>
          <cell r="G773" t="e">
            <v>#N/A</v>
          </cell>
          <cell r="O773" t="e">
            <v>#N/A</v>
          </cell>
          <cell r="S773">
            <v>0</v>
          </cell>
          <cell r="T773">
            <v>3138400</v>
          </cell>
          <cell r="V773">
            <v>0</v>
          </cell>
          <cell r="W773">
            <v>0</v>
          </cell>
          <cell r="X773">
            <v>0</v>
          </cell>
          <cell r="Z773">
            <v>0</v>
          </cell>
          <cell r="AB773">
            <v>0</v>
          </cell>
          <cell r="AD773">
            <v>0</v>
          </cell>
          <cell r="AF773">
            <v>0</v>
          </cell>
        </row>
        <row r="774">
          <cell r="A774">
            <v>773</v>
          </cell>
          <cell r="C774" t="e">
            <v>#N/A</v>
          </cell>
          <cell r="D774" t="e">
            <v>#N/A</v>
          </cell>
          <cell r="E774" t="e">
            <v>#N/A</v>
          </cell>
          <cell r="F774" t="e">
            <v>#N/A</v>
          </cell>
          <cell r="G774" t="e">
            <v>#N/A</v>
          </cell>
          <cell r="O774" t="e">
            <v>#N/A</v>
          </cell>
          <cell r="S774">
            <v>0</v>
          </cell>
          <cell r="T774">
            <v>3138400</v>
          </cell>
          <cell r="V774">
            <v>0</v>
          </cell>
          <cell r="W774">
            <v>0</v>
          </cell>
          <cell r="X774">
            <v>0</v>
          </cell>
          <cell r="Z774">
            <v>0</v>
          </cell>
          <cell r="AB774">
            <v>0</v>
          </cell>
          <cell r="AD774">
            <v>0</v>
          </cell>
          <cell r="AF774">
            <v>0</v>
          </cell>
        </row>
        <row r="775">
          <cell r="A775">
            <v>774</v>
          </cell>
          <cell r="C775" t="e">
            <v>#N/A</v>
          </cell>
          <cell r="D775" t="e">
            <v>#N/A</v>
          </cell>
          <cell r="E775" t="e">
            <v>#N/A</v>
          </cell>
          <cell r="F775" t="e">
            <v>#N/A</v>
          </cell>
          <cell r="G775" t="e">
            <v>#N/A</v>
          </cell>
          <cell r="O775" t="e">
            <v>#N/A</v>
          </cell>
          <cell r="S775">
            <v>0</v>
          </cell>
          <cell r="T775">
            <v>3138400</v>
          </cell>
          <cell r="V775">
            <v>0</v>
          </cell>
          <cell r="W775">
            <v>0</v>
          </cell>
          <cell r="X775">
            <v>0</v>
          </cell>
          <cell r="Z775">
            <v>0</v>
          </cell>
          <cell r="AB775">
            <v>0</v>
          </cell>
          <cell r="AD775">
            <v>0</v>
          </cell>
          <cell r="AF775">
            <v>0</v>
          </cell>
        </row>
        <row r="776">
          <cell r="A776">
            <v>775</v>
          </cell>
          <cell r="C776" t="e">
            <v>#N/A</v>
          </cell>
          <cell r="D776" t="e">
            <v>#N/A</v>
          </cell>
          <cell r="E776" t="e">
            <v>#N/A</v>
          </cell>
          <cell r="F776" t="e">
            <v>#N/A</v>
          </cell>
          <cell r="G776" t="e">
            <v>#N/A</v>
          </cell>
          <cell r="O776" t="e">
            <v>#N/A</v>
          </cell>
          <cell r="S776">
            <v>0</v>
          </cell>
          <cell r="T776">
            <v>3138400</v>
          </cell>
          <cell r="V776">
            <v>0</v>
          </cell>
          <cell r="W776">
            <v>0</v>
          </cell>
          <cell r="X776">
            <v>0</v>
          </cell>
          <cell r="Z776">
            <v>0</v>
          </cell>
          <cell r="AB776">
            <v>0</v>
          </cell>
          <cell r="AD776">
            <v>0</v>
          </cell>
          <cell r="AF776">
            <v>0</v>
          </cell>
        </row>
        <row r="777">
          <cell r="A777">
            <v>776</v>
          </cell>
          <cell r="C777" t="e">
            <v>#N/A</v>
          </cell>
          <cell r="D777" t="e">
            <v>#N/A</v>
          </cell>
          <cell r="E777" t="e">
            <v>#N/A</v>
          </cell>
          <cell r="F777" t="e">
            <v>#N/A</v>
          </cell>
          <cell r="G777" t="e">
            <v>#N/A</v>
          </cell>
          <cell r="O777" t="e">
            <v>#N/A</v>
          </cell>
          <cell r="S777">
            <v>0</v>
          </cell>
          <cell r="T777">
            <v>3138400</v>
          </cell>
          <cell r="V777">
            <v>0</v>
          </cell>
          <cell r="W777">
            <v>0</v>
          </cell>
          <cell r="X777">
            <v>0</v>
          </cell>
          <cell r="Z777">
            <v>0</v>
          </cell>
          <cell r="AB777">
            <v>0</v>
          </cell>
          <cell r="AD777">
            <v>0</v>
          </cell>
          <cell r="AF777">
            <v>0</v>
          </cell>
        </row>
        <row r="778">
          <cell r="A778">
            <v>777</v>
          </cell>
          <cell r="C778" t="e">
            <v>#N/A</v>
          </cell>
          <cell r="D778" t="e">
            <v>#N/A</v>
          </cell>
          <cell r="E778" t="e">
            <v>#N/A</v>
          </cell>
          <cell r="F778" t="e">
            <v>#N/A</v>
          </cell>
          <cell r="G778" t="e">
            <v>#N/A</v>
          </cell>
          <cell r="O778" t="e">
            <v>#N/A</v>
          </cell>
          <cell r="S778">
            <v>0</v>
          </cell>
          <cell r="T778">
            <v>3138400</v>
          </cell>
          <cell r="V778">
            <v>0</v>
          </cell>
          <cell r="W778">
            <v>0</v>
          </cell>
          <cell r="X778">
            <v>0</v>
          </cell>
          <cell r="Z778">
            <v>0</v>
          </cell>
          <cell r="AB778">
            <v>0</v>
          </cell>
          <cell r="AD778">
            <v>0</v>
          </cell>
          <cell r="AF778">
            <v>0</v>
          </cell>
        </row>
        <row r="779">
          <cell r="A779">
            <v>778</v>
          </cell>
          <cell r="C779" t="e">
            <v>#N/A</v>
          </cell>
          <cell r="D779" t="e">
            <v>#N/A</v>
          </cell>
          <cell r="E779" t="e">
            <v>#N/A</v>
          </cell>
          <cell r="F779" t="e">
            <v>#N/A</v>
          </cell>
          <cell r="G779" t="e">
            <v>#N/A</v>
          </cell>
          <cell r="O779" t="e">
            <v>#N/A</v>
          </cell>
          <cell r="S779">
            <v>0</v>
          </cell>
          <cell r="T779">
            <v>3138400</v>
          </cell>
          <cell r="V779">
            <v>0</v>
          </cell>
          <cell r="W779">
            <v>0</v>
          </cell>
          <cell r="X779">
            <v>0</v>
          </cell>
          <cell r="Z779">
            <v>0</v>
          </cell>
          <cell r="AB779">
            <v>0</v>
          </cell>
          <cell r="AD779">
            <v>0</v>
          </cell>
          <cell r="AF779">
            <v>0</v>
          </cell>
        </row>
        <row r="780">
          <cell r="A780">
            <v>779</v>
          </cell>
          <cell r="C780" t="e">
            <v>#N/A</v>
          </cell>
          <cell r="D780" t="e">
            <v>#N/A</v>
          </cell>
          <cell r="E780" t="e">
            <v>#N/A</v>
          </cell>
          <cell r="F780" t="e">
            <v>#N/A</v>
          </cell>
          <cell r="G780" t="e">
            <v>#N/A</v>
          </cell>
          <cell r="O780" t="e">
            <v>#N/A</v>
          </cell>
          <cell r="S780">
            <v>0</v>
          </cell>
          <cell r="T780">
            <v>3138400</v>
          </cell>
          <cell r="V780">
            <v>0</v>
          </cell>
          <cell r="W780">
            <v>0</v>
          </cell>
          <cell r="X780">
            <v>0</v>
          </cell>
          <cell r="Z780">
            <v>0</v>
          </cell>
          <cell r="AB780">
            <v>0</v>
          </cell>
          <cell r="AD780">
            <v>0</v>
          </cell>
          <cell r="AF780">
            <v>0</v>
          </cell>
        </row>
        <row r="781">
          <cell r="A781">
            <v>780</v>
          </cell>
          <cell r="C781" t="e">
            <v>#N/A</v>
          </cell>
          <cell r="D781" t="e">
            <v>#N/A</v>
          </cell>
          <cell r="E781" t="e">
            <v>#N/A</v>
          </cell>
          <cell r="F781" t="e">
            <v>#N/A</v>
          </cell>
          <cell r="G781" t="e">
            <v>#N/A</v>
          </cell>
          <cell r="O781" t="e">
            <v>#N/A</v>
          </cell>
          <cell r="S781">
            <v>0</v>
          </cell>
          <cell r="T781">
            <v>3138400</v>
          </cell>
          <cell r="V781">
            <v>0</v>
          </cell>
          <cell r="W781">
            <v>0</v>
          </cell>
          <cell r="X781">
            <v>0</v>
          </cell>
          <cell r="Z781">
            <v>0</v>
          </cell>
          <cell r="AB781">
            <v>0</v>
          </cell>
          <cell r="AD781">
            <v>0</v>
          </cell>
          <cell r="AF781">
            <v>0</v>
          </cell>
        </row>
        <row r="782">
          <cell r="A782">
            <v>781</v>
          </cell>
          <cell r="C782" t="e">
            <v>#N/A</v>
          </cell>
          <cell r="D782" t="e">
            <v>#N/A</v>
          </cell>
          <cell r="E782" t="e">
            <v>#N/A</v>
          </cell>
          <cell r="F782" t="e">
            <v>#N/A</v>
          </cell>
          <cell r="G782" t="e">
            <v>#N/A</v>
          </cell>
          <cell r="O782" t="e">
            <v>#N/A</v>
          </cell>
          <cell r="S782">
            <v>0</v>
          </cell>
          <cell r="T782">
            <v>3138400</v>
          </cell>
          <cell r="V782">
            <v>0</v>
          </cell>
          <cell r="W782">
            <v>0</v>
          </cell>
          <cell r="X782">
            <v>0</v>
          </cell>
          <cell r="Z782">
            <v>0</v>
          </cell>
          <cell r="AB782">
            <v>0</v>
          </cell>
          <cell r="AD782">
            <v>0</v>
          </cell>
          <cell r="AF782">
            <v>0</v>
          </cell>
        </row>
        <row r="783">
          <cell r="A783">
            <v>782</v>
          </cell>
          <cell r="C783" t="e">
            <v>#N/A</v>
          </cell>
          <cell r="D783" t="e">
            <v>#N/A</v>
          </cell>
          <cell r="E783" t="e">
            <v>#N/A</v>
          </cell>
          <cell r="F783" t="e">
            <v>#N/A</v>
          </cell>
          <cell r="G783" t="e">
            <v>#N/A</v>
          </cell>
          <cell r="O783" t="e">
            <v>#N/A</v>
          </cell>
          <cell r="S783">
            <v>0</v>
          </cell>
          <cell r="T783">
            <v>3138400</v>
          </cell>
          <cell r="V783">
            <v>0</v>
          </cell>
          <cell r="W783">
            <v>0</v>
          </cell>
          <cell r="X783">
            <v>0</v>
          </cell>
          <cell r="Z783">
            <v>0</v>
          </cell>
          <cell r="AB783">
            <v>0</v>
          </cell>
          <cell r="AD783">
            <v>0</v>
          </cell>
          <cell r="AF783">
            <v>0</v>
          </cell>
        </row>
        <row r="784">
          <cell r="A784">
            <v>783</v>
          </cell>
          <cell r="C784" t="e">
            <v>#N/A</v>
          </cell>
          <cell r="D784" t="e">
            <v>#N/A</v>
          </cell>
          <cell r="E784" t="e">
            <v>#N/A</v>
          </cell>
          <cell r="F784" t="e">
            <v>#N/A</v>
          </cell>
          <cell r="G784" t="e">
            <v>#N/A</v>
          </cell>
          <cell r="O784" t="e">
            <v>#N/A</v>
          </cell>
          <cell r="S784">
            <v>0</v>
          </cell>
          <cell r="T784">
            <v>3138400</v>
          </cell>
          <cell r="V784">
            <v>0</v>
          </cell>
          <cell r="W784">
            <v>0</v>
          </cell>
          <cell r="X784">
            <v>0</v>
          </cell>
          <cell r="Z784">
            <v>0</v>
          </cell>
          <cell r="AB784">
            <v>0</v>
          </cell>
          <cell r="AD784">
            <v>0</v>
          </cell>
          <cell r="AF784">
            <v>0</v>
          </cell>
        </row>
        <row r="785">
          <cell r="A785">
            <v>784</v>
          </cell>
          <cell r="C785" t="e">
            <v>#N/A</v>
          </cell>
          <cell r="D785" t="e">
            <v>#N/A</v>
          </cell>
          <cell r="E785" t="e">
            <v>#N/A</v>
          </cell>
          <cell r="F785" t="e">
            <v>#N/A</v>
          </cell>
          <cell r="G785" t="e">
            <v>#N/A</v>
          </cell>
          <cell r="O785" t="e">
            <v>#N/A</v>
          </cell>
          <cell r="S785">
            <v>0</v>
          </cell>
          <cell r="T785">
            <v>3138400</v>
          </cell>
          <cell r="V785">
            <v>0</v>
          </cell>
          <cell r="W785">
            <v>0</v>
          </cell>
          <cell r="X785">
            <v>0</v>
          </cell>
          <cell r="Z785">
            <v>0</v>
          </cell>
          <cell r="AB785">
            <v>0</v>
          </cell>
          <cell r="AD785">
            <v>0</v>
          </cell>
          <cell r="AF785">
            <v>0</v>
          </cell>
        </row>
        <row r="786">
          <cell r="A786">
            <v>785</v>
          </cell>
          <cell r="C786" t="e">
            <v>#N/A</v>
          </cell>
          <cell r="D786" t="e">
            <v>#N/A</v>
          </cell>
          <cell r="E786" t="e">
            <v>#N/A</v>
          </cell>
          <cell r="F786" t="e">
            <v>#N/A</v>
          </cell>
          <cell r="G786" t="e">
            <v>#N/A</v>
          </cell>
          <cell r="O786" t="e">
            <v>#N/A</v>
          </cell>
          <cell r="S786">
            <v>0</v>
          </cell>
          <cell r="T786">
            <v>3138400</v>
          </cell>
          <cell r="V786">
            <v>0</v>
          </cell>
          <cell r="W786">
            <v>0</v>
          </cell>
          <cell r="X786">
            <v>0</v>
          </cell>
          <cell r="Z786">
            <v>0</v>
          </cell>
          <cell r="AB786">
            <v>0</v>
          </cell>
          <cell r="AD786">
            <v>0</v>
          </cell>
          <cell r="AF786">
            <v>0</v>
          </cell>
        </row>
        <row r="787">
          <cell r="A787">
            <v>786</v>
          </cell>
          <cell r="C787" t="e">
            <v>#N/A</v>
          </cell>
          <cell r="D787" t="e">
            <v>#N/A</v>
          </cell>
          <cell r="E787" t="e">
            <v>#N/A</v>
          </cell>
          <cell r="F787" t="e">
            <v>#N/A</v>
          </cell>
          <cell r="G787" t="e">
            <v>#N/A</v>
          </cell>
          <cell r="O787" t="e">
            <v>#N/A</v>
          </cell>
          <cell r="S787">
            <v>0</v>
          </cell>
          <cell r="T787">
            <v>3138400</v>
          </cell>
          <cell r="V787">
            <v>0</v>
          </cell>
          <cell r="W787">
            <v>0</v>
          </cell>
          <cell r="X787">
            <v>0</v>
          </cell>
          <cell r="Z787">
            <v>0</v>
          </cell>
          <cell r="AB787">
            <v>0</v>
          </cell>
          <cell r="AD787">
            <v>0</v>
          </cell>
          <cell r="AF787">
            <v>0</v>
          </cell>
        </row>
        <row r="788">
          <cell r="A788">
            <v>787</v>
          </cell>
          <cell r="C788" t="e">
            <v>#N/A</v>
          </cell>
          <cell r="D788" t="e">
            <v>#N/A</v>
          </cell>
          <cell r="E788" t="e">
            <v>#N/A</v>
          </cell>
          <cell r="F788" t="e">
            <v>#N/A</v>
          </cell>
          <cell r="G788" t="e">
            <v>#N/A</v>
          </cell>
          <cell r="O788" t="e">
            <v>#N/A</v>
          </cell>
          <cell r="S788">
            <v>0</v>
          </cell>
          <cell r="T788">
            <v>3138400</v>
          </cell>
          <cell r="V788">
            <v>0</v>
          </cell>
          <cell r="W788">
            <v>0</v>
          </cell>
          <cell r="X788">
            <v>0</v>
          </cell>
          <cell r="Z788">
            <v>0</v>
          </cell>
          <cell r="AB788">
            <v>0</v>
          </cell>
          <cell r="AD788">
            <v>0</v>
          </cell>
          <cell r="AF788">
            <v>0</v>
          </cell>
        </row>
        <row r="789">
          <cell r="A789">
            <v>788</v>
          </cell>
          <cell r="C789" t="e">
            <v>#N/A</v>
          </cell>
          <cell r="D789" t="e">
            <v>#N/A</v>
          </cell>
          <cell r="E789" t="e">
            <v>#N/A</v>
          </cell>
          <cell r="F789" t="e">
            <v>#N/A</v>
          </cell>
          <cell r="G789" t="e">
            <v>#N/A</v>
          </cell>
          <cell r="O789" t="e">
            <v>#N/A</v>
          </cell>
          <cell r="S789">
            <v>0</v>
          </cell>
          <cell r="T789">
            <v>3138400</v>
          </cell>
          <cell r="U789" t="str">
            <v>ya</v>
          </cell>
          <cell r="V789" t="e">
            <v>#N/A</v>
          </cell>
          <cell r="W789" t="e">
            <v>#N/A</v>
          </cell>
          <cell r="X789" t="e">
            <v>#N/A</v>
          </cell>
          <cell r="Z789">
            <v>0</v>
          </cell>
          <cell r="AB789">
            <v>0</v>
          </cell>
          <cell r="AD789">
            <v>0</v>
          </cell>
          <cell r="AF789">
            <v>0</v>
          </cell>
        </row>
        <row r="790">
          <cell r="A790">
            <v>789</v>
          </cell>
          <cell r="C790" t="e">
            <v>#N/A</v>
          </cell>
          <cell r="D790" t="e">
            <v>#N/A</v>
          </cell>
          <cell r="E790" t="e">
            <v>#N/A</v>
          </cell>
          <cell r="F790" t="e">
            <v>#N/A</v>
          </cell>
          <cell r="G790" t="e">
            <v>#N/A</v>
          </cell>
          <cell r="O790" t="e">
            <v>#N/A</v>
          </cell>
          <cell r="S790">
            <v>0</v>
          </cell>
          <cell r="T790">
            <v>3138400</v>
          </cell>
          <cell r="V790">
            <v>0</v>
          </cell>
          <cell r="W790">
            <v>0</v>
          </cell>
          <cell r="X790">
            <v>0</v>
          </cell>
          <cell r="Z790">
            <v>0</v>
          </cell>
          <cell r="AB790">
            <v>0</v>
          </cell>
          <cell r="AD790">
            <v>0</v>
          </cell>
          <cell r="AF790">
            <v>0</v>
          </cell>
        </row>
        <row r="791">
          <cell r="A791">
            <v>790</v>
          </cell>
          <cell r="C791" t="e">
            <v>#N/A</v>
          </cell>
          <cell r="D791" t="e">
            <v>#N/A</v>
          </cell>
          <cell r="E791" t="e">
            <v>#N/A</v>
          </cell>
          <cell r="F791" t="e">
            <v>#N/A</v>
          </cell>
          <cell r="G791" t="e">
            <v>#N/A</v>
          </cell>
          <cell r="O791" t="e">
            <v>#N/A</v>
          </cell>
          <cell r="S791">
            <v>0</v>
          </cell>
          <cell r="T791">
            <v>3138400</v>
          </cell>
          <cell r="U791" t="str">
            <v>ya</v>
          </cell>
          <cell r="V791" t="e">
            <v>#N/A</v>
          </cell>
          <cell r="W791" t="e">
            <v>#N/A</v>
          </cell>
          <cell r="X791" t="e">
            <v>#N/A</v>
          </cell>
          <cell r="Z791">
            <v>0</v>
          </cell>
          <cell r="AB791">
            <v>0</v>
          </cell>
          <cell r="AD791">
            <v>0</v>
          </cell>
          <cell r="AF791">
            <v>0</v>
          </cell>
        </row>
        <row r="792">
          <cell r="A792">
            <v>791</v>
          </cell>
          <cell r="C792" t="e">
            <v>#N/A</v>
          </cell>
          <cell r="D792" t="e">
            <v>#N/A</v>
          </cell>
          <cell r="E792" t="e">
            <v>#N/A</v>
          </cell>
          <cell r="F792" t="e">
            <v>#N/A</v>
          </cell>
          <cell r="G792" t="e">
            <v>#N/A</v>
          </cell>
          <cell r="O792" t="e">
            <v>#N/A</v>
          </cell>
          <cell r="S792">
            <v>0</v>
          </cell>
          <cell r="T792">
            <v>3138400</v>
          </cell>
          <cell r="U792" t="str">
            <v>ya</v>
          </cell>
          <cell r="V792" t="e">
            <v>#N/A</v>
          </cell>
          <cell r="W792" t="e">
            <v>#N/A</v>
          </cell>
          <cell r="X792" t="e">
            <v>#N/A</v>
          </cell>
          <cell r="Z792">
            <v>0</v>
          </cell>
          <cell r="AB792">
            <v>0</v>
          </cell>
          <cell r="AD792">
            <v>0</v>
          </cell>
          <cell r="AF792">
            <v>0</v>
          </cell>
        </row>
        <row r="793">
          <cell r="A793">
            <v>792</v>
          </cell>
          <cell r="C793" t="e">
            <v>#N/A</v>
          </cell>
          <cell r="D793" t="e">
            <v>#N/A</v>
          </cell>
          <cell r="E793" t="e">
            <v>#N/A</v>
          </cell>
          <cell r="F793" t="e">
            <v>#N/A</v>
          </cell>
          <cell r="G793" t="e">
            <v>#N/A</v>
          </cell>
          <cell r="O793" t="e">
            <v>#N/A</v>
          </cell>
          <cell r="S793">
            <v>0</v>
          </cell>
          <cell r="T793">
            <v>3138400</v>
          </cell>
          <cell r="U793" t="str">
            <v>ya</v>
          </cell>
          <cell r="V793" t="e">
            <v>#N/A</v>
          </cell>
          <cell r="W793" t="e">
            <v>#N/A</v>
          </cell>
          <cell r="X793" t="e">
            <v>#N/A</v>
          </cell>
          <cell r="Z793">
            <v>0</v>
          </cell>
          <cell r="AB793">
            <v>0</v>
          </cell>
          <cell r="AD793">
            <v>0</v>
          </cell>
          <cell r="AF793">
            <v>0</v>
          </cell>
        </row>
        <row r="794">
          <cell r="A794">
            <v>793</v>
          </cell>
          <cell r="C794" t="e">
            <v>#N/A</v>
          </cell>
          <cell r="D794" t="e">
            <v>#N/A</v>
          </cell>
          <cell r="E794" t="e">
            <v>#N/A</v>
          </cell>
          <cell r="F794" t="e">
            <v>#N/A</v>
          </cell>
          <cell r="G794" t="e">
            <v>#N/A</v>
          </cell>
          <cell r="O794" t="e">
            <v>#N/A</v>
          </cell>
          <cell r="S794">
            <v>0</v>
          </cell>
          <cell r="T794">
            <v>3138400</v>
          </cell>
          <cell r="U794" t="str">
            <v>ya</v>
          </cell>
          <cell r="V794" t="e">
            <v>#N/A</v>
          </cell>
          <cell r="W794" t="e">
            <v>#N/A</v>
          </cell>
          <cell r="X794" t="e">
            <v>#N/A</v>
          </cell>
          <cell r="Z794">
            <v>0</v>
          </cell>
          <cell r="AB794">
            <v>0</v>
          </cell>
          <cell r="AD794">
            <v>0</v>
          </cell>
          <cell r="AF794">
            <v>0</v>
          </cell>
        </row>
        <row r="795">
          <cell r="A795">
            <v>794</v>
          </cell>
          <cell r="C795" t="e">
            <v>#N/A</v>
          </cell>
          <cell r="D795" t="e">
            <v>#N/A</v>
          </cell>
          <cell r="E795" t="e">
            <v>#N/A</v>
          </cell>
          <cell r="F795" t="e">
            <v>#N/A</v>
          </cell>
          <cell r="G795" t="e">
            <v>#N/A</v>
          </cell>
          <cell r="O795" t="e">
            <v>#N/A</v>
          </cell>
          <cell r="S795">
            <v>0</v>
          </cell>
          <cell r="T795">
            <v>3138400</v>
          </cell>
          <cell r="V795">
            <v>0</v>
          </cell>
          <cell r="W795">
            <v>0</v>
          </cell>
          <cell r="X795">
            <v>0</v>
          </cell>
          <cell r="Z795">
            <v>0</v>
          </cell>
          <cell r="AB795">
            <v>0</v>
          </cell>
          <cell r="AD795">
            <v>0</v>
          </cell>
          <cell r="AF795">
            <v>0</v>
          </cell>
        </row>
        <row r="796">
          <cell r="A796">
            <v>795</v>
          </cell>
          <cell r="C796" t="e">
            <v>#N/A</v>
          </cell>
          <cell r="D796" t="e">
            <v>#N/A</v>
          </cell>
          <cell r="E796" t="e">
            <v>#N/A</v>
          </cell>
          <cell r="F796" t="e">
            <v>#N/A</v>
          </cell>
          <cell r="G796" t="e">
            <v>#N/A</v>
          </cell>
          <cell r="O796" t="e">
            <v>#N/A</v>
          </cell>
          <cell r="S796">
            <v>0</v>
          </cell>
          <cell r="T796">
            <v>3138400</v>
          </cell>
          <cell r="V796">
            <v>0</v>
          </cell>
          <cell r="W796">
            <v>0</v>
          </cell>
          <cell r="X796">
            <v>0</v>
          </cell>
          <cell r="Z796">
            <v>0</v>
          </cell>
          <cell r="AB796">
            <v>0</v>
          </cell>
          <cell r="AD796">
            <v>0</v>
          </cell>
          <cell r="AF796">
            <v>0</v>
          </cell>
        </row>
        <row r="797">
          <cell r="A797">
            <v>796</v>
          </cell>
          <cell r="C797" t="e">
            <v>#N/A</v>
          </cell>
          <cell r="D797" t="e">
            <v>#N/A</v>
          </cell>
          <cell r="E797" t="e">
            <v>#N/A</v>
          </cell>
          <cell r="F797" t="e">
            <v>#N/A</v>
          </cell>
          <cell r="G797" t="e">
            <v>#N/A</v>
          </cell>
          <cell r="O797" t="e">
            <v>#N/A</v>
          </cell>
          <cell r="S797">
            <v>0</v>
          </cell>
          <cell r="T797">
            <v>3138400</v>
          </cell>
          <cell r="V797">
            <v>0</v>
          </cell>
          <cell r="W797">
            <v>0</v>
          </cell>
          <cell r="X797">
            <v>0</v>
          </cell>
          <cell r="Z797">
            <v>0</v>
          </cell>
          <cell r="AB797">
            <v>0</v>
          </cell>
          <cell r="AD797">
            <v>0</v>
          </cell>
          <cell r="AF797">
            <v>0</v>
          </cell>
        </row>
        <row r="798">
          <cell r="A798">
            <v>797</v>
          </cell>
          <cell r="C798" t="e">
            <v>#N/A</v>
          </cell>
          <cell r="D798" t="e">
            <v>#N/A</v>
          </cell>
          <cell r="E798" t="e">
            <v>#N/A</v>
          </cell>
          <cell r="F798" t="e">
            <v>#N/A</v>
          </cell>
          <cell r="G798" t="e">
            <v>#N/A</v>
          </cell>
          <cell r="O798" t="e">
            <v>#N/A</v>
          </cell>
          <cell r="S798">
            <v>0</v>
          </cell>
          <cell r="T798">
            <v>3138400</v>
          </cell>
          <cell r="V798">
            <v>0</v>
          </cell>
          <cell r="W798">
            <v>0</v>
          </cell>
          <cell r="X798">
            <v>0</v>
          </cell>
          <cell r="Z798">
            <v>0</v>
          </cell>
          <cell r="AB798">
            <v>0</v>
          </cell>
          <cell r="AD798">
            <v>0</v>
          </cell>
          <cell r="AF798">
            <v>0</v>
          </cell>
        </row>
        <row r="799">
          <cell r="A799">
            <v>798</v>
          </cell>
          <cell r="C799" t="e">
            <v>#N/A</v>
          </cell>
          <cell r="D799" t="e">
            <v>#N/A</v>
          </cell>
          <cell r="E799" t="e">
            <v>#N/A</v>
          </cell>
          <cell r="F799" t="e">
            <v>#N/A</v>
          </cell>
          <cell r="G799" t="e">
            <v>#N/A</v>
          </cell>
          <cell r="O799" t="e">
            <v>#N/A</v>
          </cell>
          <cell r="S799">
            <v>0</v>
          </cell>
          <cell r="T799">
            <v>3138400</v>
          </cell>
          <cell r="V799">
            <v>0</v>
          </cell>
          <cell r="W799">
            <v>0</v>
          </cell>
          <cell r="X799">
            <v>0</v>
          </cell>
          <cell r="Z799">
            <v>0</v>
          </cell>
          <cell r="AB799">
            <v>0</v>
          </cell>
          <cell r="AD799">
            <v>0</v>
          </cell>
          <cell r="AF799">
            <v>0</v>
          </cell>
        </row>
        <row r="800">
          <cell r="A800">
            <v>799</v>
          </cell>
          <cell r="C800" t="e">
            <v>#N/A</v>
          </cell>
          <cell r="D800" t="e">
            <v>#N/A</v>
          </cell>
          <cell r="E800" t="e">
            <v>#N/A</v>
          </cell>
          <cell r="F800" t="e">
            <v>#N/A</v>
          </cell>
          <cell r="G800" t="e">
            <v>#N/A</v>
          </cell>
          <cell r="O800" t="e">
            <v>#N/A</v>
          </cell>
          <cell r="S800">
            <v>0</v>
          </cell>
          <cell r="T800">
            <v>3138400</v>
          </cell>
          <cell r="U800" t="str">
            <v>ya</v>
          </cell>
          <cell r="V800" t="e">
            <v>#N/A</v>
          </cell>
          <cell r="W800" t="e">
            <v>#N/A</v>
          </cell>
          <cell r="X800" t="e">
            <v>#N/A</v>
          </cell>
          <cell r="Z800">
            <v>0</v>
          </cell>
          <cell r="AB800">
            <v>0</v>
          </cell>
          <cell r="AD800">
            <v>0</v>
          </cell>
          <cell r="AF800">
            <v>0</v>
          </cell>
        </row>
        <row r="801">
          <cell r="A801">
            <v>800</v>
          </cell>
          <cell r="C801" t="e">
            <v>#N/A</v>
          </cell>
          <cell r="D801" t="e">
            <v>#N/A</v>
          </cell>
          <cell r="E801" t="e">
            <v>#N/A</v>
          </cell>
          <cell r="F801" t="e">
            <v>#N/A</v>
          </cell>
          <cell r="G801" t="e">
            <v>#N/A</v>
          </cell>
          <cell r="O801" t="e">
            <v>#N/A</v>
          </cell>
          <cell r="S801">
            <v>0</v>
          </cell>
          <cell r="T801">
            <v>3138400</v>
          </cell>
          <cell r="U801" t="str">
            <v>ya</v>
          </cell>
          <cell r="V801" t="e">
            <v>#N/A</v>
          </cell>
          <cell r="W801" t="e">
            <v>#N/A</v>
          </cell>
          <cell r="X801" t="e">
            <v>#N/A</v>
          </cell>
          <cell r="Z801">
            <v>0</v>
          </cell>
          <cell r="AB801">
            <v>0</v>
          </cell>
          <cell r="AD801">
            <v>0</v>
          </cell>
          <cell r="AF801">
            <v>0</v>
          </cell>
        </row>
        <row r="802">
          <cell r="A802">
            <v>801</v>
          </cell>
          <cell r="C802" t="e">
            <v>#N/A</v>
          </cell>
          <cell r="D802" t="e">
            <v>#N/A</v>
          </cell>
          <cell r="E802" t="e">
            <v>#N/A</v>
          </cell>
          <cell r="F802" t="e">
            <v>#N/A</v>
          </cell>
          <cell r="G802" t="e">
            <v>#N/A</v>
          </cell>
          <cell r="O802" t="e">
            <v>#N/A</v>
          </cell>
          <cell r="S802">
            <v>0</v>
          </cell>
          <cell r="T802">
            <v>3138400</v>
          </cell>
          <cell r="U802" t="str">
            <v>ya</v>
          </cell>
          <cell r="V802" t="e">
            <v>#N/A</v>
          </cell>
          <cell r="W802" t="e">
            <v>#N/A</v>
          </cell>
          <cell r="X802" t="e">
            <v>#N/A</v>
          </cell>
          <cell r="Z802">
            <v>0</v>
          </cell>
          <cell r="AB802">
            <v>0</v>
          </cell>
          <cell r="AD802">
            <v>0</v>
          </cell>
          <cell r="AF802">
            <v>0</v>
          </cell>
        </row>
        <row r="803">
          <cell r="A803">
            <v>802</v>
          </cell>
          <cell r="C803" t="e">
            <v>#N/A</v>
          </cell>
          <cell r="D803" t="e">
            <v>#N/A</v>
          </cell>
          <cell r="E803" t="e">
            <v>#N/A</v>
          </cell>
          <cell r="F803" t="e">
            <v>#N/A</v>
          </cell>
          <cell r="G803" t="e">
            <v>#N/A</v>
          </cell>
          <cell r="O803" t="e">
            <v>#N/A</v>
          </cell>
          <cell r="S803">
            <v>0</v>
          </cell>
          <cell r="T803">
            <v>3138400</v>
          </cell>
          <cell r="V803">
            <v>0</v>
          </cell>
          <cell r="W803">
            <v>0</v>
          </cell>
          <cell r="X803">
            <v>0</v>
          </cell>
          <cell r="Z803">
            <v>0</v>
          </cell>
          <cell r="AB803">
            <v>0</v>
          </cell>
          <cell r="AD803">
            <v>0</v>
          </cell>
          <cell r="AF803">
            <v>0</v>
          </cell>
        </row>
        <row r="804">
          <cell r="A804">
            <v>803</v>
          </cell>
          <cell r="C804" t="e">
            <v>#N/A</v>
          </cell>
          <cell r="D804" t="e">
            <v>#N/A</v>
          </cell>
          <cell r="E804" t="e">
            <v>#N/A</v>
          </cell>
          <cell r="F804" t="e">
            <v>#N/A</v>
          </cell>
          <cell r="G804" t="e">
            <v>#N/A</v>
          </cell>
          <cell r="O804" t="e">
            <v>#N/A</v>
          </cell>
          <cell r="S804">
            <v>0</v>
          </cell>
          <cell r="T804">
            <v>3138400</v>
          </cell>
          <cell r="V804">
            <v>0</v>
          </cell>
          <cell r="W804">
            <v>0</v>
          </cell>
          <cell r="X804">
            <v>0</v>
          </cell>
          <cell r="Z804">
            <v>0</v>
          </cell>
          <cell r="AB804">
            <v>0</v>
          </cell>
          <cell r="AD804">
            <v>0</v>
          </cell>
          <cell r="AF804">
            <v>0</v>
          </cell>
        </row>
        <row r="805">
          <cell r="A805">
            <v>804</v>
          </cell>
          <cell r="C805" t="e">
            <v>#N/A</v>
          </cell>
          <cell r="D805" t="e">
            <v>#N/A</v>
          </cell>
          <cell r="E805" t="e">
            <v>#N/A</v>
          </cell>
          <cell r="F805" t="e">
            <v>#N/A</v>
          </cell>
          <cell r="G805" t="e">
            <v>#N/A</v>
          </cell>
          <cell r="O805" t="e">
            <v>#N/A</v>
          </cell>
          <cell r="S805">
            <v>0</v>
          </cell>
          <cell r="T805">
            <v>3138400</v>
          </cell>
          <cell r="V805">
            <v>0</v>
          </cell>
          <cell r="W805">
            <v>0</v>
          </cell>
          <cell r="X805">
            <v>0</v>
          </cell>
          <cell r="Z805">
            <v>0</v>
          </cell>
          <cell r="AB805">
            <v>0</v>
          </cell>
          <cell r="AD805">
            <v>0</v>
          </cell>
          <cell r="AF805">
            <v>0</v>
          </cell>
        </row>
        <row r="806">
          <cell r="A806">
            <v>805</v>
          </cell>
          <cell r="C806" t="e">
            <v>#N/A</v>
          </cell>
          <cell r="D806" t="e">
            <v>#N/A</v>
          </cell>
          <cell r="E806" t="e">
            <v>#N/A</v>
          </cell>
          <cell r="F806" t="e">
            <v>#N/A</v>
          </cell>
          <cell r="G806" t="e">
            <v>#N/A</v>
          </cell>
          <cell r="O806" t="e">
            <v>#N/A</v>
          </cell>
          <cell r="S806">
            <v>0</v>
          </cell>
          <cell r="T806">
            <v>3138400</v>
          </cell>
          <cell r="V806">
            <v>0</v>
          </cell>
          <cell r="W806">
            <v>0</v>
          </cell>
          <cell r="X806">
            <v>0</v>
          </cell>
          <cell r="Z806">
            <v>0</v>
          </cell>
          <cell r="AB806">
            <v>0</v>
          </cell>
          <cell r="AD806">
            <v>0</v>
          </cell>
          <cell r="AF806">
            <v>0</v>
          </cell>
        </row>
        <row r="807">
          <cell r="A807">
            <v>806</v>
          </cell>
          <cell r="C807" t="e">
            <v>#N/A</v>
          </cell>
          <cell r="D807" t="e">
            <v>#N/A</v>
          </cell>
          <cell r="E807" t="e">
            <v>#N/A</v>
          </cell>
          <cell r="F807" t="e">
            <v>#N/A</v>
          </cell>
          <cell r="G807" t="e">
            <v>#N/A</v>
          </cell>
          <cell r="O807" t="e">
            <v>#N/A</v>
          </cell>
          <cell r="S807">
            <v>0</v>
          </cell>
          <cell r="T807">
            <v>3138400</v>
          </cell>
          <cell r="V807">
            <v>0</v>
          </cell>
          <cell r="W807">
            <v>0</v>
          </cell>
          <cell r="X807">
            <v>0</v>
          </cell>
          <cell r="Z807">
            <v>0</v>
          </cell>
          <cell r="AB807">
            <v>0</v>
          </cell>
          <cell r="AD807">
            <v>0</v>
          </cell>
          <cell r="AF807">
            <v>0</v>
          </cell>
        </row>
        <row r="808">
          <cell r="A808">
            <v>807</v>
          </cell>
          <cell r="C808" t="e">
            <v>#N/A</v>
          </cell>
          <cell r="D808" t="e">
            <v>#N/A</v>
          </cell>
          <cell r="E808" t="e">
            <v>#N/A</v>
          </cell>
          <cell r="F808" t="e">
            <v>#N/A</v>
          </cell>
          <cell r="G808" t="e">
            <v>#N/A</v>
          </cell>
          <cell r="O808" t="e">
            <v>#N/A</v>
          </cell>
          <cell r="S808">
            <v>0</v>
          </cell>
          <cell r="T808">
            <v>3138400</v>
          </cell>
          <cell r="V808">
            <v>0</v>
          </cell>
          <cell r="W808">
            <v>0</v>
          </cell>
          <cell r="X808">
            <v>0</v>
          </cell>
          <cell r="Z808">
            <v>0</v>
          </cell>
          <cell r="AB808">
            <v>0</v>
          </cell>
          <cell r="AD808">
            <v>0</v>
          </cell>
          <cell r="AF808">
            <v>0</v>
          </cell>
        </row>
        <row r="809">
          <cell r="A809">
            <v>808</v>
          </cell>
          <cell r="C809" t="e">
            <v>#N/A</v>
          </cell>
          <cell r="D809" t="e">
            <v>#N/A</v>
          </cell>
          <cell r="E809" t="e">
            <v>#N/A</v>
          </cell>
          <cell r="F809" t="e">
            <v>#N/A</v>
          </cell>
          <cell r="G809" t="e">
            <v>#N/A</v>
          </cell>
          <cell r="O809" t="e">
            <v>#N/A</v>
          </cell>
          <cell r="S809">
            <v>0</v>
          </cell>
          <cell r="T809">
            <v>3138400</v>
          </cell>
          <cell r="V809">
            <v>0</v>
          </cell>
          <cell r="W809">
            <v>0</v>
          </cell>
          <cell r="X809">
            <v>0</v>
          </cell>
          <cell r="Z809">
            <v>0</v>
          </cell>
          <cell r="AB809">
            <v>0</v>
          </cell>
          <cell r="AD809">
            <v>0</v>
          </cell>
          <cell r="AF809">
            <v>0</v>
          </cell>
        </row>
        <row r="810">
          <cell r="A810">
            <v>809</v>
          </cell>
          <cell r="C810" t="e">
            <v>#N/A</v>
          </cell>
          <cell r="D810" t="e">
            <v>#N/A</v>
          </cell>
          <cell r="E810" t="e">
            <v>#N/A</v>
          </cell>
          <cell r="F810" t="e">
            <v>#N/A</v>
          </cell>
          <cell r="G810" t="e">
            <v>#N/A</v>
          </cell>
          <cell r="O810" t="e">
            <v>#N/A</v>
          </cell>
          <cell r="S810">
            <v>0</v>
          </cell>
          <cell r="T810">
            <v>3138400</v>
          </cell>
          <cell r="V810">
            <v>0</v>
          </cell>
          <cell r="W810">
            <v>0</v>
          </cell>
          <cell r="X810">
            <v>0</v>
          </cell>
          <cell r="Z810">
            <v>0</v>
          </cell>
          <cell r="AB810">
            <v>0</v>
          </cell>
          <cell r="AD810">
            <v>0</v>
          </cell>
          <cell r="AF810">
            <v>0</v>
          </cell>
        </row>
        <row r="811">
          <cell r="A811">
            <v>810</v>
          </cell>
          <cell r="C811" t="e">
            <v>#N/A</v>
          </cell>
          <cell r="D811" t="e">
            <v>#N/A</v>
          </cell>
          <cell r="E811" t="e">
            <v>#N/A</v>
          </cell>
          <cell r="F811" t="e">
            <v>#N/A</v>
          </cell>
          <cell r="G811" t="e">
            <v>#N/A</v>
          </cell>
          <cell r="O811" t="e">
            <v>#N/A</v>
          </cell>
          <cell r="S811">
            <v>0</v>
          </cell>
          <cell r="T811">
            <v>3138400</v>
          </cell>
          <cell r="U811" t="str">
            <v>ya</v>
          </cell>
          <cell r="V811" t="e">
            <v>#N/A</v>
          </cell>
          <cell r="W811" t="e">
            <v>#N/A</v>
          </cell>
          <cell r="X811" t="e">
            <v>#N/A</v>
          </cell>
          <cell r="Z811">
            <v>0</v>
          </cell>
          <cell r="AB811">
            <v>0</v>
          </cell>
          <cell r="AD811">
            <v>0</v>
          </cell>
          <cell r="AF811">
            <v>0</v>
          </cell>
        </row>
        <row r="812">
          <cell r="A812">
            <v>811</v>
          </cell>
          <cell r="C812" t="e">
            <v>#N/A</v>
          </cell>
          <cell r="D812" t="e">
            <v>#N/A</v>
          </cell>
          <cell r="E812" t="e">
            <v>#N/A</v>
          </cell>
          <cell r="F812" t="e">
            <v>#N/A</v>
          </cell>
          <cell r="G812" t="e">
            <v>#N/A</v>
          </cell>
          <cell r="O812" t="e">
            <v>#N/A</v>
          </cell>
          <cell r="S812">
            <v>0</v>
          </cell>
          <cell r="T812">
            <v>3138400</v>
          </cell>
          <cell r="U812" t="str">
            <v>ya</v>
          </cell>
          <cell r="V812" t="e">
            <v>#N/A</v>
          </cell>
          <cell r="W812" t="e">
            <v>#N/A</v>
          </cell>
          <cell r="X812" t="e">
            <v>#N/A</v>
          </cell>
          <cell r="Z812">
            <v>0</v>
          </cell>
          <cell r="AB812">
            <v>0</v>
          </cell>
          <cell r="AD812">
            <v>0</v>
          </cell>
          <cell r="AF812">
            <v>0</v>
          </cell>
        </row>
        <row r="813">
          <cell r="A813">
            <v>812</v>
          </cell>
          <cell r="C813" t="e">
            <v>#N/A</v>
          </cell>
          <cell r="D813" t="e">
            <v>#N/A</v>
          </cell>
          <cell r="E813" t="e">
            <v>#N/A</v>
          </cell>
          <cell r="F813" t="e">
            <v>#N/A</v>
          </cell>
          <cell r="G813" t="e">
            <v>#N/A</v>
          </cell>
          <cell r="O813" t="e">
            <v>#N/A</v>
          </cell>
          <cell r="S813">
            <v>0</v>
          </cell>
          <cell r="T813">
            <v>3138400</v>
          </cell>
          <cell r="U813" t="str">
            <v>ya</v>
          </cell>
          <cell r="V813" t="e">
            <v>#N/A</v>
          </cell>
          <cell r="W813" t="e">
            <v>#N/A</v>
          </cell>
          <cell r="X813" t="e">
            <v>#N/A</v>
          </cell>
          <cell r="Z813">
            <v>0</v>
          </cell>
          <cell r="AB813">
            <v>0</v>
          </cell>
          <cell r="AD813">
            <v>0</v>
          </cell>
          <cell r="AF813">
            <v>0</v>
          </cell>
        </row>
        <row r="814">
          <cell r="A814">
            <v>813</v>
          </cell>
          <cell r="C814" t="e">
            <v>#N/A</v>
          </cell>
          <cell r="D814" t="e">
            <v>#N/A</v>
          </cell>
          <cell r="E814" t="e">
            <v>#N/A</v>
          </cell>
          <cell r="F814" t="e">
            <v>#N/A</v>
          </cell>
          <cell r="G814" t="e">
            <v>#N/A</v>
          </cell>
          <cell r="O814" t="e">
            <v>#N/A</v>
          </cell>
          <cell r="S814">
            <v>0</v>
          </cell>
          <cell r="T814">
            <v>3138400</v>
          </cell>
          <cell r="U814" t="str">
            <v>ya</v>
          </cell>
          <cell r="V814" t="e">
            <v>#N/A</v>
          </cell>
          <cell r="W814" t="e">
            <v>#N/A</v>
          </cell>
          <cell r="X814" t="e">
            <v>#N/A</v>
          </cell>
          <cell r="Z814">
            <v>0</v>
          </cell>
          <cell r="AB814">
            <v>0</v>
          </cell>
          <cell r="AD814">
            <v>0</v>
          </cell>
          <cell r="AF814">
            <v>0</v>
          </cell>
        </row>
        <row r="815">
          <cell r="A815">
            <v>814</v>
          </cell>
          <cell r="C815" t="e">
            <v>#N/A</v>
          </cell>
          <cell r="D815" t="e">
            <v>#N/A</v>
          </cell>
          <cell r="E815" t="e">
            <v>#N/A</v>
          </cell>
          <cell r="F815" t="e">
            <v>#N/A</v>
          </cell>
          <cell r="G815" t="e">
            <v>#N/A</v>
          </cell>
          <cell r="O815" t="e">
            <v>#N/A</v>
          </cell>
          <cell r="S815">
            <v>0</v>
          </cell>
          <cell r="T815">
            <v>3138400</v>
          </cell>
          <cell r="V815">
            <v>0</v>
          </cell>
          <cell r="W815">
            <v>0</v>
          </cell>
          <cell r="X815">
            <v>0</v>
          </cell>
          <cell r="Z815">
            <v>0</v>
          </cell>
          <cell r="AB815">
            <v>0</v>
          </cell>
          <cell r="AD815">
            <v>0</v>
          </cell>
          <cell r="AF815">
            <v>0</v>
          </cell>
        </row>
        <row r="816">
          <cell r="A816">
            <v>815</v>
          </cell>
          <cell r="C816" t="e">
            <v>#N/A</v>
          </cell>
          <cell r="D816" t="e">
            <v>#N/A</v>
          </cell>
          <cell r="E816" t="e">
            <v>#N/A</v>
          </cell>
          <cell r="F816" t="e">
            <v>#N/A</v>
          </cell>
          <cell r="G816" t="e">
            <v>#N/A</v>
          </cell>
          <cell r="O816" t="e">
            <v>#N/A</v>
          </cell>
          <cell r="S816">
            <v>0</v>
          </cell>
          <cell r="T816">
            <v>3138400</v>
          </cell>
          <cell r="U816" t="str">
            <v>ya</v>
          </cell>
          <cell r="V816" t="e">
            <v>#N/A</v>
          </cell>
          <cell r="W816" t="e">
            <v>#N/A</v>
          </cell>
          <cell r="X816" t="e">
            <v>#N/A</v>
          </cell>
          <cell r="Z816">
            <v>0</v>
          </cell>
          <cell r="AB816">
            <v>0</v>
          </cell>
          <cell r="AD816">
            <v>0</v>
          </cell>
          <cell r="AF816">
            <v>0</v>
          </cell>
        </row>
        <row r="817">
          <cell r="A817">
            <v>816</v>
          </cell>
          <cell r="C817" t="e">
            <v>#N/A</v>
          </cell>
          <cell r="D817" t="e">
            <v>#N/A</v>
          </cell>
          <cell r="E817" t="e">
            <v>#N/A</v>
          </cell>
          <cell r="F817" t="e">
            <v>#N/A</v>
          </cell>
          <cell r="G817" t="e">
            <v>#N/A</v>
          </cell>
          <cell r="O817" t="e">
            <v>#N/A</v>
          </cell>
          <cell r="S817">
            <v>0</v>
          </cell>
          <cell r="T817">
            <v>3138400</v>
          </cell>
          <cell r="U817" t="str">
            <v>ya</v>
          </cell>
          <cell r="V817" t="e">
            <v>#N/A</v>
          </cell>
          <cell r="W817" t="e">
            <v>#N/A</v>
          </cell>
          <cell r="X817" t="e">
            <v>#N/A</v>
          </cell>
          <cell r="Z817">
            <v>0</v>
          </cell>
          <cell r="AB817">
            <v>0</v>
          </cell>
          <cell r="AD817">
            <v>0</v>
          </cell>
          <cell r="AF817">
            <v>0</v>
          </cell>
        </row>
        <row r="818">
          <cell r="A818">
            <v>817</v>
          </cell>
          <cell r="C818" t="e">
            <v>#N/A</v>
          </cell>
          <cell r="D818" t="e">
            <v>#N/A</v>
          </cell>
          <cell r="E818" t="e">
            <v>#N/A</v>
          </cell>
          <cell r="F818" t="e">
            <v>#N/A</v>
          </cell>
          <cell r="G818" t="e">
            <v>#N/A</v>
          </cell>
          <cell r="O818" t="e">
            <v>#N/A</v>
          </cell>
          <cell r="S818">
            <v>0</v>
          </cell>
          <cell r="T818">
            <v>3138400</v>
          </cell>
          <cell r="U818" t="str">
            <v>ya</v>
          </cell>
          <cell r="V818" t="e">
            <v>#N/A</v>
          </cell>
          <cell r="W818" t="e">
            <v>#N/A</v>
          </cell>
          <cell r="X818" t="e">
            <v>#N/A</v>
          </cell>
          <cell r="Z818">
            <v>0</v>
          </cell>
          <cell r="AB818">
            <v>0</v>
          </cell>
          <cell r="AD818">
            <v>0</v>
          </cell>
          <cell r="AF818">
            <v>0</v>
          </cell>
        </row>
        <row r="819">
          <cell r="A819">
            <v>818</v>
          </cell>
          <cell r="C819" t="e">
            <v>#N/A</v>
          </cell>
          <cell r="D819" t="e">
            <v>#N/A</v>
          </cell>
          <cell r="E819" t="e">
            <v>#N/A</v>
          </cell>
          <cell r="F819" t="e">
            <v>#N/A</v>
          </cell>
          <cell r="G819" t="e">
            <v>#N/A</v>
          </cell>
          <cell r="O819" t="e">
            <v>#N/A</v>
          </cell>
          <cell r="S819">
            <v>0</v>
          </cell>
          <cell r="T819">
            <v>3138400</v>
          </cell>
          <cell r="V819">
            <v>0</v>
          </cell>
          <cell r="W819">
            <v>0</v>
          </cell>
          <cell r="X819">
            <v>0</v>
          </cell>
          <cell r="Z819">
            <v>0</v>
          </cell>
          <cell r="AB819">
            <v>0</v>
          </cell>
          <cell r="AD819">
            <v>0</v>
          </cell>
          <cell r="AF819">
            <v>0</v>
          </cell>
        </row>
        <row r="820">
          <cell r="A820">
            <v>819</v>
          </cell>
          <cell r="C820" t="e">
            <v>#N/A</v>
          </cell>
          <cell r="D820" t="e">
            <v>#N/A</v>
          </cell>
          <cell r="E820" t="e">
            <v>#N/A</v>
          </cell>
          <cell r="F820" t="e">
            <v>#N/A</v>
          </cell>
          <cell r="G820" t="e">
            <v>#N/A</v>
          </cell>
          <cell r="O820" t="e">
            <v>#N/A</v>
          </cell>
          <cell r="S820">
            <v>0</v>
          </cell>
          <cell r="T820">
            <v>3138400</v>
          </cell>
          <cell r="V820">
            <v>0</v>
          </cell>
          <cell r="W820">
            <v>0</v>
          </cell>
          <cell r="X820">
            <v>0</v>
          </cell>
          <cell r="Z820">
            <v>0</v>
          </cell>
          <cell r="AB820">
            <v>0</v>
          </cell>
          <cell r="AD820">
            <v>0</v>
          </cell>
          <cell r="AF820">
            <v>0</v>
          </cell>
        </row>
        <row r="821">
          <cell r="A821">
            <v>820</v>
          </cell>
          <cell r="C821" t="e">
            <v>#N/A</v>
          </cell>
          <cell r="D821" t="e">
            <v>#N/A</v>
          </cell>
          <cell r="E821" t="e">
            <v>#N/A</v>
          </cell>
          <cell r="F821" t="e">
            <v>#N/A</v>
          </cell>
          <cell r="G821" t="e">
            <v>#N/A</v>
          </cell>
          <cell r="O821" t="e">
            <v>#N/A</v>
          </cell>
          <cell r="S821">
            <v>0</v>
          </cell>
          <cell r="T821">
            <v>3138400</v>
          </cell>
          <cell r="V821">
            <v>0</v>
          </cell>
          <cell r="W821">
            <v>0</v>
          </cell>
          <cell r="X821">
            <v>0</v>
          </cell>
          <cell r="Z821">
            <v>0</v>
          </cell>
          <cell r="AB821">
            <v>0</v>
          </cell>
          <cell r="AD821">
            <v>0</v>
          </cell>
          <cell r="AF821">
            <v>0</v>
          </cell>
        </row>
        <row r="822">
          <cell r="A822">
            <v>821</v>
          </cell>
          <cell r="C822" t="e">
            <v>#N/A</v>
          </cell>
          <cell r="D822" t="e">
            <v>#N/A</v>
          </cell>
          <cell r="E822" t="e">
            <v>#N/A</v>
          </cell>
          <cell r="F822" t="e">
            <v>#N/A</v>
          </cell>
          <cell r="G822" t="e">
            <v>#N/A</v>
          </cell>
          <cell r="O822" t="e">
            <v>#N/A</v>
          </cell>
          <cell r="S822">
            <v>0</v>
          </cell>
          <cell r="T822">
            <v>3138400</v>
          </cell>
          <cell r="V822">
            <v>0</v>
          </cell>
          <cell r="W822">
            <v>0</v>
          </cell>
          <cell r="X822">
            <v>0</v>
          </cell>
          <cell r="Z822">
            <v>0</v>
          </cell>
          <cell r="AB822">
            <v>0</v>
          </cell>
          <cell r="AD822">
            <v>0</v>
          </cell>
          <cell r="AF822">
            <v>0</v>
          </cell>
        </row>
        <row r="823">
          <cell r="A823">
            <v>822</v>
          </cell>
          <cell r="C823" t="e">
            <v>#N/A</v>
          </cell>
          <cell r="D823" t="e">
            <v>#N/A</v>
          </cell>
          <cell r="E823" t="e">
            <v>#N/A</v>
          </cell>
          <cell r="F823" t="e">
            <v>#N/A</v>
          </cell>
          <cell r="G823" t="e">
            <v>#N/A</v>
          </cell>
          <cell r="O823" t="e">
            <v>#N/A</v>
          </cell>
          <cell r="S823">
            <v>0</v>
          </cell>
          <cell r="T823">
            <v>3138400</v>
          </cell>
          <cell r="V823">
            <v>0</v>
          </cell>
          <cell r="W823">
            <v>0</v>
          </cell>
          <cell r="X823">
            <v>0</v>
          </cell>
          <cell r="Z823">
            <v>0</v>
          </cell>
          <cell r="AB823">
            <v>0</v>
          </cell>
          <cell r="AD823">
            <v>0</v>
          </cell>
          <cell r="AF823">
            <v>0</v>
          </cell>
        </row>
        <row r="824">
          <cell r="A824">
            <v>823</v>
          </cell>
          <cell r="C824" t="e">
            <v>#N/A</v>
          </cell>
          <cell r="D824" t="e">
            <v>#N/A</v>
          </cell>
          <cell r="E824" t="e">
            <v>#N/A</v>
          </cell>
          <cell r="F824" t="e">
            <v>#N/A</v>
          </cell>
          <cell r="G824" t="e">
            <v>#N/A</v>
          </cell>
          <cell r="O824" t="e">
            <v>#N/A</v>
          </cell>
          <cell r="S824">
            <v>0</v>
          </cell>
          <cell r="T824">
            <v>3138400</v>
          </cell>
          <cell r="V824">
            <v>0</v>
          </cell>
          <cell r="W824">
            <v>0</v>
          </cell>
          <cell r="X824">
            <v>0</v>
          </cell>
          <cell r="Z824">
            <v>0</v>
          </cell>
          <cell r="AB824">
            <v>0</v>
          </cell>
          <cell r="AD824">
            <v>0</v>
          </cell>
          <cell r="AF824">
            <v>0</v>
          </cell>
        </row>
        <row r="825">
          <cell r="A825">
            <v>824</v>
          </cell>
          <cell r="C825" t="e">
            <v>#N/A</v>
          </cell>
          <cell r="D825" t="e">
            <v>#N/A</v>
          </cell>
          <cell r="E825" t="e">
            <v>#N/A</v>
          </cell>
          <cell r="F825" t="e">
            <v>#N/A</v>
          </cell>
          <cell r="G825" t="e">
            <v>#N/A</v>
          </cell>
          <cell r="O825" t="e">
            <v>#N/A</v>
          </cell>
          <cell r="S825">
            <v>0</v>
          </cell>
          <cell r="T825">
            <v>3138400</v>
          </cell>
          <cell r="V825">
            <v>0</v>
          </cell>
          <cell r="W825">
            <v>0</v>
          </cell>
          <cell r="X825">
            <v>0</v>
          </cell>
          <cell r="Z825">
            <v>0</v>
          </cell>
          <cell r="AB825">
            <v>0</v>
          </cell>
          <cell r="AD825">
            <v>0</v>
          </cell>
          <cell r="AF825">
            <v>0</v>
          </cell>
        </row>
        <row r="826">
          <cell r="A826">
            <v>825</v>
          </cell>
          <cell r="C826" t="e">
            <v>#N/A</v>
          </cell>
          <cell r="D826" t="e">
            <v>#N/A</v>
          </cell>
          <cell r="E826" t="e">
            <v>#N/A</v>
          </cell>
          <cell r="F826" t="e">
            <v>#N/A</v>
          </cell>
          <cell r="G826" t="e">
            <v>#N/A</v>
          </cell>
          <cell r="O826" t="e">
            <v>#N/A</v>
          </cell>
          <cell r="S826">
            <v>0</v>
          </cell>
          <cell r="T826">
            <v>3138400</v>
          </cell>
          <cell r="U826" t="str">
            <v>ya</v>
          </cell>
          <cell r="V826" t="e">
            <v>#N/A</v>
          </cell>
          <cell r="W826" t="e">
            <v>#N/A</v>
          </cell>
          <cell r="X826" t="e">
            <v>#N/A</v>
          </cell>
          <cell r="Z826">
            <v>0</v>
          </cell>
          <cell r="AB826">
            <v>0</v>
          </cell>
          <cell r="AD826">
            <v>0</v>
          </cell>
          <cell r="AF826">
            <v>0</v>
          </cell>
        </row>
        <row r="827">
          <cell r="A827">
            <v>826</v>
          </cell>
          <cell r="C827" t="e">
            <v>#N/A</v>
          </cell>
          <cell r="D827" t="e">
            <v>#N/A</v>
          </cell>
          <cell r="E827" t="e">
            <v>#N/A</v>
          </cell>
          <cell r="F827" t="e">
            <v>#N/A</v>
          </cell>
          <cell r="G827" t="e">
            <v>#N/A</v>
          </cell>
          <cell r="O827" t="e">
            <v>#N/A</v>
          </cell>
          <cell r="S827">
            <v>0</v>
          </cell>
          <cell r="T827">
            <v>3138400</v>
          </cell>
          <cell r="V827">
            <v>0</v>
          </cell>
          <cell r="W827">
            <v>0</v>
          </cell>
          <cell r="X827">
            <v>0</v>
          </cell>
          <cell r="Z827">
            <v>0</v>
          </cell>
          <cell r="AB827">
            <v>0</v>
          </cell>
          <cell r="AD827">
            <v>0</v>
          </cell>
          <cell r="AF827">
            <v>0</v>
          </cell>
        </row>
        <row r="828">
          <cell r="A828">
            <v>827</v>
          </cell>
          <cell r="C828" t="e">
            <v>#N/A</v>
          </cell>
          <cell r="D828" t="e">
            <v>#N/A</v>
          </cell>
          <cell r="E828" t="e">
            <v>#N/A</v>
          </cell>
          <cell r="F828" t="e">
            <v>#N/A</v>
          </cell>
          <cell r="G828" t="e">
            <v>#N/A</v>
          </cell>
          <cell r="O828" t="e">
            <v>#N/A</v>
          </cell>
          <cell r="S828">
            <v>0</v>
          </cell>
          <cell r="T828">
            <v>3138400</v>
          </cell>
          <cell r="V828">
            <v>0</v>
          </cell>
          <cell r="W828">
            <v>0</v>
          </cell>
          <cell r="X828">
            <v>0</v>
          </cell>
          <cell r="Z828">
            <v>0</v>
          </cell>
          <cell r="AB828">
            <v>0</v>
          </cell>
          <cell r="AD828">
            <v>0</v>
          </cell>
          <cell r="AF828">
            <v>0</v>
          </cell>
        </row>
        <row r="829">
          <cell r="A829">
            <v>828</v>
          </cell>
          <cell r="C829" t="e">
            <v>#N/A</v>
          </cell>
          <cell r="D829" t="e">
            <v>#N/A</v>
          </cell>
          <cell r="E829" t="e">
            <v>#N/A</v>
          </cell>
          <cell r="F829" t="e">
            <v>#N/A</v>
          </cell>
          <cell r="G829" t="e">
            <v>#N/A</v>
          </cell>
          <cell r="O829" t="e">
            <v>#N/A</v>
          </cell>
          <cell r="S829">
            <v>0</v>
          </cell>
          <cell r="T829">
            <v>3138400</v>
          </cell>
          <cell r="V829">
            <v>0</v>
          </cell>
          <cell r="W829">
            <v>0</v>
          </cell>
          <cell r="X829">
            <v>0</v>
          </cell>
          <cell r="Z829">
            <v>0</v>
          </cell>
          <cell r="AB829">
            <v>0</v>
          </cell>
          <cell r="AD829">
            <v>0</v>
          </cell>
          <cell r="AF829">
            <v>0</v>
          </cell>
        </row>
        <row r="830">
          <cell r="A830">
            <v>829</v>
          </cell>
          <cell r="C830" t="e">
            <v>#N/A</v>
          </cell>
          <cell r="D830" t="e">
            <v>#N/A</v>
          </cell>
          <cell r="E830" t="e">
            <v>#N/A</v>
          </cell>
          <cell r="F830" t="e">
            <v>#N/A</v>
          </cell>
          <cell r="G830" t="e">
            <v>#N/A</v>
          </cell>
          <cell r="O830" t="e">
            <v>#N/A</v>
          </cell>
          <cell r="S830">
            <v>0</v>
          </cell>
          <cell r="T830">
            <v>3138400</v>
          </cell>
          <cell r="V830">
            <v>0</v>
          </cell>
          <cell r="W830">
            <v>0</v>
          </cell>
          <cell r="X830">
            <v>0</v>
          </cell>
          <cell r="Z830">
            <v>0</v>
          </cell>
          <cell r="AB830">
            <v>0</v>
          </cell>
          <cell r="AD830">
            <v>0</v>
          </cell>
          <cell r="AF830">
            <v>0</v>
          </cell>
        </row>
        <row r="831">
          <cell r="A831">
            <v>830</v>
          </cell>
          <cell r="C831" t="e">
            <v>#N/A</v>
          </cell>
          <cell r="D831" t="e">
            <v>#N/A</v>
          </cell>
          <cell r="E831" t="e">
            <v>#N/A</v>
          </cell>
          <cell r="F831" t="e">
            <v>#N/A</v>
          </cell>
          <cell r="G831" t="e">
            <v>#N/A</v>
          </cell>
          <cell r="O831" t="e">
            <v>#N/A</v>
          </cell>
          <cell r="S831">
            <v>0</v>
          </cell>
          <cell r="T831">
            <v>3138400</v>
          </cell>
          <cell r="V831">
            <v>0</v>
          </cell>
          <cell r="W831">
            <v>0</v>
          </cell>
          <cell r="X831">
            <v>0</v>
          </cell>
          <cell r="Z831">
            <v>0</v>
          </cell>
          <cell r="AB831">
            <v>0</v>
          </cell>
          <cell r="AD831">
            <v>0</v>
          </cell>
          <cell r="AF831">
            <v>0</v>
          </cell>
        </row>
        <row r="832">
          <cell r="A832">
            <v>831</v>
          </cell>
          <cell r="C832" t="e">
            <v>#N/A</v>
          </cell>
          <cell r="D832" t="e">
            <v>#N/A</v>
          </cell>
          <cell r="E832" t="e">
            <v>#N/A</v>
          </cell>
          <cell r="F832" t="e">
            <v>#N/A</v>
          </cell>
          <cell r="G832" t="e">
            <v>#N/A</v>
          </cell>
          <cell r="O832" t="e">
            <v>#N/A</v>
          </cell>
          <cell r="S832">
            <v>0</v>
          </cell>
          <cell r="T832">
            <v>3138400</v>
          </cell>
          <cell r="V832">
            <v>0</v>
          </cell>
          <cell r="W832">
            <v>0</v>
          </cell>
          <cell r="X832">
            <v>0</v>
          </cell>
          <cell r="Z832">
            <v>0</v>
          </cell>
          <cell r="AB832">
            <v>0</v>
          </cell>
          <cell r="AD832">
            <v>0</v>
          </cell>
          <cell r="AF832">
            <v>0</v>
          </cell>
        </row>
        <row r="833">
          <cell r="A833">
            <v>832</v>
          </cell>
          <cell r="C833" t="e">
            <v>#N/A</v>
          </cell>
          <cell r="D833" t="e">
            <v>#N/A</v>
          </cell>
          <cell r="E833" t="e">
            <v>#N/A</v>
          </cell>
          <cell r="F833" t="e">
            <v>#N/A</v>
          </cell>
          <cell r="G833" t="e">
            <v>#N/A</v>
          </cell>
          <cell r="O833" t="e">
            <v>#N/A</v>
          </cell>
          <cell r="S833">
            <v>0</v>
          </cell>
          <cell r="T833">
            <v>3138400</v>
          </cell>
          <cell r="V833">
            <v>0</v>
          </cell>
          <cell r="W833">
            <v>0</v>
          </cell>
          <cell r="X833">
            <v>0</v>
          </cell>
          <cell r="Z833">
            <v>0</v>
          </cell>
          <cell r="AB833">
            <v>0</v>
          </cell>
          <cell r="AD833">
            <v>0</v>
          </cell>
          <cell r="AF833">
            <v>0</v>
          </cell>
        </row>
        <row r="834">
          <cell r="A834">
            <v>833</v>
          </cell>
          <cell r="C834" t="e">
            <v>#N/A</v>
          </cell>
          <cell r="D834" t="e">
            <v>#N/A</v>
          </cell>
          <cell r="E834" t="e">
            <v>#N/A</v>
          </cell>
          <cell r="F834" t="e">
            <v>#N/A</v>
          </cell>
          <cell r="G834" t="e">
            <v>#N/A</v>
          </cell>
          <cell r="O834" t="e">
            <v>#N/A</v>
          </cell>
          <cell r="S834">
            <v>0</v>
          </cell>
          <cell r="T834">
            <v>3138400</v>
          </cell>
          <cell r="V834">
            <v>0</v>
          </cell>
          <cell r="W834">
            <v>0</v>
          </cell>
          <cell r="X834">
            <v>0</v>
          </cell>
          <cell r="Z834">
            <v>0</v>
          </cell>
          <cell r="AB834">
            <v>0</v>
          </cell>
          <cell r="AD834">
            <v>0</v>
          </cell>
          <cell r="AF834">
            <v>0</v>
          </cell>
        </row>
        <row r="835">
          <cell r="A835">
            <v>834</v>
          </cell>
          <cell r="C835" t="e">
            <v>#N/A</v>
          </cell>
          <cell r="D835" t="e">
            <v>#N/A</v>
          </cell>
          <cell r="E835" t="e">
            <v>#N/A</v>
          </cell>
          <cell r="F835" t="e">
            <v>#N/A</v>
          </cell>
          <cell r="G835" t="e">
            <v>#N/A</v>
          </cell>
          <cell r="O835" t="e">
            <v>#N/A</v>
          </cell>
          <cell r="S835">
            <v>0</v>
          </cell>
          <cell r="T835">
            <v>3138400</v>
          </cell>
          <cell r="V835">
            <v>0</v>
          </cell>
          <cell r="W835">
            <v>0</v>
          </cell>
          <cell r="X835">
            <v>0</v>
          </cell>
          <cell r="Z835">
            <v>0</v>
          </cell>
          <cell r="AB835">
            <v>0</v>
          </cell>
          <cell r="AD835">
            <v>0</v>
          </cell>
          <cell r="AF835">
            <v>0</v>
          </cell>
        </row>
        <row r="836">
          <cell r="A836">
            <v>835</v>
          </cell>
          <cell r="C836" t="e">
            <v>#N/A</v>
          </cell>
          <cell r="D836" t="e">
            <v>#N/A</v>
          </cell>
          <cell r="E836" t="e">
            <v>#N/A</v>
          </cell>
          <cell r="F836" t="e">
            <v>#N/A</v>
          </cell>
          <cell r="G836" t="e">
            <v>#N/A</v>
          </cell>
          <cell r="O836" t="e">
            <v>#N/A</v>
          </cell>
          <cell r="S836">
            <v>0</v>
          </cell>
          <cell r="T836">
            <v>3138400</v>
          </cell>
          <cell r="V836">
            <v>0</v>
          </cell>
          <cell r="W836">
            <v>0</v>
          </cell>
          <cell r="X836">
            <v>0</v>
          </cell>
          <cell r="Z836">
            <v>0</v>
          </cell>
          <cell r="AB836">
            <v>0</v>
          </cell>
          <cell r="AD836">
            <v>0</v>
          </cell>
          <cell r="AF836">
            <v>0</v>
          </cell>
        </row>
        <row r="837">
          <cell r="A837">
            <v>836</v>
          </cell>
          <cell r="C837" t="e">
            <v>#N/A</v>
          </cell>
          <cell r="D837" t="e">
            <v>#N/A</v>
          </cell>
          <cell r="E837" t="e">
            <v>#N/A</v>
          </cell>
          <cell r="F837" t="e">
            <v>#N/A</v>
          </cell>
          <cell r="G837" t="e">
            <v>#N/A</v>
          </cell>
          <cell r="O837" t="e">
            <v>#N/A</v>
          </cell>
          <cell r="S837">
            <v>0</v>
          </cell>
          <cell r="T837">
            <v>3138400</v>
          </cell>
          <cell r="V837">
            <v>0</v>
          </cell>
          <cell r="W837">
            <v>0</v>
          </cell>
          <cell r="X837">
            <v>0</v>
          </cell>
          <cell r="Z837">
            <v>0</v>
          </cell>
          <cell r="AB837">
            <v>0</v>
          </cell>
          <cell r="AD837">
            <v>0</v>
          </cell>
          <cell r="AF837">
            <v>0</v>
          </cell>
        </row>
        <row r="838">
          <cell r="A838">
            <v>837</v>
          </cell>
          <cell r="C838" t="e">
            <v>#N/A</v>
          </cell>
          <cell r="D838" t="e">
            <v>#N/A</v>
          </cell>
          <cell r="E838" t="e">
            <v>#N/A</v>
          </cell>
          <cell r="F838" t="e">
            <v>#N/A</v>
          </cell>
          <cell r="G838" t="e">
            <v>#N/A</v>
          </cell>
          <cell r="O838" t="e">
            <v>#N/A</v>
          </cell>
          <cell r="S838">
            <v>0</v>
          </cell>
          <cell r="T838">
            <v>3138400</v>
          </cell>
          <cell r="V838">
            <v>0</v>
          </cell>
          <cell r="W838">
            <v>0</v>
          </cell>
          <cell r="X838">
            <v>0</v>
          </cell>
          <cell r="Z838">
            <v>0</v>
          </cell>
          <cell r="AB838">
            <v>0</v>
          </cell>
          <cell r="AD838">
            <v>0</v>
          </cell>
          <cell r="AF838">
            <v>0</v>
          </cell>
        </row>
        <row r="839">
          <cell r="A839">
            <v>838</v>
          </cell>
          <cell r="C839" t="e">
            <v>#N/A</v>
          </cell>
          <cell r="D839" t="e">
            <v>#N/A</v>
          </cell>
          <cell r="E839" t="e">
            <v>#N/A</v>
          </cell>
          <cell r="F839" t="e">
            <v>#N/A</v>
          </cell>
          <cell r="G839" t="e">
            <v>#N/A</v>
          </cell>
          <cell r="O839" t="e">
            <v>#N/A</v>
          </cell>
          <cell r="S839">
            <v>0</v>
          </cell>
          <cell r="T839">
            <v>3138400</v>
          </cell>
          <cell r="V839">
            <v>0</v>
          </cell>
          <cell r="W839">
            <v>0</v>
          </cell>
          <cell r="X839">
            <v>0</v>
          </cell>
          <cell r="Z839">
            <v>0</v>
          </cell>
          <cell r="AB839">
            <v>0</v>
          </cell>
          <cell r="AD839">
            <v>0</v>
          </cell>
          <cell r="AF839">
            <v>0</v>
          </cell>
        </row>
        <row r="840">
          <cell r="A840">
            <v>839</v>
          </cell>
          <cell r="C840" t="e">
            <v>#N/A</v>
          </cell>
          <cell r="D840" t="e">
            <v>#N/A</v>
          </cell>
          <cell r="E840" t="e">
            <v>#N/A</v>
          </cell>
          <cell r="F840" t="e">
            <v>#N/A</v>
          </cell>
          <cell r="G840" t="e">
            <v>#N/A</v>
          </cell>
          <cell r="O840" t="e">
            <v>#N/A</v>
          </cell>
          <cell r="S840">
            <v>0</v>
          </cell>
          <cell r="T840">
            <v>3138400</v>
          </cell>
          <cell r="V840">
            <v>0</v>
          </cell>
          <cell r="W840">
            <v>0</v>
          </cell>
          <cell r="X840">
            <v>0</v>
          </cell>
          <cell r="Z840">
            <v>0</v>
          </cell>
          <cell r="AB840">
            <v>0</v>
          </cell>
          <cell r="AD840">
            <v>0</v>
          </cell>
          <cell r="AF840">
            <v>0</v>
          </cell>
        </row>
        <row r="841">
          <cell r="A841">
            <v>840</v>
          </cell>
          <cell r="C841" t="e">
            <v>#N/A</v>
          </cell>
          <cell r="D841" t="e">
            <v>#N/A</v>
          </cell>
          <cell r="E841" t="e">
            <v>#N/A</v>
          </cell>
          <cell r="F841" t="e">
            <v>#N/A</v>
          </cell>
          <cell r="G841" t="e">
            <v>#N/A</v>
          </cell>
          <cell r="O841" t="e">
            <v>#N/A</v>
          </cell>
          <cell r="S841">
            <v>0</v>
          </cell>
          <cell r="T841">
            <v>3138400</v>
          </cell>
          <cell r="V841">
            <v>0</v>
          </cell>
          <cell r="W841">
            <v>0</v>
          </cell>
          <cell r="X841">
            <v>0</v>
          </cell>
          <cell r="Z841">
            <v>0</v>
          </cell>
          <cell r="AB841">
            <v>0</v>
          </cell>
          <cell r="AD841">
            <v>0</v>
          </cell>
          <cell r="AF841">
            <v>0</v>
          </cell>
        </row>
        <row r="842">
          <cell r="A842">
            <v>841</v>
          </cell>
          <cell r="C842" t="e">
            <v>#N/A</v>
          </cell>
          <cell r="D842" t="e">
            <v>#N/A</v>
          </cell>
          <cell r="E842" t="e">
            <v>#N/A</v>
          </cell>
          <cell r="F842" t="e">
            <v>#N/A</v>
          </cell>
          <cell r="G842" t="e">
            <v>#N/A</v>
          </cell>
          <cell r="O842" t="e">
            <v>#N/A</v>
          </cell>
          <cell r="S842">
            <v>0</v>
          </cell>
          <cell r="T842">
            <v>3138400</v>
          </cell>
          <cell r="V842">
            <v>0</v>
          </cell>
          <cell r="W842">
            <v>0</v>
          </cell>
          <cell r="X842">
            <v>0</v>
          </cell>
          <cell r="Z842">
            <v>0</v>
          </cell>
          <cell r="AB842">
            <v>0</v>
          </cell>
          <cell r="AD842">
            <v>0</v>
          </cell>
          <cell r="AF842">
            <v>0</v>
          </cell>
        </row>
        <row r="843">
          <cell r="A843">
            <v>842</v>
          </cell>
          <cell r="C843" t="e">
            <v>#N/A</v>
          </cell>
          <cell r="D843" t="e">
            <v>#N/A</v>
          </cell>
          <cell r="E843" t="e">
            <v>#N/A</v>
          </cell>
          <cell r="F843" t="e">
            <v>#N/A</v>
          </cell>
          <cell r="G843" t="e">
            <v>#N/A</v>
          </cell>
          <cell r="O843" t="e">
            <v>#N/A</v>
          </cell>
          <cell r="S843">
            <v>0</v>
          </cell>
          <cell r="T843">
            <v>3138400</v>
          </cell>
          <cell r="V843">
            <v>0</v>
          </cell>
          <cell r="W843">
            <v>0</v>
          </cell>
          <cell r="X843">
            <v>0</v>
          </cell>
          <cell r="Z843">
            <v>0</v>
          </cell>
          <cell r="AB843">
            <v>0</v>
          </cell>
          <cell r="AD843">
            <v>0</v>
          </cell>
          <cell r="AF843">
            <v>0</v>
          </cell>
        </row>
        <row r="844">
          <cell r="A844">
            <v>843</v>
          </cell>
          <cell r="C844" t="e">
            <v>#N/A</v>
          </cell>
          <cell r="D844" t="e">
            <v>#N/A</v>
          </cell>
          <cell r="E844" t="e">
            <v>#N/A</v>
          </cell>
          <cell r="F844" t="e">
            <v>#N/A</v>
          </cell>
          <cell r="G844" t="e">
            <v>#N/A</v>
          </cell>
          <cell r="O844" t="e">
            <v>#N/A</v>
          </cell>
          <cell r="S844">
            <v>0</v>
          </cell>
          <cell r="T844">
            <v>3138400</v>
          </cell>
          <cell r="V844">
            <v>0</v>
          </cell>
          <cell r="W844">
            <v>0</v>
          </cell>
          <cell r="X844">
            <v>0</v>
          </cell>
          <cell r="Z844">
            <v>0</v>
          </cell>
          <cell r="AB844">
            <v>0</v>
          </cell>
          <cell r="AD844">
            <v>0</v>
          </cell>
          <cell r="AF844">
            <v>0</v>
          </cell>
        </row>
        <row r="845">
          <cell r="A845">
            <v>844</v>
          </cell>
          <cell r="C845" t="e">
            <v>#N/A</v>
          </cell>
          <cell r="D845" t="e">
            <v>#N/A</v>
          </cell>
          <cell r="E845" t="e">
            <v>#N/A</v>
          </cell>
          <cell r="F845" t="e">
            <v>#N/A</v>
          </cell>
          <cell r="G845" t="e">
            <v>#N/A</v>
          </cell>
          <cell r="O845" t="e">
            <v>#N/A</v>
          </cell>
          <cell r="S845">
            <v>0</v>
          </cell>
          <cell r="T845">
            <v>3138400</v>
          </cell>
          <cell r="V845">
            <v>0</v>
          </cell>
          <cell r="W845">
            <v>0</v>
          </cell>
          <cell r="X845">
            <v>0</v>
          </cell>
          <cell r="Z845">
            <v>0</v>
          </cell>
          <cell r="AB845">
            <v>0</v>
          </cell>
          <cell r="AD845">
            <v>0</v>
          </cell>
          <cell r="AF845">
            <v>0</v>
          </cell>
        </row>
        <row r="846">
          <cell r="A846">
            <v>845</v>
          </cell>
          <cell r="C846" t="e">
            <v>#N/A</v>
          </cell>
          <cell r="D846" t="e">
            <v>#N/A</v>
          </cell>
          <cell r="E846" t="e">
            <v>#N/A</v>
          </cell>
          <cell r="F846" t="e">
            <v>#N/A</v>
          </cell>
          <cell r="G846" t="e">
            <v>#N/A</v>
          </cell>
          <cell r="O846" t="e">
            <v>#N/A</v>
          </cell>
          <cell r="S846">
            <v>0</v>
          </cell>
          <cell r="T846">
            <v>3138400</v>
          </cell>
          <cell r="V846">
            <v>0</v>
          </cell>
          <cell r="W846">
            <v>0</v>
          </cell>
          <cell r="X846">
            <v>0</v>
          </cell>
          <cell r="Z846">
            <v>0</v>
          </cell>
          <cell r="AB846">
            <v>0</v>
          </cell>
          <cell r="AD846">
            <v>0</v>
          </cell>
          <cell r="AF846">
            <v>0</v>
          </cell>
        </row>
        <row r="847">
          <cell r="A847">
            <v>846</v>
          </cell>
          <cell r="C847" t="e">
            <v>#N/A</v>
          </cell>
          <cell r="D847" t="e">
            <v>#N/A</v>
          </cell>
          <cell r="E847" t="e">
            <v>#N/A</v>
          </cell>
          <cell r="F847" t="e">
            <v>#N/A</v>
          </cell>
          <cell r="G847" t="e">
            <v>#N/A</v>
          </cell>
          <cell r="O847" t="e">
            <v>#N/A</v>
          </cell>
          <cell r="S847">
            <v>0</v>
          </cell>
          <cell r="T847">
            <v>3138400</v>
          </cell>
          <cell r="V847">
            <v>0</v>
          </cell>
          <cell r="W847">
            <v>0</v>
          </cell>
          <cell r="X847">
            <v>0</v>
          </cell>
          <cell r="Z847">
            <v>0</v>
          </cell>
          <cell r="AB847">
            <v>0</v>
          </cell>
          <cell r="AD847">
            <v>0</v>
          </cell>
          <cell r="AF847">
            <v>0</v>
          </cell>
        </row>
        <row r="848">
          <cell r="A848">
            <v>847</v>
          </cell>
          <cell r="C848" t="e">
            <v>#N/A</v>
          </cell>
          <cell r="D848" t="e">
            <v>#N/A</v>
          </cell>
          <cell r="E848" t="e">
            <v>#N/A</v>
          </cell>
          <cell r="F848" t="e">
            <v>#N/A</v>
          </cell>
          <cell r="G848" t="e">
            <v>#N/A</v>
          </cell>
          <cell r="O848" t="e">
            <v>#N/A</v>
          </cell>
          <cell r="S848">
            <v>0</v>
          </cell>
          <cell r="T848">
            <v>3138400</v>
          </cell>
          <cell r="V848">
            <v>0</v>
          </cell>
          <cell r="W848">
            <v>0</v>
          </cell>
          <cell r="X848">
            <v>0</v>
          </cell>
          <cell r="Z848">
            <v>0</v>
          </cell>
          <cell r="AB848">
            <v>0</v>
          </cell>
          <cell r="AD848">
            <v>0</v>
          </cell>
          <cell r="AF848">
            <v>0</v>
          </cell>
        </row>
        <row r="849">
          <cell r="A849">
            <v>848</v>
          </cell>
          <cell r="C849" t="e">
            <v>#N/A</v>
          </cell>
          <cell r="D849" t="e">
            <v>#N/A</v>
          </cell>
          <cell r="E849" t="e">
            <v>#N/A</v>
          </cell>
          <cell r="F849" t="e">
            <v>#N/A</v>
          </cell>
          <cell r="G849" t="e">
            <v>#N/A</v>
          </cell>
          <cell r="O849" t="e">
            <v>#N/A</v>
          </cell>
          <cell r="S849">
            <v>0</v>
          </cell>
          <cell r="T849">
            <v>3138400</v>
          </cell>
          <cell r="V849">
            <v>0</v>
          </cell>
          <cell r="W849">
            <v>0</v>
          </cell>
          <cell r="X849">
            <v>0</v>
          </cell>
          <cell r="Z849">
            <v>0</v>
          </cell>
          <cell r="AB849">
            <v>0</v>
          </cell>
          <cell r="AD849">
            <v>0</v>
          </cell>
          <cell r="AF849">
            <v>0</v>
          </cell>
        </row>
        <row r="850">
          <cell r="A850">
            <v>849</v>
          </cell>
          <cell r="C850" t="e">
            <v>#N/A</v>
          </cell>
          <cell r="D850" t="e">
            <v>#N/A</v>
          </cell>
          <cell r="E850" t="e">
            <v>#N/A</v>
          </cell>
          <cell r="F850" t="e">
            <v>#N/A</v>
          </cell>
          <cell r="G850" t="e">
            <v>#N/A</v>
          </cell>
          <cell r="O850" t="e">
            <v>#N/A</v>
          </cell>
          <cell r="S850">
            <v>0</v>
          </cell>
          <cell r="T850">
            <v>3138400</v>
          </cell>
          <cell r="V850">
            <v>0</v>
          </cell>
          <cell r="W850">
            <v>0</v>
          </cell>
          <cell r="X850">
            <v>0</v>
          </cell>
          <cell r="Z850">
            <v>0</v>
          </cell>
          <cell r="AB850">
            <v>0</v>
          </cell>
          <cell r="AD850">
            <v>0</v>
          </cell>
          <cell r="AF850">
            <v>0</v>
          </cell>
        </row>
        <row r="851">
          <cell r="A851">
            <v>850</v>
          </cell>
          <cell r="C851" t="e">
            <v>#N/A</v>
          </cell>
          <cell r="D851" t="e">
            <v>#N/A</v>
          </cell>
          <cell r="E851" t="e">
            <v>#N/A</v>
          </cell>
          <cell r="F851" t="e">
            <v>#N/A</v>
          </cell>
          <cell r="G851" t="e">
            <v>#N/A</v>
          </cell>
          <cell r="O851" t="e">
            <v>#N/A</v>
          </cell>
          <cell r="S851">
            <v>0</v>
          </cell>
          <cell r="T851">
            <v>3138400</v>
          </cell>
          <cell r="V851">
            <v>0</v>
          </cell>
          <cell r="W851">
            <v>0</v>
          </cell>
          <cell r="X851">
            <v>0</v>
          </cell>
          <cell r="Z851">
            <v>0</v>
          </cell>
          <cell r="AB851">
            <v>0</v>
          </cell>
          <cell r="AD851">
            <v>0</v>
          </cell>
          <cell r="AF851">
            <v>0</v>
          </cell>
        </row>
        <row r="852">
          <cell r="A852">
            <v>851</v>
          </cell>
          <cell r="C852" t="e">
            <v>#N/A</v>
          </cell>
          <cell r="D852" t="e">
            <v>#N/A</v>
          </cell>
          <cell r="E852" t="e">
            <v>#N/A</v>
          </cell>
          <cell r="F852" t="e">
            <v>#N/A</v>
          </cell>
          <cell r="G852" t="e">
            <v>#N/A</v>
          </cell>
          <cell r="O852" t="e">
            <v>#N/A</v>
          </cell>
          <cell r="S852">
            <v>0</v>
          </cell>
          <cell r="T852">
            <v>3138400</v>
          </cell>
          <cell r="V852">
            <v>0</v>
          </cell>
          <cell r="W852">
            <v>0</v>
          </cell>
          <cell r="X852">
            <v>0</v>
          </cell>
          <cell r="Z852">
            <v>0</v>
          </cell>
          <cell r="AB852">
            <v>0</v>
          </cell>
          <cell r="AD852">
            <v>0</v>
          </cell>
          <cell r="AF852">
            <v>0</v>
          </cell>
        </row>
        <row r="853">
          <cell r="A853">
            <v>852</v>
          </cell>
          <cell r="C853" t="e">
            <v>#N/A</v>
          </cell>
          <cell r="D853" t="e">
            <v>#N/A</v>
          </cell>
          <cell r="E853" t="e">
            <v>#N/A</v>
          </cell>
          <cell r="F853" t="e">
            <v>#N/A</v>
          </cell>
          <cell r="G853" t="e">
            <v>#N/A</v>
          </cell>
          <cell r="O853" t="e">
            <v>#N/A</v>
          </cell>
          <cell r="S853">
            <v>0</v>
          </cell>
          <cell r="T853">
            <v>3138400</v>
          </cell>
          <cell r="V853">
            <v>0</v>
          </cell>
          <cell r="W853">
            <v>0</v>
          </cell>
          <cell r="X853">
            <v>0</v>
          </cell>
          <cell r="Z853">
            <v>0</v>
          </cell>
          <cell r="AB853">
            <v>0</v>
          </cell>
          <cell r="AD853">
            <v>0</v>
          </cell>
          <cell r="AF853">
            <v>0</v>
          </cell>
        </row>
        <row r="854">
          <cell r="A854">
            <v>853</v>
          </cell>
          <cell r="C854" t="e">
            <v>#N/A</v>
          </cell>
          <cell r="D854" t="e">
            <v>#N/A</v>
          </cell>
          <cell r="E854" t="e">
            <v>#N/A</v>
          </cell>
          <cell r="F854" t="e">
            <v>#N/A</v>
          </cell>
          <cell r="G854" t="e">
            <v>#N/A</v>
          </cell>
          <cell r="O854" t="e">
            <v>#N/A</v>
          </cell>
          <cell r="S854">
            <v>0</v>
          </cell>
          <cell r="T854">
            <v>3138400</v>
          </cell>
          <cell r="U854" t="str">
            <v>ya</v>
          </cell>
          <cell r="V854" t="e">
            <v>#N/A</v>
          </cell>
          <cell r="W854" t="e">
            <v>#N/A</v>
          </cell>
          <cell r="X854" t="e">
            <v>#N/A</v>
          </cell>
          <cell r="Z854">
            <v>0</v>
          </cell>
          <cell r="AB854">
            <v>0</v>
          </cell>
          <cell r="AD854">
            <v>0</v>
          </cell>
          <cell r="AF854">
            <v>0</v>
          </cell>
        </row>
        <row r="855">
          <cell r="A855">
            <v>854</v>
          </cell>
          <cell r="C855" t="e">
            <v>#N/A</v>
          </cell>
          <cell r="D855" t="e">
            <v>#N/A</v>
          </cell>
          <cell r="E855" t="e">
            <v>#N/A</v>
          </cell>
          <cell r="F855" t="e">
            <v>#N/A</v>
          </cell>
          <cell r="G855" t="e">
            <v>#N/A</v>
          </cell>
          <cell r="O855" t="e">
            <v>#N/A</v>
          </cell>
          <cell r="S855">
            <v>0</v>
          </cell>
          <cell r="T855">
            <v>3138400</v>
          </cell>
          <cell r="U855" t="str">
            <v>ya</v>
          </cell>
          <cell r="V855" t="e">
            <v>#N/A</v>
          </cell>
          <cell r="W855" t="e">
            <v>#N/A</v>
          </cell>
          <cell r="X855" t="e">
            <v>#N/A</v>
          </cell>
          <cell r="Z855">
            <v>0</v>
          </cell>
          <cell r="AB855">
            <v>0</v>
          </cell>
          <cell r="AD855">
            <v>0</v>
          </cell>
          <cell r="AF855">
            <v>0</v>
          </cell>
        </row>
        <row r="856">
          <cell r="A856">
            <v>855</v>
          </cell>
          <cell r="C856" t="e">
            <v>#N/A</v>
          </cell>
          <cell r="D856" t="e">
            <v>#N/A</v>
          </cell>
          <cell r="E856" t="e">
            <v>#N/A</v>
          </cell>
          <cell r="F856" t="e">
            <v>#N/A</v>
          </cell>
          <cell r="G856" t="e">
            <v>#N/A</v>
          </cell>
          <cell r="O856" t="e">
            <v>#N/A</v>
          </cell>
          <cell r="S856">
            <v>0</v>
          </cell>
          <cell r="T856">
            <v>3138400</v>
          </cell>
          <cell r="V856">
            <v>0</v>
          </cell>
          <cell r="W856">
            <v>0</v>
          </cell>
          <cell r="X856">
            <v>0</v>
          </cell>
          <cell r="Z856">
            <v>0</v>
          </cell>
          <cell r="AB856">
            <v>0</v>
          </cell>
          <cell r="AD856">
            <v>0</v>
          </cell>
          <cell r="AF856">
            <v>0</v>
          </cell>
        </row>
        <row r="857">
          <cell r="A857">
            <v>856</v>
          </cell>
          <cell r="C857" t="e">
            <v>#N/A</v>
          </cell>
          <cell r="D857" t="e">
            <v>#N/A</v>
          </cell>
          <cell r="E857" t="e">
            <v>#N/A</v>
          </cell>
          <cell r="F857" t="e">
            <v>#N/A</v>
          </cell>
          <cell r="G857" t="e">
            <v>#N/A</v>
          </cell>
          <cell r="O857" t="e">
            <v>#N/A</v>
          </cell>
          <cell r="S857">
            <v>0</v>
          </cell>
          <cell r="T857">
            <v>3138400</v>
          </cell>
          <cell r="V857">
            <v>0</v>
          </cell>
          <cell r="W857">
            <v>0</v>
          </cell>
          <cell r="X857">
            <v>0</v>
          </cell>
          <cell r="Z857">
            <v>0</v>
          </cell>
          <cell r="AB857">
            <v>0</v>
          </cell>
          <cell r="AD857">
            <v>0</v>
          </cell>
          <cell r="AF857">
            <v>0</v>
          </cell>
        </row>
        <row r="858">
          <cell r="A858">
            <v>857</v>
          </cell>
          <cell r="C858" t="e">
            <v>#N/A</v>
          </cell>
          <cell r="D858" t="e">
            <v>#N/A</v>
          </cell>
          <cell r="E858" t="e">
            <v>#N/A</v>
          </cell>
          <cell r="F858" t="e">
            <v>#N/A</v>
          </cell>
          <cell r="G858" t="e">
            <v>#N/A</v>
          </cell>
          <cell r="O858" t="e">
            <v>#N/A</v>
          </cell>
          <cell r="S858">
            <v>0</v>
          </cell>
          <cell r="T858">
            <v>3138400</v>
          </cell>
          <cell r="V858">
            <v>0</v>
          </cell>
          <cell r="W858">
            <v>0</v>
          </cell>
          <cell r="X858">
            <v>0</v>
          </cell>
          <cell r="Z858">
            <v>0</v>
          </cell>
          <cell r="AB858">
            <v>0</v>
          </cell>
          <cell r="AD858">
            <v>0</v>
          </cell>
          <cell r="AF858">
            <v>0</v>
          </cell>
        </row>
        <row r="859">
          <cell r="A859">
            <v>858</v>
          </cell>
          <cell r="C859" t="e">
            <v>#N/A</v>
          </cell>
          <cell r="D859" t="e">
            <v>#N/A</v>
          </cell>
          <cell r="E859" t="e">
            <v>#N/A</v>
          </cell>
          <cell r="F859" t="e">
            <v>#N/A</v>
          </cell>
          <cell r="G859" t="e">
            <v>#N/A</v>
          </cell>
          <cell r="O859" t="e">
            <v>#N/A</v>
          </cell>
          <cell r="S859">
            <v>0</v>
          </cell>
          <cell r="T859">
            <v>3138400</v>
          </cell>
          <cell r="V859">
            <v>0</v>
          </cell>
          <cell r="W859">
            <v>0</v>
          </cell>
          <cell r="X859">
            <v>0</v>
          </cell>
          <cell r="Z859">
            <v>0</v>
          </cell>
          <cell r="AB859">
            <v>0</v>
          </cell>
          <cell r="AD859">
            <v>0</v>
          </cell>
          <cell r="AF859">
            <v>0</v>
          </cell>
        </row>
        <row r="860">
          <cell r="A860">
            <v>859</v>
          </cell>
          <cell r="C860" t="e">
            <v>#N/A</v>
          </cell>
          <cell r="D860" t="e">
            <v>#N/A</v>
          </cell>
          <cell r="E860" t="e">
            <v>#N/A</v>
          </cell>
          <cell r="F860" t="e">
            <v>#N/A</v>
          </cell>
          <cell r="G860" t="e">
            <v>#N/A</v>
          </cell>
          <cell r="O860" t="e">
            <v>#N/A</v>
          </cell>
          <cell r="S860">
            <v>0</v>
          </cell>
          <cell r="T860">
            <v>3138400</v>
          </cell>
          <cell r="V860">
            <v>0</v>
          </cell>
          <cell r="W860">
            <v>0</v>
          </cell>
          <cell r="X860">
            <v>0</v>
          </cell>
          <cell r="Z860">
            <v>0</v>
          </cell>
          <cell r="AB860">
            <v>0</v>
          </cell>
          <cell r="AD860">
            <v>0</v>
          </cell>
          <cell r="AF860">
            <v>0</v>
          </cell>
        </row>
        <row r="861">
          <cell r="A861">
            <v>860</v>
          </cell>
          <cell r="C861" t="e">
            <v>#N/A</v>
          </cell>
          <cell r="D861" t="e">
            <v>#N/A</v>
          </cell>
          <cell r="E861" t="e">
            <v>#N/A</v>
          </cell>
          <cell r="F861" t="e">
            <v>#N/A</v>
          </cell>
          <cell r="G861" t="e">
            <v>#N/A</v>
          </cell>
          <cell r="O861" t="e">
            <v>#N/A</v>
          </cell>
          <cell r="S861">
            <v>0</v>
          </cell>
          <cell r="T861">
            <v>3138400</v>
          </cell>
          <cell r="V861">
            <v>0</v>
          </cell>
          <cell r="W861">
            <v>0</v>
          </cell>
          <cell r="X861">
            <v>0</v>
          </cell>
          <cell r="Z861">
            <v>0</v>
          </cell>
          <cell r="AB861">
            <v>0</v>
          </cell>
          <cell r="AD861">
            <v>0</v>
          </cell>
          <cell r="AF861">
            <v>0</v>
          </cell>
        </row>
        <row r="862">
          <cell r="A862">
            <v>861</v>
          </cell>
          <cell r="C862" t="e">
            <v>#N/A</v>
          </cell>
          <cell r="D862" t="e">
            <v>#N/A</v>
          </cell>
          <cell r="E862" t="e">
            <v>#N/A</v>
          </cell>
          <cell r="F862" t="e">
            <v>#N/A</v>
          </cell>
          <cell r="G862" t="e">
            <v>#N/A</v>
          </cell>
          <cell r="O862" t="e">
            <v>#N/A</v>
          </cell>
          <cell r="S862">
            <v>0</v>
          </cell>
          <cell r="T862">
            <v>3138400</v>
          </cell>
          <cell r="V862">
            <v>0</v>
          </cell>
          <cell r="W862">
            <v>0</v>
          </cell>
          <cell r="X862">
            <v>0</v>
          </cell>
          <cell r="Z862">
            <v>0</v>
          </cell>
          <cell r="AB862">
            <v>0</v>
          </cell>
          <cell r="AD862">
            <v>0</v>
          </cell>
          <cell r="AF862">
            <v>0</v>
          </cell>
        </row>
        <row r="863">
          <cell r="A863">
            <v>862</v>
          </cell>
          <cell r="C863" t="e">
            <v>#N/A</v>
          </cell>
          <cell r="D863" t="e">
            <v>#N/A</v>
          </cell>
          <cell r="E863" t="e">
            <v>#N/A</v>
          </cell>
          <cell r="F863" t="e">
            <v>#N/A</v>
          </cell>
          <cell r="G863" t="e">
            <v>#N/A</v>
          </cell>
          <cell r="O863" t="e">
            <v>#N/A</v>
          </cell>
          <cell r="S863">
            <v>0</v>
          </cell>
          <cell r="T863">
            <v>3138400</v>
          </cell>
          <cell r="V863">
            <v>0</v>
          </cell>
          <cell r="W863">
            <v>0</v>
          </cell>
          <cell r="X863">
            <v>0</v>
          </cell>
          <cell r="Z863">
            <v>0</v>
          </cell>
          <cell r="AB863">
            <v>0</v>
          </cell>
          <cell r="AD863">
            <v>0</v>
          </cell>
          <cell r="AF863">
            <v>0</v>
          </cell>
        </row>
        <row r="864">
          <cell r="A864">
            <v>863</v>
          </cell>
          <cell r="C864" t="e">
            <v>#N/A</v>
          </cell>
          <cell r="D864" t="e">
            <v>#N/A</v>
          </cell>
          <cell r="E864" t="e">
            <v>#N/A</v>
          </cell>
          <cell r="F864" t="e">
            <v>#N/A</v>
          </cell>
          <cell r="G864" t="e">
            <v>#N/A</v>
          </cell>
          <cell r="O864" t="e">
            <v>#N/A</v>
          </cell>
          <cell r="S864">
            <v>0</v>
          </cell>
          <cell r="T864">
            <v>3138400</v>
          </cell>
          <cell r="V864">
            <v>0</v>
          </cell>
          <cell r="W864">
            <v>0</v>
          </cell>
          <cell r="X864">
            <v>0</v>
          </cell>
          <cell r="Z864">
            <v>0</v>
          </cell>
          <cell r="AB864">
            <v>0</v>
          </cell>
          <cell r="AD864">
            <v>0</v>
          </cell>
          <cell r="AF864">
            <v>0</v>
          </cell>
        </row>
        <row r="865">
          <cell r="A865">
            <v>864</v>
          </cell>
          <cell r="C865" t="e">
            <v>#N/A</v>
          </cell>
          <cell r="D865" t="e">
            <v>#N/A</v>
          </cell>
          <cell r="E865" t="e">
            <v>#N/A</v>
          </cell>
          <cell r="F865" t="e">
            <v>#N/A</v>
          </cell>
          <cell r="G865" t="e">
            <v>#N/A</v>
          </cell>
          <cell r="O865" t="e">
            <v>#N/A</v>
          </cell>
          <cell r="S865">
            <v>0</v>
          </cell>
          <cell r="T865">
            <v>3138400</v>
          </cell>
          <cell r="V865">
            <v>0</v>
          </cell>
          <cell r="W865">
            <v>0</v>
          </cell>
          <cell r="X865">
            <v>0</v>
          </cell>
          <cell r="Z865">
            <v>0</v>
          </cell>
          <cell r="AB865">
            <v>0</v>
          </cell>
          <cell r="AD865">
            <v>0</v>
          </cell>
          <cell r="AF865">
            <v>0</v>
          </cell>
        </row>
        <row r="866">
          <cell r="A866">
            <v>865</v>
          </cell>
          <cell r="C866" t="e">
            <v>#N/A</v>
          </cell>
          <cell r="D866" t="e">
            <v>#N/A</v>
          </cell>
          <cell r="E866" t="e">
            <v>#N/A</v>
          </cell>
          <cell r="F866" t="e">
            <v>#N/A</v>
          </cell>
          <cell r="G866" t="e">
            <v>#N/A</v>
          </cell>
          <cell r="O866" t="e">
            <v>#N/A</v>
          </cell>
          <cell r="S866">
            <v>0</v>
          </cell>
          <cell r="T866">
            <v>3138400</v>
          </cell>
          <cell r="V866">
            <v>0</v>
          </cell>
          <cell r="W866">
            <v>0</v>
          </cell>
          <cell r="X866">
            <v>0</v>
          </cell>
          <cell r="Z866">
            <v>0</v>
          </cell>
          <cell r="AB866">
            <v>0</v>
          </cell>
          <cell r="AD866">
            <v>0</v>
          </cell>
          <cell r="AF866">
            <v>0</v>
          </cell>
        </row>
        <row r="867">
          <cell r="A867">
            <v>866</v>
          </cell>
          <cell r="C867" t="e">
            <v>#N/A</v>
          </cell>
          <cell r="D867" t="e">
            <v>#N/A</v>
          </cell>
          <cell r="E867" t="e">
            <v>#N/A</v>
          </cell>
          <cell r="F867" t="e">
            <v>#N/A</v>
          </cell>
          <cell r="G867" t="e">
            <v>#N/A</v>
          </cell>
          <cell r="O867" t="e">
            <v>#N/A</v>
          </cell>
          <cell r="S867">
            <v>0</v>
          </cell>
          <cell r="T867">
            <v>3138400</v>
          </cell>
          <cell r="V867">
            <v>0</v>
          </cell>
          <cell r="W867">
            <v>0</v>
          </cell>
          <cell r="X867">
            <v>0</v>
          </cell>
          <cell r="Z867">
            <v>0</v>
          </cell>
          <cell r="AB867">
            <v>0</v>
          </cell>
          <cell r="AD867">
            <v>0</v>
          </cell>
          <cell r="AF867">
            <v>0</v>
          </cell>
        </row>
        <row r="868">
          <cell r="A868">
            <v>867</v>
          </cell>
          <cell r="C868" t="e">
            <v>#N/A</v>
          </cell>
          <cell r="D868" t="e">
            <v>#N/A</v>
          </cell>
          <cell r="E868" t="e">
            <v>#N/A</v>
          </cell>
          <cell r="F868" t="e">
            <v>#N/A</v>
          </cell>
          <cell r="G868" t="e">
            <v>#N/A</v>
          </cell>
          <cell r="O868" t="e">
            <v>#N/A</v>
          </cell>
          <cell r="S868">
            <v>0</v>
          </cell>
          <cell r="T868">
            <v>3138400</v>
          </cell>
          <cell r="V868">
            <v>0</v>
          </cell>
          <cell r="W868">
            <v>0</v>
          </cell>
          <cell r="X868">
            <v>0</v>
          </cell>
          <cell r="Z868">
            <v>0</v>
          </cell>
          <cell r="AB868">
            <v>0</v>
          </cell>
          <cell r="AD868">
            <v>0</v>
          </cell>
          <cell r="AF868">
            <v>0</v>
          </cell>
        </row>
        <row r="869">
          <cell r="A869">
            <v>868</v>
          </cell>
          <cell r="C869" t="e">
            <v>#N/A</v>
          </cell>
          <cell r="D869" t="e">
            <v>#N/A</v>
          </cell>
          <cell r="E869" t="e">
            <v>#N/A</v>
          </cell>
          <cell r="F869" t="e">
            <v>#N/A</v>
          </cell>
          <cell r="G869" t="e">
            <v>#N/A</v>
          </cell>
          <cell r="O869" t="e">
            <v>#N/A</v>
          </cell>
          <cell r="S869">
            <v>0</v>
          </cell>
          <cell r="T869">
            <v>3138400</v>
          </cell>
          <cell r="V869">
            <v>0</v>
          </cell>
          <cell r="W869">
            <v>0</v>
          </cell>
          <cell r="X869">
            <v>0</v>
          </cell>
          <cell r="Z869">
            <v>0</v>
          </cell>
          <cell r="AB869">
            <v>0</v>
          </cell>
          <cell r="AD869">
            <v>0</v>
          </cell>
          <cell r="AF869">
            <v>0</v>
          </cell>
        </row>
        <row r="870">
          <cell r="A870">
            <v>869</v>
          </cell>
          <cell r="C870" t="e">
            <v>#N/A</v>
          </cell>
          <cell r="D870" t="e">
            <v>#N/A</v>
          </cell>
          <cell r="E870" t="e">
            <v>#N/A</v>
          </cell>
          <cell r="F870" t="e">
            <v>#N/A</v>
          </cell>
          <cell r="G870" t="e">
            <v>#N/A</v>
          </cell>
          <cell r="O870" t="e">
            <v>#N/A</v>
          </cell>
          <cell r="S870">
            <v>0</v>
          </cell>
          <cell r="T870">
            <v>3138400</v>
          </cell>
          <cell r="V870">
            <v>0</v>
          </cell>
          <cell r="W870">
            <v>0</v>
          </cell>
          <cell r="X870">
            <v>0</v>
          </cell>
          <cell r="Z870">
            <v>0</v>
          </cell>
          <cell r="AB870">
            <v>0</v>
          </cell>
          <cell r="AD870">
            <v>0</v>
          </cell>
          <cell r="AF870">
            <v>0</v>
          </cell>
        </row>
        <row r="871">
          <cell r="A871">
            <v>870</v>
          </cell>
          <cell r="C871" t="e">
            <v>#N/A</v>
          </cell>
          <cell r="D871" t="e">
            <v>#N/A</v>
          </cell>
          <cell r="E871" t="e">
            <v>#N/A</v>
          </cell>
          <cell r="F871" t="e">
            <v>#N/A</v>
          </cell>
          <cell r="G871" t="e">
            <v>#N/A</v>
          </cell>
          <cell r="O871" t="e">
            <v>#N/A</v>
          </cell>
          <cell r="S871">
            <v>0</v>
          </cell>
          <cell r="T871">
            <v>3138400</v>
          </cell>
          <cell r="V871">
            <v>0</v>
          </cell>
          <cell r="W871">
            <v>0</v>
          </cell>
          <cell r="X871">
            <v>0</v>
          </cell>
          <cell r="Z871">
            <v>0</v>
          </cell>
          <cell r="AB871">
            <v>0</v>
          </cell>
          <cell r="AD871">
            <v>0</v>
          </cell>
          <cell r="AF871">
            <v>0</v>
          </cell>
        </row>
        <row r="872">
          <cell r="A872">
            <v>871</v>
          </cell>
          <cell r="C872" t="e">
            <v>#N/A</v>
          </cell>
          <cell r="D872" t="e">
            <v>#N/A</v>
          </cell>
          <cell r="E872" t="e">
            <v>#N/A</v>
          </cell>
          <cell r="F872" t="e">
            <v>#N/A</v>
          </cell>
          <cell r="G872" t="e">
            <v>#N/A</v>
          </cell>
          <cell r="O872" t="e">
            <v>#N/A</v>
          </cell>
          <cell r="S872">
            <v>0</v>
          </cell>
          <cell r="T872">
            <v>3138400</v>
          </cell>
          <cell r="V872">
            <v>0</v>
          </cell>
          <cell r="W872">
            <v>0</v>
          </cell>
          <cell r="X872">
            <v>0</v>
          </cell>
          <cell r="Z872">
            <v>0</v>
          </cell>
          <cell r="AB872">
            <v>0</v>
          </cell>
          <cell r="AD872">
            <v>0</v>
          </cell>
          <cell r="AF872">
            <v>0</v>
          </cell>
        </row>
        <row r="873">
          <cell r="A873">
            <v>872</v>
          </cell>
          <cell r="C873" t="e">
            <v>#N/A</v>
          </cell>
          <cell r="D873" t="e">
            <v>#N/A</v>
          </cell>
          <cell r="E873" t="e">
            <v>#N/A</v>
          </cell>
          <cell r="F873" t="e">
            <v>#N/A</v>
          </cell>
          <cell r="G873" t="e">
            <v>#N/A</v>
          </cell>
          <cell r="O873" t="e">
            <v>#N/A</v>
          </cell>
          <cell r="S873">
            <v>0</v>
          </cell>
          <cell r="T873">
            <v>3138400</v>
          </cell>
          <cell r="V873">
            <v>0</v>
          </cell>
          <cell r="W873">
            <v>0</v>
          </cell>
          <cell r="X873">
            <v>0</v>
          </cell>
          <cell r="Z873">
            <v>0</v>
          </cell>
          <cell r="AB873">
            <v>0</v>
          </cell>
          <cell r="AD873">
            <v>0</v>
          </cell>
          <cell r="AF873">
            <v>0</v>
          </cell>
        </row>
        <row r="874">
          <cell r="A874">
            <v>873</v>
          </cell>
          <cell r="C874" t="e">
            <v>#N/A</v>
          </cell>
          <cell r="D874" t="e">
            <v>#N/A</v>
          </cell>
          <cell r="E874" t="e">
            <v>#N/A</v>
          </cell>
          <cell r="F874" t="e">
            <v>#N/A</v>
          </cell>
          <cell r="G874" t="e">
            <v>#N/A</v>
          </cell>
          <cell r="O874" t="e">
            <v>#N/A</v>
          </cell>
          <cell r="S874">
            <v>0</v>
          </cell>
          <cell r="T874">
            <v>3138400</v>
          </cell>
          <cell r="V874">
            <v>0</v>
          </cell>
          <cell r="W874">
            <v>0</v>
          </cell>
          <cell r="X874">
            <v>0</v>
          </cell>
          <cell r="Z874">
            <v>0</v>
          </cell>
          <cell r="AB874">
            <v>0</v>
          </cell>
          <cell r="AD874">
            <v>0</v>
          </cell>
          <cell r="AF874">
            <v>0</v>
          </cell>
        </row>
        <row r="875">
          <cell r="A875">
            <v>874</v>
          </cell>
          <cell r="C875" t="e">
            <v>#N/A</v>
          </cell>
          <cell r="D875" t="e">
            <v>#N/A</v>
          </cell>
          <cell r="E875" t="e">
            <v>#N/A</v>
          </cell>
          <cell r="F875" t="e">
            <v>#N/A</v>
          </cell>
          <cell r="G875" t="e">
            <v>#N/A</v>
          </cell>
          <cell r="O875" t="e">
            <v>#N/A</v>
          </cell>
          <cell r="S875">
            <v>0</v>
          </cell>
          <cell r="T875">
            <v>3138400</v>
          </cell>
          <cell r="V875">
            <v>0</v>
          </cell>
          <cell r="W875">
            <v>0</v>
          </cell>
          <cell r="X875">
            <v>0</v>
          </cell>
          <cell r="Z875">
            <v>0</v>
          </cell>
          <cell r="AB875">
            <v>0</v>
          </cell>
          <cell r="AD875">
            <v>0</v>
          </cell>
          <cell r="AF875">
            <v>0</v>
          </cell>
        </row>
        <row r="876">
          <cell r="A876">
            <v>875</v>
          </cell>
          <cell r="C876" t="e">
            <v>#N/A</v>
          </cell>
          <cell r="D876" t="e">
            <v>#N/A</v>
          </cell>
          <cell r="E876" t="e">
            <v>#N/A</v>
          </cell>
          <cell r="F876" t="e">
            <v>#N/A</v>
          </cell>
          <cell r="G876" t="e">
            <v>#N/A</v>
          </cell>
          <cell r="O876" t="e">
            <v>#N/A</v>
          </cell>
          <cell r="S876">
            <v>0</v>
          </cell>
          <cell r="T876">
            <v>3138400</v>
          </cell>
          <cell r="V876">
            <v>0</v>
          </cell>
          <cell r="W876">
            <v>0</v>
          </cell>
          <cell r="X876">
            <v>0</v>
          </cell>
          <cell r="Z876">
            <v>0</v>
          </cell>
          <cell r="AB876">
            <v>0</v>
          </cell>
          <cell r="AD876">
            <v>0</v>
          </cell>
          <cell r="AF876">
            <v>0</v>
          </cell>
        </row>
        <row r="877">
          <cell r="A877">
            <v>876</v>
          </cell>
          <cell r="C877" t="e">
            <v>#N/A</v>
          </cell>
          <cell r="D877" t="e">
            <v>#N/A</v>
          </cell>
          <cell r="E877" t="e">
            <v>#N/A</v>
          </cell>
          <cell r="F877" t="e">
            <v>#N/A</v>
          </cell>
          <cell r="G877" t="e">
            <v>#N/A</v>
          </cell>
          <cell r="O877" t="e">
            <v>#N/A</v>
          </cell>
          <cell r="S877">
            <v>0</v>
          </cell>
          <cell r="T877">
            <v>3138400</v>
          </cell>
          <cell r="V877">
            <v>0</v>
          </cell>
          <cell r="W877">
            <v>0</v>
          </cell>
          <cell r="X877">
            <v>0</v>
          </cell>
          <cell r="Z877">
            <v>0</v>
          </cell>
          <cell r="AB877">
            <v>0</v>
          </cell>
          <cell r="AD877">
            <v>0</v>
          </cell>
          <cell r="AF877">
            <v>0</v>
          </cell>
        </row>
        <row r="878">
          <cell r="A878">
            <v>877</v>
          </cell>
          <cell r="C878" t="e">
            <v>#N/A</v>
          </cell>
          <cell r="D878" t="e">
            <v>#N/A</v>
          </cell>
          <cell r="E878" t="e">
            <v>#N/A</v>
          </cell>
          <cell r="F878" t="e">
            <v>#N/A</v>
          </cell>
          <cell r="G878" t="e">
            <v>#N/A</v>
          </cell>
          <cell r="O878" t="e">
            <v>#N/A</v>
          </cell>
          <cell r="S878">
            <v>0</v>
          </cell>
          <cell r="T878">
            <v>3138400</v>
          </cell>
          <cell r="V878">
            <v>0</v>
          </cell>
          <cell r="W878">
            <v>0</v>
          </cell>
          <cell r="X878">
            <v>0</v>
          </cell>
          <cell r="Z878">
            <v>0</v>
          </cell>
          <cell r="AB878">
            <v>0</v>
          </cell>
          <cell r="AD878">
            <v>0</v>
          </cell>
          <cell r="AF878">
            <v>0</v>
          </cell>
        </row>
        <row r="879">
          <cell r="A879">
            <v>878</v>
          </cell>
          <cell r="C879" t="e">
            <v>#N/A</v>
          </cell>
          <cell r="D879" t="e">
            <v>#N/A</v>
          </cell>
          <cell r="E879" t="e">
            <v>#N/A</v>
          </cell>
          <cell r="F879" t="e">
            <v>#N/A</v>
          </cell>
          <cell r="G879" t="e">
            <v>#N/A</v>
          </cell>
          <cell r="O879" t="e">
            <v>#N/A</v>
          </cell>
          <cell r="S879">
            <v>0</v>
          </cell>
          <cell r="T879">
            <v>3138400</v>
          </cell>
          <cell r="V879">
            <v>0</v>
          </cell>
          <cell r="W879">
            <v>0</v>
          </cell>
          <cell r="X879">
            <v>0</v>
          </cell>
          <cell r="Z879">
            <v>0</v>
          </cell>
          <cell r="AB879">
            <v>0</v>
          </cell>
          <cell r="AD879">
            <v>0</v>
          </cell>
          <cell r="AF879">
            <v>0</v>
          </cell>
        </row>
        <row r="880">
          <cell r="A880">
            <v>879</v>
          </cell>
          <cell r="C880" t="e">
            <v>#N/A</v>
          </cell>
          <cell r="D880" t="e">
            <v>#N/A</v>
          </cell>
          <cell r="E880" t="e">
            <v>#N/A</v>
          </cell>
          <cell r="F880" t="e">
            <v>#N/A</v>
          </cell>
          <cell r="G880" t="e">
            <v>#N/A</v>
          </cell>
          <cell r="O880" t="e">
            <v>#N/A</v>
          </cell>
          <cell r="S880">
            <v>0</v>
          </cell>
          <cell r="T880">
            <v>3138400</v>
          </cell>
          <cell r="V880">
            <v>0</v>
          </cell>
          <cell r="W880">
            <v>0</v>
          </cell>
          <cell r="X880">
            <v>0</v>
          </cell>
          <cell r="Z880">
            <v>0</v>
          </cell>
          <cell r="AB880">
            <v>0</v>
          </cell>
          <cell r="AD880">
            <v>0</v>
          </cell>
          <cell r="AF880">
            <v>0</v>
          </cell>
        </row>
        <row r="881">
          <cell r="A881">
            <v>880</v>
          </cell>
          <cell r="C881" t="e">
            <v>#N/A</v>
          </cell>
          <cell r="D881" t="e">
            <v>#N/A</v>
          </cell>
          <cell r="E881" t="e">
            <v>#N/A</v>
          </cell>
          <cell r="F881" t="e">
            <v>#N/A</v>
          </cell>
          <cell r="G881" t="e">
            <v>#N/A</v>
          </cell>
          <cell r="O881" t="e">
            <v>#N/A</v>
          </cell>
          <cell r="S881">
            <v>0</v>
          </cell>
          <cell r="T881">
            <v>3138400</v>
          </cell>
          <cell r="V881">
            <v>0</v>
          </cell>
          <cell r="W881">
            <v>0</v>
          </cell>
          <cell r="X881">
            <v>0</v>
          </cell>
          <cell r="Z881">
            <v>0</v>
          </cell>
          <cell r="AB881">
            <v>0</v>
          </cell>
          <cell r="AD881">
            <v>0</v>
          </cell>
          <cell r="AF881">
            <v>0</v>
          </cell>
        </row>
        <row r="882">
          <cell r="A882">
            <v>881</v>
          </cell>
          <cell r="C882" t="e">
            <v>#N/A</v>
          </cell>
          <cell r="D882" t="e">
            <v>#N/A</v>
          </cell>
          <cell r="E882" t="e">
            <v>#N/A</v>
          </cell>
          <cell r="F882" t="e">
            <v>#N/A</v>
          </cell>
          <cell r="G882" t="e">
            <v>#N/A</v>
          </cell>
          <cell r="O882" t="e">
            <v>#N/A</v>
          </cell>
          <cell r="S882">
            <v>0</v>
          </cell>
          <cell r="T882">
            <v>3138400</v>
          </cell>
          <cell r="V882">
            <v>0</v>
          </cell>
          <cell r="W882">
            <v>0</v>
          </cell>
          <cell r="X882">
            <v>0</v>
          </cell>
          <cell r="Z882">
            <v>0</v>
          </cell>
          <cell r="AB882">
            <v>0</v>
          </cell>
          <cell r="AD882">
            <v>0</v>
          </cell>
          <cell r="AF882">
            <v>0</v>
          </cell>
        </row>
        <row r="883">
          <cell r="A883">
            <v>882</v>
          </cell>
          <cell r="C883" t="e">
            <v>#N/A</v>
          </cell>
          <cell r="D883" t="e">
            <v>#N/A</v>
          </cell>
          <cell r="E883" t="e">
            <v>#N/A</v>
          </cell>
          <cell r="F883" t="e">
            <v>#N/A</v>
          </cell>
          <cell r="G883" t="e">
            <v>#N/A</v>
          </cell>
          <cell r="O883" t="e">
            <v>#N/A</v>
          </cell>
          <cell r="S883">
            <v>0</v>
          </cell>
          <cell r="T883">
            <v>3138400</v>
          </cell>
          <cell r="V883">
            <v>0</v>
          </cell>
          <cell r="W883">
            <v>0</v>
          </cell>
          <cell r="X883">
            <v>0</v>
          </cell>
          <cell r="Z883">
            <v>0</v>
          </cell>
          <cell r="AB883">
            <v>0</v>
          </cell>
          <cell r="AD883">
            <v>0</v>
          </cell>
          <cell r="AF883">
            <v>0</v>
          </cell>
        </row>
        <row r="884">
          <cell r="A884">
            <v>883</v>
          </cell>
          <cell r="C884" t="e">
            <v>#N/A</v>
          </cell>
          <cell r="D884" t="e">
            <v>#N/A</v>
          </cell>
          <cell r="E884" t="e">
            <v>#N/A</v>
          </cell>
          <cell r="F884" t="e">
            <v>#N/A</v>
          </cell>
          <cell r="G884" t="e">
            <v>#N/A</v>
          </cell>
          <cell r="O884" t="e">
            <v>#N/A</v>
          </cell>
          <cell r="S884">
            <v>0</v>
          </cell>
          <cell r="T884">
            <v>3138400</v>
          </cell>
          <cell r="V884">
            <v>0</v>
          </cell>
          <cell r="W884">
            <v>0</v>
          </cell>
          <cell r="X884">
            <v>0</v>
          </cell>
          <cell r="Z884">
            <v>0</v>
          </cell>
          <cell r="AB884">
            <v>0</v>
          </cell>
          <cell r="AD884">
            <v>0</v>
          </cell>
          <cell r="AF884">
            <v>0</v>
          </cell>
        </row>
        <row r="885">
          <cell r="A885">
            <v>884</v>
          </cell>
          <cell r="C885" t="e">
            <v>#N/A</v>
          </cell>
          <cell r="D885" t="e">
            <v>#N/A</v>
          </cell>
          <cell r="E885" t="e">
            <v>#N/A</v>
          </cell>
          <cell r="F885" t="e">
            <v>#N/A</v>
          </cell>
          <cell r="G885" t="e">
            <v>#N/A</v>
          </cell>
          <cell r="O885" t="e">
            <v>#N/A</v>
          </cell>
          <cell r="S885">
            <v>0</v>
          </cell>
          <cell r="T885">
            <v>3138400</v>
          </cell>
          <cell r="V885">
            <v>0</v>
          </cell>
          <cell r="W885">
            <v>0</v>
          </cell>
          <cell r="X885">
            <v>0</v>
          </cell>
          <cell r="Z885">
            <v>0</v>
          </cell>
          <cell r="AB885">
            <v>0</v>
          </cell>
          <cell r="AD885">
            <v>0</v>
          </cell>
          <cell r="AF885">
            <v>0</v>
          </cell>
        </row>
        <row r="886">
          <cell r="A886">
            <v>885</v>
          </cell>
          <cell r="C886" t="e">
            <v>#N/A</v>
          </cell>
          <cell r="D886" t="e">
            <v>#N/A</v>
          </cell>
          <cell r="E886" t="e">
            <v>#N/A</v>
          </cell>
          <cell r="F886" t="e">
            <v>#N/A</v>
          </cell>
          <cell r="G886" t="e">
            <v>#N/A</v>
          </cell>
          <cell r="O886" t="e">
            <v>#N/A</v>
          </cell>
          <cell r="S886">
            <v>0</v>
          </cell>
          <cell r="T886">
            <v>3138400</v>
          </cell>
          <cell r="V886">
            <v>0</v>
          </cell>
          <cell r="W886">
            <v>0</v>
          </cell>
          <cell r="X886">
            <v>0</v>
          </cell>
          <cell r="Z886">
            <v>0</v>
          </cell>
          <cell r="AB886">
            <v>0</v>
          </cell>
          <cell r="AD886">
            <v>0</v>
          </cell>
          <cell r="AF886">
            <v>0</v>
          </cell>
        </row>
        <row r="887">
          <cell r="A887">
            <v>886</v>
          </cell>
          <cell r="C887" t="e">
            <v>#N/A</v>
          </cell>
          <cell r="D887" t="e">
            <v>#N/A</v>
          </cell>
          <cell r="E887" t="e">
            <v>#N/A</v>
          </cell>
          <cell r="F887" t="e">
            <v>#N/A</v>
          </cell>
          <cell r="G887" t="e">
            <v>#N/A</v>
          </cell>
          <cell r="O887" t="e">
            <v>#N/A</v>
          </cell>
          <cell r="S887">
            <v>0</v>
          </cell>
          <cell r="T887">
            <v>3138400</v>
          </cell>
          <cell r="V887">
            <v>0</v>
          </cell>
          <cell r="W887">
            <v>0</v>
          </cell>
          <cell r="X887">
            <v>0</v>
          </cell>
          <cell r="Z887">
            <v>0</v>
          </cell>
          <cell r="AB887">
            <v>0</v>
          </cell>
          <cell r="AD887">
            <v>0</v>
          </cell>
          <cell r="AF887">
            <v>0</v>
          </cell>
        </row>
        <row r="888">
          <cell r="A888">
            <v>887</v>
          </cell>
          <cell r="C888" t="e">
            <v>#N/A</v>
          </cell>
          <cell r="D888" t="e">
            <v>#N/A</v>
          </cell>
          <cell r="E888" t="e">
            <v>#N/A</v>
          </cell>
          <cell r="F888" t="e">
            <v>#N/A</v>
          </cell>
          <cell r="G888" t="e">
            <v>#N/A</v>
          </cell>
          <cell r="O888" t="e">
            <v>#N/A</v>
          </cell>
          <cell r="S888">
            <v>0</v>
          </cell>
          <cell r="T888">
            <v>3138400</v>
          </cell>
          <cell r="V888">
            <v>0</v>
          </cell>
          <cell r="W888">
            <v>0</v>
          </cell>
          <cell r="X888">
            <v>0</v>
          </cell>
          <cell r="Z888">
            <v>0</v>
          </cell>
          <cell r="AB888">
            <v>0</v>
          </cell>
          <cell r="AD888">
            <v>0</v>
          </cell>
          <cell r="AF888">
            <v>0</v>
          </cell>
        </row>
        <row r="889">
          <cell r="A889">
            <v>888</v>
          </cell>
          <cell r="C889" t="e">
            <v>#N/A</v>
          </cell>
          <cell r="D889" t="e">
            <v>#N/A</v>
          </cell>
          <cell r="E889" t="e">
            <v>#N/A</v>
          </cell>
          <cell r="F889" t="e">
            <v>#N/A</v>
          </cell>
          <cell r="G889" t="e">
            <v>#N/A</v>
          </cell>
          <cell r="O889" t="e">
            <v>#N/A</v>
          </cell>
          <cell r="S889">
            <v>0</v>
          </cell>
          <cell r="T889">
            <v>3138400</v>
          </cell>
          <cell r="V889">
            <v>0</v>
          </cell>
          <cell r="W889">
            <v>0</v>
          </cell>
          <cell r="X889">
            <v>0</v>
          </cell>
          <cell r="Z889">
            <v>0</v>
          </cell>
          <cell r="AB889">
            <v>0</v>
          </cell>
          <cell r="AD889">
            <v>0</v>
          </cell>
          <cell r="AF889">
            <v>0</v>
          </cell>
        </row>
        <row r="890">
          <cell r="A890">
            <v>889</v>
          </cell>
          <cell r="C890" t="e">
            <v>#N/A</v>
          </cell>
          <cell r="D890" t="e">
            <v>#N/A</v>
          </cell>
          <cell r="E890" t="e">
            <v>#N/A</v>
          </cell>
          <cell r="F890" t="e">
            <v>#N/A</v>
          </cell>
          <cell r="G890" t="e">
            <v>#N/A</v>
          </cell>
          <cell r="O890" t="e">
            <v>#N/A</v>
          </cell>
          <cell r="S890">
            <v>0</v>
          </cell>
          <cell r="T890">
            <v>3138400</v>
          </cell>
          <cell r="V890">
            <v>0</v>
          </cell>
          <cell r="W890">
            <v>0</v>
          </cell>
          <cell r="X890">
            <v>0</v>
          </cell>
          <cell r="Z890">
            <v>0</v>
          </cell>
          <cell r="AB890">
            <v>0</v>
          </cell>
          <cell r="AD890">
            <v>0</v>
          </cell>
          <cell r="AF890">
            <v>0</v>
          </cell>
        </row>
        <row r="891">
          <cell r="A891">
            <v>890</v>
          </cell>
          <cell r="C891" t="e">
            <v>#N/A</v>
          </cell>
          <cell r="D891" t="e">
            <v>#N/A</v>
          </cell>
          <cell r="E891" t="e">
            <v>#N/A</v>
          </cell>
          <cell r="F891" t="e">
            <v>#N/A</v>
          </cell>
          <cell r="G891" t="e">
            <v>#N/A</v>
          </cell>
          <cell r="O891" t="e">
            <v>#N/A</v>
          </cell>
          <cell r="S891">
            <v>0</v>
          </cell>
          <cell r="T891">
            <v>3138400</v>
          </cell>
          <cell r="V891">
            <v>0</v>
          </cell>
          <cell r="W891">
            <v>0</v>
          </cell>
          <cell r="X891">
            <v>0</v>
          </cell>
          <cell r="Z891">
            <v>0</v>
          </cell>
          <cell r="AB891">
            <v>0</v>
          </cell>
          <cell r="AD891">
            <v>0</v>
          </cell>
          <cell r="AF891">
            <v>0</v>
          </cell>
        </row>
        <row r="892">
          <cell r="A892">
            <v>891</v>
          </cell>
          <cell r="C892" t="e">
            <v>#N/A</v>
          </cell>
          <cell r="D892" t="e">
            <v>#N/A</v>
          </cell>
          <cell r="E892" t="e">
            <v>#N/A</v>
          </cell>
          <cell r="F892" t="e">
            <v>#N/A</v>
          </cell>
          <cell r="G892" t="e">
            <v>#N/A</v>
          </cell>
          <cell r="O892" t="e">
            <v>#N/A</v>
          </cell>
          <cell r="S892">
            <v>0</v>
          </cell>
          <cell r="T892">
            <v>3138400</v>
          </cell>
          <cell r="V892">
            <v>0</v>
          </cell>
          <cell r="W892">
            <v>0</v>
          </cell>
          <cell r="X892">
            <v>0</v>
          </cell>
          <cell r="Z892">
            <v>0</v>
          </cell>
          <cell r="AB892">
            <v>0</v>
          </cell>
          <cell r="AD892">
            <v>0</v>
          </cell>
          <cell r="AF892">
            <v>0</v>
          </cell>
        </row>
        <row r="893">
          <cell r="A893">
            <v>892</v>
          </cell>
          <cell r="C893" t="e">
            <v>#N/A</v>
          </cell>
          <cell r="D893" t="e">
            <v>#N/A</v>
          </cell>
          <cell r="E893" t="e">
            <v>#N/A</v>
          </cell>
          <cell r="F893" t="e">
            <v>#N/A</v>
          </cell>
          <cell r="G893" t="e">
            <v>#N/A</v>
          </cell>
          <cell r="O893" t="e">
            <v>#N/A</v>
          </cell>
          <cell r="S893">
            <v>0</v>
          </cell>
          <cell r="T893">
            <v>3138400</v>
          </cell>
          <cell r="V893">
            <v>0</v>
          </cell>
          <cell r="W893">
            <v>0</v>
          </cell>
          <cell r="X893">
            <v>0</v>
          </cell>
          <cell r="Z893">
            <v>0</v>
          </cell>
          <cell r="AB893">
            <v>0</v>
          </cell>
          <cell r="AD893">
            <v>0</v>
          </cell>
          <cell r="AF893">
            <v>0</v>
          </cell>
        </row>
        <row r="894">
          <cell r="A894">
            <v>893</v>
          </cell>
          <cell r="C894" t="e">
            <v>#N/A</v>
          </cell>
          <cell r="D894" t="e">
            <v>#N/A</v>
          </cell>
          <cell r="E894" t="e">
            <v>#N/A</v>
          </cell>
          <cell r="F894" t="e">
            <v>#N/A</v>
          </cell>
          <cell r="G894" t="e">
            <v>#N/A</v>
          </cell>
          <cell r="O894" t="e">
            <v>#N/A</v>
          </cell>
          <cell r="S894">
            <v>0</v>
          </cell>
          <cell r="T894">
            <v>3138400</v>
          </cell>
          <cell r="U894" t="str">
            <v>ya</v>
          </cell>
          <cell r="V894" t="e">
            <v>#N/A</v>
          </cell>
          <cell r="W894" t="e">
            <v>#N/A</v>
          </cell>
          <cell r="X894" t="e">
            <v>#N/A</v>
          </cell>
          <cell r="Z894">
            <v>0</v>
          </cell>
          <cell r="AB894">
            <v>0</v>
          </cell>
          <cell r="AD894">
            <v>0</v>
          </cell>
          <cell r="AF894">
            <v>0</v>
          </cell>
        </row>
        <row r="895">
          <cell r="A895">
            <v>894</v>
          </cell>
          <cell r="C895" t="e">
            <v>#N/A</v>
          </cell>
          <cell r="D895" t="e">
            <v>#N/A</v>
          </cell>
          <cell r="E895" t="e">
            <v>#N/A</v>
          </cell>
          <cell r="F895" t="e">
            <v>#N/A</v>
          </cell>
          <cell r="G895" t="e">
            <v>#N/A</v>
          </cell>
          <cell r="O895" t="e">
            <v>#N/A</v>
          </cell>
          <cell r="S895">
            <v>0</v>
          </cell>
          <cell r="T895">
            <v>3138400</v>
          </cell>
          <cell r="U895" t="str">
            <v>ya</v>
          </cell>
          <cell r="V895" t="e">
            <v>#N/A</v>
          </cell>
          <cell r="W895" t="e">
            <v>#N/A</v>
          </cell>
          <cell r="X895" t="e">
            <v>#N/A</v>
          </cell>
          <cell r="Z895">
            <v>0</v>
          </cell>
          <cell r="AB895">
            <v>0</v>
          </cell>
          <cell r="AD895">
            <v>0</v>
          </cell>
          <cell r="AF895">
            <v>0</v>
          </cell>
        </row>
        <row r="896">
          <cell r="A896">
            <v>895</v>
          </cell>
          <cell r="C896" t="e">
            <v>#N/A</v>
          </cell>
          <cell r="D896" t="e">
            <v>#N/A</v>
          </cell>
          <cell r="E896" t="e">
            <v>#N/A</v>
          </cell>
          <cell r="F896" t="e">
            <v>#N/A</v>
          </cell>
          <cell r="G896" t="e">
            <v>#N/A</v>
          </cell>
          <cell r="O896" t="e">
            <v>#N/A</v>
          </cell>
          <cell r="S896">
            <v>0</v>
          </cell>
          <cell r="T896">
            <v>3138400</v>
          </cell>
          <cell r="U896" t="str">
            <v>ya</v>
          </cell>
          <cell r="V896" t="e">
            <v>#N/A</v>
          </cell>
          <cell r="W896" t="e">
            <v>#N/A</v>
          </cell>
          <cell r="X896" t="e">
            <v>#N/A</v>
          </cell>
          <cell r="Z896">
            <v>0</v>
          </cell>
          <cell r="AB896">
            <v>0</v>
          </cell>
          <cell r="AD896">
            <v>0</v>
          </cell>
          <cell r="AF896">
            <v>0</v>
          </cell>
        </row>
        <row r="897">
          <cell r="A897">
            <v>896</v>
          </cell>
          <cell r="C897" t="e">
            <v>#N/A</v>
          </cell>
          <cell r="D897" t="e">
            <v>#N/A</v>
          </cell>
          <cell r="E897" t="e">
            <v>#N/A</v>
          </cell>
          <cell r="F897" t="e">
            <v>#N/A</v>
          </cell>
          <cell r="G897" t="e">
            <v>#N/A</v>
          </cell>
          <cell r="O897" t="e">
            <v>#N/A</v>
          </cell>
          <cell r="S897">
            <v>0</v>
          </cell>
          <cell r="T897">
            <v>3138400</v>
          </cell>
          <cell r="V897">
            <v>0</v>
          </cell>
          <cell r="W897">
            <v>0</v>
          </cell>
          <cell r="X897">
            <v>0</v>
          </cell>
          <cell r="Z897">
            <v>0</v>
          </cell>
          <cell r="AB897">
            <v>0</v>
          </cell>
          <cell r="AD897">
            <v>0</v>
          </cell>
          <cell r="AF897">
            <v>0</v>
          </cell>
        </row>
        <row r="898">
          <cell r="A898">
            <v>897</v>
          </cell>
          <cell r="C898" t="e">
            <v>#N/A</v>
          </cell>
          <cell r="D898" t="e">
            <v>#N/A</v>
          </cell>
          <cell r="E898" t="e">
            <v>#N/A</v>
          </cell>
          <cell r="F898" t="e">
            <v>#N/A</v>
          </cell>
          <cell r="G898" t="e">
            <v>#N/A</v>
          </cell>
          <cell r="O898" t="e">
            <v>#N/A</v>
          </cell>
          <cell r="S898">
            <v>0</v>
          </cell>
          <cell r="T898">
            <v>3138400</v>
          </cell>
          <cell r="V898">
            <v>0</v>
          </cell>
          <cell r="W898">
            <v>0</v>
          </cell>
          <cell r="X898">
            <v>0</v>
          </cell>
          <cell r="Z898">
            <v>0</v>
          </cell>
          <cell r="AB898">
            <v>0</v>
          </cell>
          <cell r="AD898">
            <v>0</v>
          </cell>
          <cell r="AF898">
            <v>0</v>
          </cell>
        </row>
        <row r="899">
          <cell r="A899">
            <v>898</v>
          </cell>
          <cell r="C899" t="e">
            <v>#N/A</v>
          </cell>
          <cell r="D899" t="e">
            <v>#N/A</v>
          </cell>
          <cell r="E899" t="e">
            <v>#N/A</v>
          </cell>
          <cell r="F899" t="e">
            <v>#N/A</v>
          </cell>
          <cell r="G899" t="e">
            <v>#N/A</v>
          </cell>
          <cell r="O899" t="e">
            <v>#N/A</v>
          </cell>
          <cell r="S899">
            <v>0</v>
          </cell>
          <cell r="T899">
            <v>3138400</v>
          </cell>
          <cell r="V899">
            <v>0</v>
          </cell>
          <cell r="W899">
            <v>0</v>
          </cell>
          <cell r="X899">
            <v>0</v>
          </cell>
          <cell r="Z899">
            <v>0</v>
          </cell>
          <cell r="AB899">
            <v>0</v>
          </cell>
          <cell r="AD899">
            <v>0</v>
          </cell>
          <cell r="AF899">
            <v>0</v>
          </cell>
        </row>
        <row r="900">
          <cell r="A900">
            <v>899</v>
          </cell>
          <cell r="C900" t="e">
            <v>#N/A</v>
          </cell>
          <cell r="D900" t="e">
            <v>#N/A</v>
          </cell>
          <cell r="E900" t="e">
            <v>#N/A</v>
          </cell>
          <cell r="F900" t="e">
            <v>#N/A</v>
          </cell>
          <cell r="G900" t="e">
            <v>#N/A</v>
          </cell>
          <cell r="O900" t="e">
            <v>#N/A</v>
          </cell>
          <cell r="S900">
            <v>0</v>
          </cell>
          <cell r="T900">
            <v>3138400</v>
          </cell>
          <cell r="V900">
            <v>0</v>
          </cell>
          <cell r="W900">
            <v>0</v>
          </cell>
          <cell r="X900">
            <v>0</v>
          </cell>
          <cell r="Z900">
            <v>0</v>
          </cell>
          <cell r="AB900">
            <v>0</v>
          </cell>
          <cell r="AD900">
            <v>0</v>
          </cell>
          <cell r="AF900">
            <v>0</v>
          </cell>
        </row>
        <row r="901">
          <cell r="A901">
            <v>900</v>
          </cell>
          <cell r="C901" t="e">
            <v>#N/A</v>
          </cell>
          <cell r="D901" t="e">
            <v>#N/A</v>
          </cell>
          <cell r="E901" t="e">
            <v>#N/A</v>
          </cell>
          <cell r="F901" t="e">
            <v>#N/A</v>
          </cell>
          <cell r="G901" t="e">
            <v>#N/A</v>
          </cell>
          <cell r="O901" t="e">
            <v>#N/A</v>
          </cell>
          <cell r="S901">
            <v>0</v>
          </cell>
          <cell r="T901">
            <v>3138400</v>
          </cell>
          <cell r="V901">
            <v>0</v>
          </cell>
          <cell r="W901">
            <v>0</v>
          </cell>
          <cell r="X901">
            <v>0</v>
          </cell>
          <cell r="Z901">
            <v>0</v>
          </cell>
          <cell r="AB901">
            <v>0</v>
          </cell>
          <cell r="AD901">
            <v>0</v>
          </cell>
          <cell r="AF901">
            <v>0</v>
          </cell>
        </row>
        <row r="902">
          <cell r="A902">
            <v>901</v>
          </cell>
          <cell r="C902" t="e">
            <v>#N/A</v>
          </cell>
          <cell r="D902" t="e">
            <v>#N/A</v>
          </cell>
          <cell r="E902" t="e">
            <v>#N/A</v>
          </cell>
          <cell r="F902" t="e">
            <v>#N/A</v>
          </cell>
          <cell r="G902" t="e">
            <v>#N/A</v>
          </cell>
          <cell r="O902" t="e">
            <v>#N/A</v>
          </cell>
          <cell r="S902">
            <v>0</v>
          </cell>
          <cell r="T902">
            <v>3138400</v>
          </cell>
          <cell r="V902">
            <v>0</v>
          </cell>
          <cell r="W902">
            <v>0</v>
          </cell>
          <cell r="X902">
            <v>0</v>
          </cell>
          <cell r="Z902">
            <v>0</v>
          </cell>
          <cell r="AB902">
            <v>0</v>
          </cell>
          <cell r="AD902">
            <v>0</v>
          </cell>
          <cell r="AF902">
            <v>0</v>
          </cell>
        </row>
        <row r="903">
          <cell r="A903">
            <v>902</v>
          </cell>
          <cell r="C903" t="e">
            <v>#N/A</v>
          </cell>
          <cell r="D903" t="e">
            <v>#N/A</v>
          </cell>
          <cell r="E903" t="e">
            <v>#N/A</v>
          </cell>
          <cell r="F903" t="e">
            <v>#N/A</v>
          </cell>
          <cell r="G903" t="e">
            <v>#N/A</v>
          </cell>
          <cell r="O903" t="e">
            <v>#N/A</v>
          </cell>
          <cell r="S903">
            <v>0</v>
          </cell>
          <cell r="T903">
            <v>3138400</v>
          </cell>
          <cell r="V903">
            <v>0</v>
          </cell>
          <cell r="W903">
            <v>0</v>
          </cell>
          <cell r="X903">
            <v>0</v>
          </cell>
          <cell r="Z903">
            <v>0</v>
          </cell>
          <cell r="AB903">
            <v>0</v>
          </cell>
          <cell r="AD903">
            <v>0</v>
          </cell>
          <cell r="AF903">
            <v>0</v>
          </cell>
        </row>
        <row r="904">
          <cell r="A904">
            <v>903</v>
          </cell>
          <cell r="C904" t="e">
            <v>#N/A</v>
          </cell>
          <cell r="D904" t="e">
            <v>#N/A</v>
          </cell>
          <cell r="E904" t="e">
            <v>#N/A</v>
          </cell>
          <cell r="F904" t="e">
            <v>#N/A</v>
          </cell>
          <cell r="G904" t="e">
            <v>#N/A</v>
          </cell>
          <cell r="O904" t="e">
            <v>#N/A</v>
          </cell>
          <cell r="S904">
            <v>0</v>
          </cell>
          <cell r="T904">
            <v>3138400</v>
          </cell>
          <cell r="V904">
            <v>0</v>
          </cell>
          <cell r="W904">
            <v>0</v>
          </cell>
          <cell r="X904">
            <v>0</v>
          </cell>
          <cell r="Z904">
            <v>0</v>
          </cell>
          <cell r="AB904">
            <v>0</v>
          </cell>
          <cell r="AD904">
            <v>0</v>
          </cell>
          <cell r="AF904">
            <v>0</v>
          </cell>
        </row>
        <row r="905">
          <cell r="A905">
            <v>904</v>
          </cell>
          <cell r="C905" t="e">
            <v>#N/A</v>
          </cell>
          <cell r="D905" t="e">
            <v>#N/A</v>
          </cell>
          <cell r="E905" t="e">
            <v>#N/A</v>
          </cell>
          <cell r="F905" t="e">
            <v>#N/A</v>
          </cell>
          <cell r="G905" t="e">
            <v>#N/A</v>
          </cell>
          <cell r="O905" t="e">
            <v>#N/A</v>
          </cell>
          <cell r="S905">
            <v>0</v>
          </cell>
          <cell r="T905">
            <v>3138400</v>
          </cell>
          <cell r="V905">
            <v>0</v>
          </cell>
          <cell r="W905">
            <v>0</v>
          </cell>
          <cell r="X905">
            <v>0</v>
          </cell>
          <cell r="Z905">
            <v>0</v>
          </cell>
          <cell r="AB905">
            <v>0</v>
          </cell>
          <cell r="AD905">
            <v>0</v>
          </cell>
          <cell r="AF905">
            <v>0</v>
          </cell>
        </row>
        <row r="906">
          <cell r="A906">
            <v>905</v>
          </cell>
          <cell r="C906" t="e">
            <v>#N/A</v>
          </cell>
          <cell r="D906" t="e">
            <v>#N/A</v>
          </cell>
          <cell r="E906" t="e">
            <v>#N/A</v>
          </cell>
          <cell r="F906" t="e">
            <v>#N/A</v>
          </cell>
          <cell r="G906" t="e">
            <v>#N/A</v>
          </cell>
          <cell r="O906" t="e">
            <v>#N/A</v>
          </cell>
          <cell r="S906">
            <v>0</v>
          </cell>
          <cell r="T906">
            <v>3138400</v>
          </cell>
          <cell r="V906">
            <v>0</v>
          </cell>
          <cell r="W906">
            <v>0</v>
          </cell>
          <cell r="X906">
            <v>0</v>
          </cell>
          <cell r="Z906">
            <v>0</v>
          </cell>
          <cell r="AB906">
            <v>0</v>
          </cell>
          <cell r="AD906">
            <v>0</v>
          </cell>
          <cell r="AF906">
            <v>0</v>
          </cell>
        </row>
        <row r="907">
          <cell r="A907">
            <v>906</v>
          </cell>
          <cell r="C907" t="e">
            <v>#N/A</v>
          </cell>
          <cell r="D907" t="e">
            <v>#N/A</v>
          </cell>
          <cell r="E907" t="e">
            <v>#N/A</v>
          </cell>
          <cell r="F907" t="e">
            <v>#N/A</v>
          </cell>
          <cell r="G907" t="e">
            <v>#N/A</v>
          </cell>
          <cell r="O907" t="e">
            <v>#N/A</v>
          </cell>
          <cell r="S907">
            <v>0</v>
          </cell>
          <cell r="T907">
            <v>3138400</v>
          </cell>
          <cell r="V907">
            <v>0</v>
          </cell>
          <cell r="W907">
            <v>0</v>
          </cell>
          <cell r="X907">
            <v>0</v>
          </cell>
          <cell r="Z907">
            <v>0</v>
          </cell>
          <cell r="AB907">
            <v>0</v>
          </cell>
          <cell r="AD907">
            <v>0</v>
          </cell>
          <cell r="AF907">
            <v>0</v>
          </cell>
        </row>
        <row r="908">
          <cell r="A908">
            <v>907</v>
          </cell>
          <cell r="C908" t="e">
            <v>#N/A</v>
          </cell>
          <cell r="D908" t="e">
            <v>#N/A</v>
          </cell>
          <cell r="E908" t="e">
            <v>#N/A</v>
          </cell>
          <cell r="F908" t="e">
            <v>#N/A</v>
          </cell>
          <cell r="G908" t="e">
            <v>#N/A</v>
          </cell>
          <cell r="O908" t="e">
            <v>#N/A</v>
          </cell>
          <cell r="S908">
            <v>0</v>
          </cell>
          <cell r="T908">
            <v>3138400</v>
          </cell>
          <cell r="V908">
            <v>0</v>
          </cell>
          <cell r="W908">
            <v>0</v>
          </cell>
          <cell r="X908">
            <v>0</v>
          </cell>
          <cell r="Z908">
            <v>0</v>
          </cell>
          <cell r="AB908">
            <v>0</v>
          </cell>
          <cell r="AD908">
            <v>0</v>
          </cell>
          <cell r="AF908">
            <v>0</v>
          </cell>
        </row>
        <row r="909">
          <cell r="A909">
            <v>908</v>
          </cell>
          <cell r="C909" t="e">
            <v>#N/A</v>
          </cell>
          <cell r="D909" t="e">
            <v>#N/A</v>
          </cell>
          <cell r="E909" t="e">
            <v>#N/A</v>
          </cell>
          <cell r="F909" t="e">
            <v>#N/A</v>
          </cell>
          <cell r="G909" t="e">
            <v>#N/A</v>
          </cell>
          <cell r="O909" t="e">
            <v>#N/A</v>
          </cell>
          <cell r="S909">
            <v>0</v>
          </cell>
          <cell r="T909">
            <v>3138400</v>
          </cell>
          <cell r="V909">
            <v>0</v>
          </cell>
          <cell r="W909">
            <v>0</v>
          </cell>
          <cell r="X909">
            <v>0</v>
          </cell>
          <cell r="Z909">
            <v>0</v>
          </cell>
          <cell r="AB909">
            <v>0</v>
          </cell>
          <cell r="AD909">
            <v>0</v>
          </cell>
          <cell r="AF909">
            <v>0</v>
          </cell>
        </row>
        <row r="910">
          <cell r="A910">
            <v>909</v>
          </cell>
          <cell r="C910" t="e">
            <v>#N/A</v>
          </cell>
          <cell r="D910" t="e">
            <v>#N/A</v>
          </cell>
          <cell r="E910" t="e">
            <v>#N/A</v>
          </cell>
          <cell r="F910" t="e">
            <v>#N/A</v>
          </cell>
          <cell r="G910" t="e">
            <v>#N/A</v>
          </cell>
          <cell r="O910" t="e">
            <v>#N/A</v>
          </cell>
          <cell r="S910">
            <v>0</v>
          </cell>
          <cell r="T910">
            <v>3138400</v>
          </cell>
          <cell r="V910">
            <v>0</v>
          </cell>
          <cell r="W910">
            <v>0</v>
          </cell>
          <cell r="X910">
            <v>0</v>
          </cell>
          <cell r="Z910">
            <v>0</v>
          </cell>
          <cell r="AB910">
            <v>0</v>
          </cell>
          <cell r="AD910">
            <v>0</v>
          </cell>
          <cell r="AF910">
            <v>0</v>
          </cell>
        </row>
        <row r="911">
          <cell r="A911">
            <v>910</v>
          </cell>
          <cell r="C911" t="e">
            <v>#N/A</v>
          </cell>
          <cell r="D911" t="e">
            <v>#N/A</v>
          </cell>
          <cell r="E911" t="e">
            <v>#N/A</v>
          </cell>
          <cell r="F911" t="e">
            <v>#N/A</v>
          </cell>
          <cell r="G911" t="e">
            <v>#N/A</v>
          </cell>
          <cell r="O911" t="e">
            <v>#N/A</v>
          </cell>
          <cell r="S911">
            <v>0</v>
          </cell>
          <cell r="T911">
            <v>3138400</v>
          </cell>
          <cell r="V911">
            <v>0</v>
          </cell>
          <cell r="W911">
            <v>0</v>
          </cell>
          <cell r="X911">
            <v>0</v>
          </cell>
          <cell r="Z911">
            <v>0</v>
          </cell>
          <cell r="AB911">
            <v>0</v>
          </cell>
          <cell r="AD911">
            <v>0</v>
          </cell>
          <cell r="AF911">
            <v>0</v>
          </cell>
        </row>
        <row r="912">
          <cell r="A912">
            <v>911</v>
          </cell>
          <cell r="C912" t="e">
            <v>#N/A</v>
          </cell>
          <cell r="D912" t="e">
            <v>#N/A</v>
          </cell>
          <cell r="E912" t="e">
            <v>#N/A</v>
          </cell>
          <cell r="F912" t="e">
            <v>#N/A</v>
          </cell>
          <cell r="G912" t="e">
            <v>#N/A</v>
          </cell>
          <cell r="O912" t="e">
            <v>#N/A</v>
          </cell>
          <cell r="S912">
            <v>0</v>
          </cell>
          <cell r="T912">
            <v>3138400</v>
          </cell>
          <cell r="V912">
            <v>0</v>
          </cell>
          <cell r="W912">
            <v>0</v>
          </cell>
          <cell r="X912">
            <v>0</v>
          </cell>
          <cell r="Z912">
            <v>0</v>
          </cell>
          <cell r="AB912">
            <v>0</v>
          </cell>
          <cell r="AD912">
            <v>0</v>
          </cell>
          <cell r="AF912">
            <v>0</v>
          </cell>
        </row>
        <row r="913">
          <cell r="A913">
            <v>912</v>
          </cell>
          <cell r="C913" t="e">
            <v>#N/A</v>
          </cell>
          <cell r="D913" t="e">
            <v>#N/A</v>
          </cell>
          <cell r="E913" t="e">
            <v>#N/A</v>
          </cell>
          <cell r="F913" t="e">
            <v>#N/A</v>
          </cell>
          <cell r="G913" t="e">
            <v>#N/A</v>
          </cell>
          <cell r="O913" t="e">
            <v>#N/A</v>
          </cell>
          <cell r="S913">
            <v>0</v>
          </cell>
          <cell r="T913">
            <v>3138400</v>
          </cell>
          <cell r="V913">
            <v>0</v>
          </cell>
          <cell r="W913">
            <v>0</v>
          </cell>
          <cell r="X913">
            <v>0</v>
          </cell>
          <cell r="Z913">
            <v>0</v>
          </cell>
          <cell r="AB913">
            <v>0</v>
          </cell>
          <cell r="AD913">
            <v>0</v>
          </cell>
          <cell r="AF913">
            <v>0</v>
          </cell>
        </row>
        <row r="914">
          <cell r="A914">
            <v>913</v>
          </cell>
          <cell r="C914" t="e">
            <v>#N/A</v>
          </cell>
          <cell r="D914" t="e">
            <v>#N/A</v>
          </cell>
          <cell r="E914" t="e">
            <v>#N/A</v>
          </cell>
          <cell r="F914" t="e">
            <v>#N/A</v>
          </cell>
          <cell r="G914" t="e">
            <v>#N/A</v>
          </cell>
          <cell r="O914" t="e">
            <v>#N/A</v>
          </cell>
          <cell r="S914">
            <v>0</v>
          </cell>
          <cell r="T914">
            <v>3138400</v>
          </cell>
          <cell r="V914">
            <v>0</v>
          </cell>
          <cell r="W914">
            <v>0</v>
          </cell>
          <cell r="X914">
            <v>0</v>
          </cell>
          <cell r="Z914">
            <v>0</v>
          </cell>
          <cell r="AB914">
            <v>0</v>
          </cell>
          <cell r="AD914">
            <v>0</v>
          </cell>
          <cell r="AF914">
            <v>0</v>
          </cell>
        </row>
        <row r="915">
          <cell r="A915">
            <v>914</v>
          </cell>
          <cell r="C915" t="e">
            <v>#N/A</v>
          </cell>
          <cell r="D915" t="e">
            <v>#N/A</v>
          </cell>
          <cell r="E915" t="e">
            <v>#N/A</v>
          </cell>
          <cell r="F915" t="e">
            <v>#N/A</v>
          </cell>
          <cell r="G915" t="e">
            <v>#N/A</v>
          </cell>
          <cell r="O915" t="e">
            <v>#N/A</v>
          </cell>
          <cell r="S915">
            <v>0</v>
          </cell>
          <cell r="T915">
            <v>3138400</v>
          </cell>
          <cell r="V915">
            <v>0</v>
          </cell>
          <cell r="W915">
            <v>0</v>
          </cell>
          <cell r="X915">
            <v>0</v>
          </cell>
          <cell r="Z915">
            <v>0</v>
          </cell>
          <cell r="AB915">
            <v>0</v>
          </cell>
          <cell r="AD915">
            <v>0</v>
          </cell>
          <cell r="AF915">
            <v>0</v>
          </cell>
        </row>
        <row r="916">
          <cell r="A916">
            <v>915</v>
          </cell>
          <cell r="C916" t="e">
            <v>#N/A</v>
          </cell>
          <cell r="D916" t="e">
            <v>#N/A</v>
          </cell>
          <cell r="E916" t="e">
            <v>#N/A</v>
          </cell>
          <cell r="F916" t="e">
            <v>#N/A</v>
          </cell>
          <cell r="G916" t="e">
            <v>#N/A</v>
          </cell>
          <cell r="O916" t="e">
            <v>#N/A</v>
          </cell>
          <cell r="S916">
            <v>0</v>
          </cell>
          <cell r="T916">
            <v>3138400</v>
          </cell>
          <cell r="V916">
            <v>0</v>
          </cell>
          <cell r="W916">
            <v>0</v>
          </cell>
          <cell r="X916">
            <v>0</v>
          </cell>
          <cell r="Z916">
            <v>0</v>
          </cell>
          <cell r="AB916">
            <v>0</v>
          </cell>
          <cell r="AD916">
            <v>0</v>
          </cell>
          <cell r="AF916">
            <v>0</v>
          </cell>
        </row>
        <row r="917">
          <cell r="A917">
            <v>916</v>
          </cell>
          <cell r="C917" t="e">
            <v>#N/A</v>
          </cell>
          <cell r="D917" t="e">
            <v>#N/A</v>
          </cell>
          <cell r="E917" t="e">
            <v>#N/A</v>
          </cell>
          <cell r="F917" t="e">
            <v>#N/A</v>
          </cell>
          <cell r="G917" t="e">
            <v>#N/A</v>
          </cell>
          <cell r="O917" t="e">
            <v>#N/A</v>
          </cell>
          <cell r="S917">
            <v>0</v>
          </cell>
          <cell r="T917">
            <v>3138400</v>
          </cell>
          <cell r="V917">
            <v>0</v>
          </cell>
          <cell r="W917">
            <v>0</v>
          </cell>
          <cell r="X917">
            <v>0</v>
          </cell>
          <cell r="Z917">
            <v>0</v>
          </cell>
          <cell r="AB917">
            <v>0</v>
          </cell>
          <cell r="AD917">
            <v>0</v>
          </cell>
          <cell r="AF917">
            <v>0</v>
          </cell>
        </row>
        <row r="918">
          <cell r="A918">
            <v>917</v>
          </cell>
          <cell r="C918" t="e">
            <v>#N/A</v>
          </cell>
          <cell r="D918" t="e">
            <v>#N/A</v>
          </cell>
          <cell r="E918" t="e">
            <v>#N/A</v>
          </cell>
          <cell r="F918" t="e">
            <v>#N/A</v>
          </cell>
          <cell r="G918" t="e">
            <v>#N/A</v>
          </cell>
          <cell r="O918" t="e">
            <v>#N/A</v>
          </cell>
          <cell r="S918">
            <v>0</v>
          </cell>
          <cell r="T918">
            <v>3138400</v>
          </cell>
          <cell r="V918">
            <v>0</v>
          </cell>
          <cell r="W918">
            <v>0</v>
          </cell>
          <cell r="X918">
            <v>0</v>
          </cell>
          <cell r="Z918">
            <v>0</v>
          </cell>
          <cell r="AB918">
            <v>0</v>
          </cell>
          <cell r="AD918">
            <v>0</v>
          </cell>
          <cell r="AF918">
            <v>0</v>
          </cell>
        </row>
        <row r="919">
          <cell r="A919">
            <v>918</v>
          </cell>
          <cell r="C919" t="e">
            <v>#N/A</v>
          </cell>
          <cell r="D919" t="e">
            <v>#N/A</v>
          </cell>
          <cell r="E919" t="e">
            <v>#N/A</v>
          </cell>
          <cell r="F919" t="e">
            <v>#N/A</v>
          </cell>
          <cell r="G919" t="e">
            <v>#N/A</v>
          </cell>
          <cell r="O919" t="e">
            <v>#N/A</v>
          </cell>
          <cell r="S919">
            <v>0</v>
          </cell>
          <cell r="T919">
            <v>3138400</v>
          </cell>
          <cell r="V919">
            <v>0</v>
          </cell>
          <cell r="W919">
            <v>0</v>
          </cell>
          <cell r="X919">
            <v>0</v>
          </cell>
          <cell r="Z919">
            <v>0</v>
          </cell>
          <cell r="AB919">
            <v>0</v>
          </cell>
          <cell r="AD919">
            <v>0</v>
          </cell>
          <cell r="AF919">
            <v>0</v>
          </cell>
        </row>
        <row r="920">
          <cell r="A920">
            <v>919</v>
          </cell>
          <cell r="C920" t="e">
            <v>#N/A</v>
          </cell>
          <cell r="D920" t="e">
            <v>#N/A</v>
          </cell>
          <cell r="E920" t="e">
            <v>#N/A</v>
          </cell>
          <cell r="F920" t="e">
            <v>#N/A</v>
          </cell>
          <cell r="G920" t="e">
            <v>#N/A</v>
          </cell>
          <cell r="O920" t="e">
            <v>#N/A</v>
          </cell>
          <cell r="S920">
            <v>0</v>
          </cell>
          <cell r="T920">
            <v>3138400</v>
          </cell>
          <cell r="V920">
            <v>0</v>
          </cell>
          <cell r="W920">
            <v>0</v>
          </cell>
          <cell r="X920">
            <v>0</v>
          </cell>
          <cell r="Z920">
            <v>0</v>
          </cell>
          <cell r="AB920">
            <v>0</v>
          </cell>
          <cell r="AD920">
            <v>0</v>
          </cell>
          <cell r="AF920">
            <v>0</v>
          </cell>
        </row>
        <row r="921">
          <cell r="A921">
            <v>920</v>
          </cell>
          <cell r="C921" t="e">
            <v>#N/A</v>
          </cell>
          <cell r="D921" t="e">
            <v>#N/A</v>
          </cell>
          <cell r="E921" t="e">
            <v>#N/A</v>
          </cell>
          <cell r="F921" t="e">
            <v>#N/A</v>
          </cell>
          <cell r="G921" t="e">
            <v>#N/A</v>
          </cell>
          <cell r="O921" t="e">
            <v>#N/A</v>
          </cell>
          <cell r="S921">
            <v>0</v>
          </cell>
          <cell r="T921">
            <v>3138400</v>
          </cell>
          <cell r="V921">
            <v>0</v>
          </cell>
          <cell r="W921">
            <v>0</v>
          </cell>
          <cell r="X921">
            <v>0</v>
          </cell>
          <cell r="Z921">
            <v>0</v>
          </cell>
          <cell r="AB921">
            <v>0</v>
          </cell>
          <cell r="AD921">
            <v>0</v>
          </cell>
          <cell r="AF921">
            <v>0</v>
          </cell>
        </row>
        <row r="922">
          <cell r="A922">
            <v>921</v>
          </cell>
          <cell r="C922" t="e">
            <v>#N/A</v>
          </cell>
          <cell r="D922" t="e">
            <v>#N/A</v>
          </cell>
          <cell r="E922" t="e">
            <v>#N/A</v>
          </cell>
          <cell r="F922" t="e">
            <v>#N/A</v>
          </cell>
          <cell r="G922" t="e">
            <v>#N/A</v>
          </cell>
          <cell r="O922" t="e">
            <v>#N/A</v>
          </cell>
          <cell r="S922">
            <v>0</v>
          </cell>
          <cell r="T922">
            <v>3138400</v>
          </cell>
          <cell r="V922">
            <v>0</v>
          </cell>
          <cell r="W922">
            <v>0</v>
          </cell>
          <cell r="X922">
            <v>0</v>
          </cell>
          <cell r="Z922">
            <v>0</v>
          </cell>
          <cell r="AB922">
            <v>0</v>
          </cell>
          <cell r="AD922">
            <v>0</v>
          </cell>
          <cell r="AF922">
            <v>0</v>
          </cell>
        </row>
        <row r="923">
          <cell r="A923">
            <v>922</v>
          </cell>
          <cell r="C923" t="e">
            <v>#N/A</v>
          </cell>
          <cell r="D923" t="e">
            <v>#N/A</v>
          </cell>
          <cell r="E923" t="e">
            <v>#N/A</v>
          </cell>
          <cell r="F923" t="e">
            <v>#N/A</v>
          </cell>
          <cell r="G923" t="e">
            <v>#N/A</v>
          </cell>
          <cell r="O923" t="e">
            <v>#N/A</v>
          </cell>
          <cell r="S923">
            <v>0</v>
          </cell>
          <cell r="T923">
            <v>3138400</v>
          </cell>
          <cell r="V923">
            <v>0</v>
          </cell>
          <cell r="W923">
            <v>0</v>
          </cell>
          <cell r="X923">
            <v>0</v>
          </cell>
          <cell r="Z923">
            <v>0</v>
          </cell>
          <cell r="AB923">
            <v>0</v>
          </cell>
          <cell r="AD923">
            <v>0</v>
          </cell>
          <cell r="AF923">
            <v>0</v>
          </cell>
        </row>
        <row r="924">
          <cell r="A924">
            <v>923</v>
          </cell>
          <cell r="C924" t="e">
            <v>#N/A</v>
          </cell>
          <cell r="D924" t="e">
            <v>#N/A</v>
          </cell>
          <cell r="E924" t="e">
            <v>#N/A</v>
          </cell>
          <cell r="F924" t="e">
            <v>#N/A</v>
          </cell>
          <cell r="G924" t="e">
            <v>#N/A</v>
          </cell>
          <cell r="O924" t="e">
            <v>#N/A</v>
          </cell>
          <cell r="S924">
            <v>0</v>
          </cell>
          <cell r="T924">
            <v>3138400</v>
          </cell>
          <cell r="V924">
            <v>0</v>
          </cell>
          <cell r="W924">
            <v>0</v>
          </cell>
          <cell r="X924">
            <v>0</v>
          </cell>
          <cell r="Z924">
            <v>0</v>
          </cell>
          <cell r="AB924">
            <v>0</v>
          </cell>
          <cell r="AD924">
            <v>0</v>
          </cell>
          <cell r="AF924">
            <v>0</v>
          </cell>
        </row>
        <row r="925">
          <cell r="A925">
            <v>924</v>
          </cell>
          <cell r="C925" t="e">
            <v>#N/A</v>
          </cell>
          <cell r="D925" t="e">
            <v>#N/A</v>
          </cell>
          <cell r="E925" t="e">
            <v>#N/A</v>
          </cell>
          <cell r="F925" t="e">
            <v>#N/A</v>
          </cell>
          <cell r="G925" t="e">
            <v>#N/A</v>
          </cell>
          <cell r="O925" t="e">
            <v>#N/A</v>
          </cell>
          <cell r="S925">
            <v>0</v>
          </cell>
          <cell r="T925">
            <v>3138400</v>
          </cell>
          <cell r="V925">
            <v>0</v>
          </cell>
          <cell r="W925">
            <v>0</v>
          </cell>
          <cell r="X925">
            <v>0</v>
          </cell>
          <cell r="Z925">
            <v>0</v>
          </cell>
          <cell r="AB925">
            <v>0</v>
          </cell>
          <cell r="AD925">
            <v>0</v>
          </cell>
          <cell r="AF925">
            <v>0</v>
          </cell>
        </row>
        <row r="926">
          <cell r="A926">
            <v>925</v>
          </cell>
          <cell r="C926" t="e">
            <v>#N/A</v>
          </cell>
          <cell r="D926" t="e">
            <v>#N/A</v>
          </cell>
          <cell r="E926" t="e">
            <v>#N/A</v>
          </cell>
          <cell r="F926" t="e">
            <v>#N/A</v>
          </cell>
          <cell r="G926" t="e">
            <v>#N/A</v>
          </cell>
          <cell r="O926" t="e">
            <v>#N/A</v>
          </cell>
          <cell r="S926">
            <v>0</v>
          </cell>
          <cell r="T926">
            <v>3138400</v>
          </cell>
          <cell r="V926">
            <v>0</v>
          </cell>
          <cell r="W926">
            <v>0</v>
          </cell>
          <cell r="X926">
            <v>0</v>
          </cell>
          <cell r="Z926">
            <v>0</v>
          </cell>
          <cell r="AB926">
            <v>0</v>
          </cell>
          <cell r="AD926">
            <v>0</v>
          </cell>
          <cell r="AF926">
            <v>0</v>
          </cell>
        </row>
        <row r="927">
          <cell r="A927">
            <v>926</v>
          </cell>
          <cell r="C927" t="e">
            <v>#N/A</v>
          </cell>
          <cell r="D927" t="e">
            <v>#N/A</v>
          </cell>
          <cell r="E927" t="e">
            <v>#N/A</v>
          </cell>
          <cell r="F927" t="e">
            <v>#N/A</v>
          </cell>
          <cell r="G927" t="e">
            <v>#N/A</v>
          </cell>
          <cell r="O927" t="e">
            <v>#N/A</v>
          </cell>
          <cell r="S927">
            <v>0</v>
          </cell>
          <cell r="T927">
            <v>3138400</v>
          </cell>
          <cell r="V927">
            <v>0</v>
          </cell>
          <cell r="W927">
            <v>0</v>
          </cell>
          <cell r="X927">
            <v>0</v>
          </cell>
          <cell r="Z927">
            <v>0</v>
          </cell>
          <cell r="AB927">
            <v>0</v>
          </cell>
          <cell r="AD927">
            <v>0</v>
          </cell>
          <cell r="AF927">
            <v>0</v>
          </cell>
        </row>
        <row r="928">
          <cell r="A928">
            <v>927</v>
          </cell>
          <cell r="C928" t="e">
            <v>#N/A</v>
          </cell>
          <cell r="D928" t="e">
            <v>#N/A</v>
          </cell>
          <cell r="E928" t="e">
            <v>#N/A</v>
          </cell>
          <cell r="F928" t="e">
            <v>#N/A</v>
          </cell>
          <cell r="G928" t="e">
            <v>#N/A</v>
          </cell>
          <cell r="O928" t="e">
            <v>#N/A</v>
          </cell>
          <cell r="S928">
            <v>0</v>
          </cell>
          <cell r="T928">
            <v>3138400</v>
          </cell>
          <cell r="V928">
            <v>0</v>
          </cell>
          <cell r="W928">
            <v>0</v>
          </cell>
          <cell r="X928">
            <v>0</v>
          </cell>
          <cell r="Z928">
            <v>0</v>
          </cell>
          <cell r="AB928">
            <v>0</v>
          </cell>
          <cell r="AD928">
            <v>0</v>
          </cell>
          <cell r="AF928">
            <v>0</v>
          </cell>
        </row>
        <row r="929">
          <cell r="A929">
            <v>928</v>
          </cell>
          <cell r="C929" t="e">
            <v>#N/A</v>
          </cell>
          <cell r="D929" t="e">
            <v>#N/A</v>
          </cell>
          <cell r="E929" t="e">
            <v>#N/A</v>
          </cell>
          <cell r="F929" t="e">
            <v>#N/A</v>
          </cell>
          <cell r="G929" t="e">
            <v>#N/A</v>
          </cell>
          <cell r="O929" t="e">
            <v>#N/A</v>
          </cell>
          <cell r="S929">
            <v>0</v>
          </cell>
          <cell r="T929">
            <v>3138400</v>
          </cell>
          <cell r="U929" t="str">
            <v>ya</v>
          </cell>
          <cell r="V929" t="e">
            <v>#N/A</v>
          </cell>
          <cell r="W929" t="e">
            <v>#N/A</v>
          </cell>
          <cell r="X929" t="e">
            <v>#N/A</v>
          </cell>
          <cell r="Z929">
            <v>0</v>
          </cell>
          <cell r="AB929">
            <v>0</v>
          </cell>
          <cell r="AD929">
            <v>0</v>
          </cell>
          <cell r="AF929">
            <v>0</v>
          </cell>
        </row>
        <row r="930">
          <cell r="A930">
            <v>929</v>
          </cell>
          <cell r="C930" t="e">
            <v>#N/A</v>
          </cell>
          <cell r="D930" t="e">
            <v>#N/A</v>
          </cell>
          <cell r="E930" t="e">
            <v>#N/A</v>
          </cell>
          <cell r="F930" t="e">
            <v>#N/A</v>
          </cell>
          <cell r="G930" t="e">
            <v>#N/A</v>
          </cell>
          <cell r="O930" t="e">
            <v>#N/A</v>
          </cell>
          <cell r="S930">
            <v>0</v>
          </cell>
          <cell r="T930">
            <v>3138400</v>
          </cell>
          <cell r="U930" t="str">
            <v>ya</v>
          </cell>
          <cell r="V930" t="e">
            <v>#N/A</v>
          </cell>
          <cell r="W930" t="e">
            <v>#N/A</v>
          </cell>
          <cell r="X930" t="e">
            <v>#N/A</v>
          </cell>
          <cell r="Z930">
            <v>0</v>
          </cell>
          <cell r="AB930">
            <v>0</v>
          </cell>
          <cell r="AD930">
            <v>0</v>
          </cell>
          <cell r="AF930">
            <v>0</v>
          </cell>
        </row>
        <row r="931">
          <cell r="A931">
            <v>930</v>
          </cell>
          <cell r="C931" t="e">
            <v>#N/A</v>
          </cell>
          <cell r="D931" t="e">
            <v>#N/A</v>
          </cell>
          <cell r="E931" t="e">
            <v>#N/A</v>
          </cell>
          <cell r="F931" t="e">
            <v>#N/A</v>
          </cell>
          <cell r="G931" t="e">
            <v>#N/A</v>
          </cell>
          <cell r="O931" t="e">
            <v>#N/A</v>
          </cell>
          <cell r="S931">
            <v>0</v>
          </cell>
          <cell r="T931">
            <v>3138400</v>
          </cell>
          <cell r="V931">
            <v>0</v>
          </cell>
          <cell r="W931">
            <v>0</v>
          </cell>
          <cell r="X931">
            <v>0</v>
          </cell>
          <cell r="Z931">
            <v>0</v>
          </cell>
          <cell r="AB931">
            <v>0</v>
          </cell>
          <cell r="AD931">
            <v>0</v>
          </cell>
          <cell r="AF931">
            <v>0</v>
          </cell>
        </row>
        <row r="932">
          <cell r="A932">
            <v>931</v>
          </cell>
          <cell r="C932" t="e">
            <v>#N/A</v>
          </cell>
          <cell r="D932" t="e">
            <v>#N/A</v>
          </cell>
          <cell r="E932" t="e">
            <v>#N/A</v>
          </cell>
          <cell r="F932" t="e">
            <v>#N/A</v>
          </cell>
          <cell r="G932" t="e">
            <v>#N/A</v>
          </cell>
          <cell r="O932" t="e">
            <v>#N/A</v>
          </cell>
          <cell r="S932">
            <v>0</v>
          </cell>
          <cell r="T932">
            <v>3138400</v>
          </cell>
          <cell r="V932">
            <v>0</v>
          </cell>
          <cell r="W932">
            <v>0</v>
          </cell>
          <cell r="X932">
            <v>0</v>
          </cell>
          <cell r="Z932">
            <v>0</v>
          </cell>
          <cell r="AB932">
            <v>0</v>
          </cell>
          <cell r="AD932">
            <v>0</v>
          </cell>
          <cell r="AF932">
            <v>0</v>
          </cell>
        </row>
        <row r="933">
          <cell r="A933">
            <v>932</v>
          </cell>
          <cell r="C933" t="e">
            <v>#N/A</v>
          </cell>
          <cell r="D933" t="e">
            <v>#N/A</v>
          </cell>
          <cell r="E933" t="e">
            <v>#N/A</v>
          </cell>
          <cell r="F933" t="e">
            <v>#N/A</v>
          </cell>
          <cell r="G933" t="e">
            <v>#N/A</v>
          </cell>
          <cell r="O933" t="e">
            <v>#N/A</v>
          </cell>
          <cell r="S933">
            <v>0</v>
          </cell>
          <cell r="T933">
            <v>3138400</v>
          </cell>
          <cell r="V933">
            <v>0</v>
          </cell>
          <cell r="W933">
            <v>0</v>
          </cell>
          <cell r="X933">
            <v>0</v>
          </cell>
          <cell r="Z933">
            <v>0</v>
          </cell>
          <cell r="AB933">
            <v>0</v>
          </cell>
          <cell r="AD933">
            <v>0</v>
          </cell>
          <cell r="AF933">
            <v>0</v>
          </cell>
        </row>
        <row r="934">
          <cell r="A934">
            <v>933</v>
          </cell>
          <cell r="C934" t="e">
            <v>#N/A</v>
          </cell>
          <cell r="D934" t="e">
            <v>#N/A</v>
          </cell>
          <cell r="E934" t="e">
            <v>#N/A</v>
          </cell>
          <cell r="F934" t="e">
            <v>#N/A</v>
          </cell>
          <cell r="G934" t="e">
            <v>#N/A</v>
          </cell>
          <cell r="O934" t="e">
            <v>#N/A</v>
          </cell>
          <cell r="S934">
            <v>0</v>
          </cell>
          <cell r="T934">
            <v>3138400</v>
          </cell>
          <cell r="V934">
            <v>0</v>
          </cell>
          <cell r="W934">
            <v>0</v>
          </cell>
          <cell r="X934">
            <v>0</v>
          </cell>
          <cell r="Z934">
            <v>0</v>
          </cell>
          <cell r="AB934">
            <v>0</v>
          </cell>
          <cell r="AD934">
            <v>0</v>
          </cell>
          <cell r="AF934">
            <v>0</v>
          </cell>
        </row>
        <row r="935">
          <cell r="A935">
            <v>934</v>
          </cell>
          <cell r="C935" t="e">
            <v>#N/A</v>
          </cell>
          <cell r="D935" t="e">
            <v>#N/A</v>
          </cell>
          <cell r="E935" t="e">
            <v>#N/A</v>
          </cell>
          <cell r="F935" t="e">
            <v>#N/A</v>
          </cell>
          <cell r="G935" t="e">
            <v>#N/A</v>
          </cell>
          <cell r="O935" t="e">
            <v>#N/A</v>
          </cell>
          <cell r="S935">
            <v>0</v>
          </cell>
          <cell r="T935">
            <v>3138400</v>
          </cell>
          <cell r="V935">
            <v>0</v>
          </cell>
          <cell r="W935">
            <v>0</v>
          </cell>
          <cell r="X935">
            <v>0</v>
          </cell>
          <cell r="Z935">
            <v>0</v>
          </cell>
          <cell r="AB935">
            <v>0</v>
          </cell>
          <cell r="AD935">
            <v>0</v>
          </cell>
          <cell r="AF935">
            <v>0</v>
          </cell>
        </row>
        <row r="936">
          <cell r="A936">
            <v>935</v>
          </cell>
          <cell r="C936" t="e">
            <v>#N/A</v>
          </cell>
          <cell r="D936" t="e">
            <v>#N/A</v>
          </cell>
          <cell r="E936" t="e">
            <v>#N/A</v>
          </cell>
          <cell r="F936" t="e">
            <v>#N/A</v>
          </cell>
          <cell r="G936" t="e">
            <v>#N/A</v>
          </cell>
          <cell r="O936" t="e">
            <v>#N/A</v>
          </cell>
          <cell r="S936">
            <v>0</v>
          </cell>
          <cell r="T936">
            <v>3138400</v>
          </cell>
          <cell r="V936">
            <v>0</v>
          </cell>
          <cell r="W936">
            <v>0</v>
          </cell>
          <cell r="X936">
            <v>0</v>
          </cell>
          <cell r="Z936">
            <v>0</v>
          </cell>
          <cell r="AB936">
            <v>0</v>
          </cell>
          <cell r="AD936">
            <v>0</v>
          </cell>
          <cell r="AF936">
            <v>0</v>
          </cell>
        </row>
        <row r="937">
          <cell r="A937">
            <v>936</v>
          </cell>
          <cell r="C937" t="e">
            <v>#N/A</v>
          </cell>
          <cell r="D937" t="e">
            <v>#N/A</v>
          </cell>
          <cell r="E937" t="e">
            <v>#N/A</v>
          </cell>
          <cell r="F937" t="e">
            <v>#N/A</v>
          </cell>
          <cell r="G937" t="e">
            <v>#N/A</v>
          </cell>
          <cell r="O937" t="e">
            <v>#N/A</v>
          </cell>
          <cell r="S937">
            <v>0</v>
          </cell>
          <cell r="T937">
            <v>3138400</v>
          </cell>
          <cell r="V937">
            <v>0</v>
          </cell>
          <cell r="W937">
            <v>0</v>
          </cell>
          <cell r="X937">
            <v>0</v>
          </cell>
          <cell r="Z937">
            <v>0</v>
          </cell>
          <cell r="AB937">
            <v>0</v>
          </cell>
          <cell r="AD937">
            <v>0</v>
          </cell>
          <cell r="AF937">
            <v>0</v>
          </cell>
        </row>
        <row r="938">
          <cell r="A938">
            <v>937</v>
          </cell>
          <cell r="C938" t="e">
            <v>#N/A</v>
          </cell>
          <cell r="D938" t="e">
            <v>#N/A</v>
          </cell>
          <cell r="E938" t="e">
            <v>#N/A</v>
          </cell>
          <cell r="F938" t="e">
            <v>#N/A</v>
          </cell>
          <cell r="G938" t="e">
            <v>#N/A</v>
          </cell>
          <cell r="O938" t="e">
            <v>#N/A</v>
          </cell>
          <cell r="S938">
            <v>0</v>
          </cell>
          <cell r="T938">
            <v>3138400</v>
          </cell>
          <cell r="V938">
            <v>0</v>
          </cell>
          <cell r="W938">
            <v>0</v>
          </cell>
          <cell r="X938">
            <v>0</v>
          </cell>
          <cell r="Z938">
            <v>0</v>
          </cell>
          <cell r="AB938">
            <v>0</v>
          </cell>
          <cell r="AD938">
            <v>0</v>
          </cell>
          <cell r="AF938">
            <v>0</v>
          </cell>
        </row>
        <row r="939">
          <cell r="A939">
            <v>938</v>
          </cell>
          <cell r="C939" t="e">
            <v>#N/A</v>
          </cell>
          <cell r="D939" t="e">
            <v>#N/A</v>
          </cell>
          <cell r="E939" t="e">
            <v>#N/A</v>
          </cell>
          <cell r="F939" t="e">
            <v>#N/A</v>
          </cell>
          <cell r="G939" t="e">
            <v>#N/A</v>
          </cell>
          <cell r="O939" t="e">
            <v>#N/A</v>
          </cell>
          <cell r="S939">
            <v>0</v>
          </cell>
          <cell r="T939">
            <v>3138400</v>
          </cell>
          <cell r="V939">
            <v>0</v>
          </cell>
          <cell r="W939">
            <v>0</v>
          </cell>
          <cell r="X939">
            <v>0</v>
          </cell>
          <cell r="Z939">
            <v>0</v>
          </cell>
          <cell r="AB939">
            <v>0</v>
          </cell>
          <cell r="AD939">
            <v>0</v>
          </cell>
          <cell r="AF939">
            <v>0</v>
          </cell>
        </row>
        <row r="940">
          <cell r="A940">
            <v>939</v>
          </cell>
          <cell r="C940" t="e">
            <v>#N/A</v>
          </cell>
          <cell r="D940" t="e">
            <v>#N/A</v>
          </cell>
          <cell r="E940" t="e">
            <v>#N/A</v>
          </cell>
          <cell r="F940" t="e">
            <v>#N/A</v>
          </cell>
          <cell r="G940" t="e">
            <v>#N/A</v>
          </cell>
          <cell r="O940" t="e">
            <v>#N/A</v>
          </cell>
          <cell r="S940">
            <v>0</v>
          </cell>
          <cell r="T940">
            <v>3138400</v>
          </cell>
          <cell r="V940">
            <v>0</v>
          </cell>
          <cell r="W940">
            <v>0</v>
          </cell>
          <cell r="X940">
            <v>0</v>
          </cell>
          <cell r="Z940">
            <v>0</v>
          </cell>
          <cell r="AB940">
            <v>0</v>
          </cell>
          <cell r="AD940">
            <v>0</v>
          </cell>
          <cell r="AF940">
            <v>0</v>
          </cell>
        </row>
        <row r="941">
          <cell r="A941">
            <v>940</v>
          </cell>
          <cell r="C941" t="e">
            <v>#N/A</v>
          </cell>
          <cell r="D941" t="e">
            <v>#N/A</v>
          </cell>
          <cell r="E941" t="e">
            <v>#N/A</v>
          </cell>
          <cell r="F941" t="e">
            <v>#N/A</v>
          </cell>
          <cell r="G941" t="e">
            <v>#N/A</v>
          </cell>
          <cell r="O941" t="e">
            <v>#N/A</v>
          </cell>
          <cell r="S941">
            <v>0</v>
          </cell>
          <cell r="T941">
            <v>3138400</v>
          </cell>
          <cell r="U941" t="str">
            <v>ya</v>
          </cell>
          <cell r="V941" t="e">
            <v>#N/A</v>
          </cell>
          <cell r="W941" t="e">
            <v>#N/A</v>
          </cell>
          <cell r="X941" t="e">
            <v>#N/A</v>
          </cell>
          <cell r="Z941">
            <v>0</v>
          </cell>
          <cell r="AB941">
            <v>0</v>
          </cell>
          <cell r="AD941">
            <v>0</v>
          </cell>
          <cell r="AF941">
            <v>0</v>
          </cell>
        </row>
        <row r="942">
          <cell r="A942">
            <v>941</v>
          </cell>
          <cell r="C942" t="e">
            <v>#N/A</v>
          </cell>
          <cell r="D942" t="e">
            <v>#N/A</v>
          </cell>
          <cell r="E942" t="e">
            <v>#N/A</v>
          </cell>
          <cell r="F942" t="e">
            <v>#N/A</v>
          </cell>
          <cell r="G942" t="e">
            <v>#N/A</v>
          </cell>
          <cell r="O942" t="e">
            <v>#N/A</v>
          </cell>
          <cell r="S942">
            <v>0</v>
          </cell>
          <cell r="T942">
            <v>3138400</v>
          </cell>
          <cell r="U942" t="str">
            <v>ya</v>
          </cell>
          <cell r="V942" t="e">
            <v>#N/A</v>
          </cell>
          <cell r="W942" t="e">
            <v>#N/A</v>
          </cell>
          <cell r="X942" t="e">
            <v>#N/A</v>
          </cell>
          <cell r="Z942">
            <v>0</v>
          </cell>
          <cell r="AB942">
            <v>0</v>
          </cell>
          <cell r="AD942">
            <v>0</v>
          </cell>
          <cell r="AF942">
            <v>0</v>
          </cell>
        </row>
        <row r="943">
          <cell r="A943">
            <v>942</v>
          </cell>
          <cell r="C943" t="e">
            <v>#N/A</v>
          </cell>
          <cell r="D943" t="e">
            <v>#N/A</v>
          </cell>
          <cell r="E943" t="e">
            <v>#N/A</v>
          </cell>
          <cell r="F943" t="e">
            <v>#N/A</v>
          </cell>
          <cell r="G943" t="e">
            <v>#N/A</v>
          </cell>
          <cell r="O943" t="e">
            <v>#N/A</v>
          </cell>
          <cell r="S943">
            <v>0</v>
          </cell>
          <cell r="T943">
            <v>3138400</v>
          </cell>
          <cell r="V943">
            <v>0</v>
          </cell>
          <cell r="W943">
            <v>0</v>
          </cell>
          <cell r="X943">
            <v>0</v>
          </cell>
          <cell r="Z943">
            <v>0</v>
          </cell>
          <cell r="AB943">
            <v>0</v>
          </cell>
          <cell r="AD943">
            <v>0</v>
          </cell>
          <cell r="AF943">
            <v>0</v>
          </cell>
        </row>
        <row r="944">
          <cell r="A944">
            <v>943</v>
          </cell>
          <cell r="C944" t="e">
            <v>#N/A</v>
          </cell>
          <cell r="D944" t="e">
            <v>#N/A</v>
          </cell>
          <cell r="E944" t="e">
            <v>#N/A</v>
          </cell>
          <cell r="F944" t="e">
            <v>#N/A</v>
          </cell>
          <cell r="G944" t="e">
            <v>#N/A</v>
          </cell>
          <cell r="O944" t="e">
            <v>#N/A</v>
          </cell>
          <cell r="S944">
            <v>0</v>
          </cell>
          <cell r="T944">
            <v>3138400</v>
          </cell>
          <cell r="V944">
            <v>0</v>
          </cell>
          <cell r="W944">
            <v>0</v>
          </cell>
          <cell r="X944">
            <v>0</v>
          </cell>
          <cell r="Z944">
            <v>0</v>
          </cell>
          <cell r="AB944">
            <v>0</v>
          </cell>
          <cell r="AD944">
            <v>0</v>
          </cell>
          <cell r="AF944">
            <v>0</v>
          </cell>
        </row>
        <row r="945">
          <cell r="A945">
            <v>944</v>
          </cell>
          <cell r="C945" t="e">
            <v>#N/A</v>
          </cell>
          <cell r="D945" t="e">
            <v>#N/A</v>
          </cell>
          <cell r="E945" t="e">
            <v>#N/A</v>
          </cell>
          <cell r="F945" t="e">
            <v>#N/A</v>
          </cell>
          <cell r="G945" t="e">
            <v>#N/A</v>
          </cell>
          <cell r="O945" t="e">
            <v>#N/A</v>
          </cell>
          <cell r="S945">
            <v>0</v>
          </cell>
          <cell r="T945">
            <v>3138400</v>
          </cell>
          <cell r="V945">
            <v>0</v>
          </cell>
          <cell r="W945">
            <v>0</v>
          </cell>
          <cell r="X945">
            <v>0</v>
          </cell>
          <cell r="Z945">
            <v>0</v>
          </cell>
          <cell r="AB945">
            <v>0</v>
          </cell>
          <cell r="AD945">
            <v>0</v>
          </cell>
          <cell r="AF945">
            <v>0</v>
          </cell>
        </row>
        <row r="946">
          <cell r="A946">
            <v>945</v>
          </cell>
          <cell r="C946" t="e">
            <v>#N/A</v>
          </cell>
          <cell r="D946" t="e">
            <v>#N/A</v>
          </cell>
          <cell r="E946" t="e">
            <v>#N/A</v>
          </cell>
          <cell r="F946" t="e">
            <v>#N/A</v>
          </cell>
          <cell r="G946" t="e">
            <v>#N/A</v>
          </cell>
          <cell r="O946" t="e">
            <v>#N/A</v>
          </cell>
          <cell r="S946">
            <v>0</v>
          </cell>
          <cell r="T946">
            <v>3138400</v>
          </cell>
          <cell r="V946">
            <v>0</v>
          </cell>
          <cell r="W946">
            <v>0</v>
          </cell>
          <cell r="X946">
            <v>0</v>
          </cell>
          <cell r="Z946">
            <v>0</v>
          </cell>
          <cell r="AB946">
            <v>0</v>
          </cell>
          <cell r="AD946">
            <v>0</v>
          </cell>
          <cell r="AF946">
            <v>0</v>
          </cell>
        </row>
        <row r="947">
          <cell r="A947">
            <v>946</v>
          </cell>
          <cell r="C947" t="e">
            <v>#N/A</v>
          </cell>
          <cell r="D947" t="e">
            <v>#N/A</v>
          </cell>
          <cell r="E947" t="e">
            <v>#N/A</v>
          </cell>
          <cell r="F947" t="e">
            <v>#N/A</v>
          </cell>
          <cell r="G947" t="e">
            <v>#N/A</v>
          </cell>
          <cell r="O947" t="e">
            <v>#N/A</v>
          </cell>
          <cell r="S947">
            <v>0</v>
          </cell>
          <cell r="T947">
            <v>3138400</v>
          </cell>
          <cell r="V947">
            <v>0</v>
          </cell>
          <cell r="W947">
            <v>0</v>
          </cell>
          <cell r="X947">
            <v>0</v>
          </cell>
          <cell r="Z947">
            <v>0</v>
          </cell>
          <cell r="AB947">
            <v>0</v>
          </cell>
          <cell r="AD947">
            <v>0</v>
          </cell>
          <cell r="AF947">
            <v>0</v>
          </cell>
        </row>
        <row r="948">
          <cell r="A948">
            <v>947</v>
          </cell>
          <cell r="C948" t="e">
            <v>#N/A</v>
          </cell>
          <cell r="D948" t="e">
            <v>#N/A</v>
          </cell>
          <cell r="E948" t="e">
            <v>#N/A</v>
          </cell>
          <cell r="F948" t="e">
            <v>#N/A</v>
          </cell>
          <cell r="G948" t="e">
            <v>#N/A</v>
          </cell>
          <cell r="O948" t="e">
            <v>#N/A</v>
          </cell>
          <cell r="S948">
            <v>0</v>
          </cell>
          <cell r="T948">
            <v>3138400</v>
          </cell>
          <cell r="V948">
            <v>0</v>
          </cell>
          <cell r="W948">
            <v>0</v>
          </cell>
          <cell r="X948">
            <v>0</v>
          </cell>
          <cell r="Z948">
            <v>0</v>
          </cell>
          <cell r="AB948">
            <v>0</v>
          </cell>
          <cell r="AD948">
            <v>0</v>
          </cell>
          <cell r="AF948">
            <v>0</v>
          </cell>
        </row>
        <row r="949">
          <cell r="A949">
            <v>948</v>
          </cell>
          <cell r="C949" t="e">
            <v>#N/A</v>
          </cell>
          <cell r="D949" t="e">
            <v>#N/A</v>
          </cell>
          <cell r="E949" t="e">
            <v>#N/A</v>
          </cell>
          <cell r="F949" t="e">
            <v>#N/A</v>
          </cell>
          <cell r="G949" t="e">
            <v>#N/A</v>
          </cell>
          <cell r="O949" t="e">
            <v>#N/A</v>
          </cell>
          <cell r="S949">
            <v>0</v>
          </cell>
          <cell r="T949">
            <v>3138400</v>
          </cell>
          <cell r="V949">
            <v>0</v>
          </cell>
          <cell r="W949">
            <v>0</v>
          </cell>
          <cell r="X949">
            <v>0</v>
          </cell>
          <cell r="Z949">
            <v>0</v>
          </cell>
          <cell r="AB949">
            <v>0</v>
          </cell>
          <cell r="AD949">
            <v>0</v>
          </cell>
          <cell r="AF949">
            <v>0</v>
          </cell>
        </row>
        <row r="950">
          <cell r="A950">
            <v>949</v>
          </cell>
          <cell r="C950" t="e">
            <v>#N/A</v>
          </cell>
          <cell r="D950" t="e">
            <v>#N/A</v>
          </cell>
          <cell r="E950" t="e">
            <v>#N/A</v>
          </cell>
          <cell r="F950" t="e">
            <v>#N/A</v>
          </cell>
          <cell r="G950" t="e">
            <v>#N/A</v>
          </cell>
          <cell r="O950" t="e">
            <v>#N/A</v>
          </cell>
          <cell r="S950">
            <v>0</v>
          </cell>
          <cell r="T950">
            <v>3138400</v>
          </cell>
          <cell r="V950">
            <v>0</v>
          </cell>
          <cell r="W950">
            <v>0</v>
          </cell>
          <cell r="X950">
            <v>0</v>
          </cell>
          <cell r="Z950">
            <v>0</v>
          </cell>
          <cell r="AB950">
            <v>0</v>
          </cell>
          <cell r="AD950">
            <v>0</v>
          </cell>
          <cell r="AF950">
            <v>0</v>
          </cell>
        </row>
        <row r="951">
          <cell r="A951">
            <v>950</v>
          </cell>
          <cell r="C951" t="e">
            <v>#N/A</v>
          </cell>
          <cell r="D951" t="e">
            <v>#N/A</v>
          </cell>
          <cell r="E951" t="e">
            <v>#N/A</v>
          </cell>
          <cell r="F951" t="e">
            <v>#N/A</v>
          </cell>
          <cell r="G951" t="e">
            <v>#N/A</v>
          </cell>
          <cell r="O951" t="e">
            <v>#N/A</v>
          </cell>
          <cell r="S951">
            <v>0</v>
          </cell>
          <cell r="T951">
            <v>3138400</v>
          </cell>
          <cell r="V951">
            <v>0</v>
          </cell>
          <cell r="W951">
            <v>0</v>
          </cell>
          <cell r="X951">
            <v>0</v>
          </cell>
          <cell r="Z951">
            <v>0</v>
          </cell>
          <cell r="AB951">
            <v>0</v>
          </cell>
          <cell r="AD951">
            <v>0</v>
          </cell>
          <cell r="AF951">
            <v>0</v>
          </cell>
        </row>
        <row r="952">
          <cell r="A952">
            <v>951</v>
          </cell>
          <cell r="C952" t="e">
            <v>#N/A</v>
          </cell>
          <cell r="D952" t="e">
            <v>#N/A</v>
          </cell>
          <cell r="E952" t="e">
            <v>#N/A</v>
          </cell>
          <cell r="F952" t="e">
            <v>#N/A</v>
          </cell>
          <cell r="G952" t="e">
            <v>#N/A</v>
          </cell>
          <cell r="O952" t="e">
            <v>#N/A</v>
          </cell>
          <cell r="S952">
            <v>0</v>
          </cell>
          <cell r="T952">
            <v>3138400</v>
          </cell>
          <cell r="V952">
            <v>0</v>
          </cell>
          <cell r="W952">
            <v>0</v>
          </cell>
          <cell r="X952">
            <v>0</v>
          </cell>
          <cell r="Z952">
            <v>0</v>
          </cell>
          <cell r="AB952">
            <v>0</v>
          </cell>
          <cell r="AD952">
            <v>0</v>
          </cell>
          <cell r="AF952">
            <v>0</v>
          </cell>
        </row>
        <row r="953">
          <cell r="A953">
            <v>952</v>
          </cell>
          <cell r="C953" t="e">
            <v>#N/A</v>
          </cell>
          <cell r="D953" t="e">
            <v>#N/A</v>
          </cell>
          <cell r="E953" t="e">
            <v>#N/A</v>
          </cell>
          <cell r="F953" t="e">
            <v>#N/A</v>
          </cell>
          <cell r="G953" t="e">
            <v>#N/A</v>
          </cell>
          <cell r="O953" t="e">
            <v>#N/A</v>
          </cell>
          <cell r="S953">
            <v>0</v>
          </cell>
          <cell r="T953">
            <v>3138400</v>
          </cell>
          <cell r="V953">
            <v>0</v>
          </cell>
          <cell r="W953">
            <v>0</v>
          </cell>
          <cell r="X953">
            <v>0</v>
          </cell>
          <cell r="Z953">
            <v>0</v>
          </cell>
          <cell r="AB953">
            <v>0</v>
          </cell>
          <cell r="AD953">
            <v>0</v>
          </cell>
          <cell r="AF953">
            <v>0</v>
          </cell>
        </row>
        <row r="954">
          <cell r="A954">
            <v>953</v>
          </cell>
          <cell r="C954" t="e">
            <v>#N/A</v>
          </cell>
          <cell r="D954" t="e">
            <v>#N/A</v>
          </cell>
          <cell r="E954" t="e">
            <v>#N/A</v>
          </cell>
          <cell r="F954" t="e">
            <v>#N/A</v>
          </cell>
          <cell r="G954" t="e">
            <v>#N/A</v>
          </cell>
          <cell r="O954" t="e">
            <v>#N/A</v>
          </cell>
          <cell r="S954">
            <v>0</v>
          </cell>
          <cell r="T954">
            <v>3138400</v>
          </cell>
          <cell r="V954">
            <v>0</v>
          </cell>
          <cell r="W954">
            <v>0</v>
          </cell>
          <cell r="X954">
            <v>0</v>
          </cell>
          <cell r="Z954">
            <v>0</v>
          </cell>
          <cell r="AB954">
            <v>0</v>
          </cell>
          <cell r="AD954">
            <v>0</v>
          </cell>
          <cell r="AF954">
            <v>0</v>
          </cell>
        </row>
        <row r="955">
          <cell r="A955">
            <v>954</v>
          </cell>
          <cell r="C955" t="e">
            <v>#N/A</v>
          </cell>
          <cell r="D955" t="e">
            <v>#N/A</v>
          </cell>
          <cell r="E955" t="e">
            <v>#N/A</v>
          </cell>
          <cell r="F955" t="e">
            <v>#N/A</v>
          </cell>
          <cell r="G955" t="e">
            <v>#N/A</v>
          </cell>
          <cell r="O955" t="e">
            <v>#N/A</v>
          </cell>
          <cell r="S955">
            <v>0</v>
          </cell>
          <cell r="T955">
            <v>3138400</v>
          </cell>
          <cell r="V955">
            <v>0</v>
          </cell>
          <cell r="W955">
            <v>0</v>
          </cell>
          <cell r="X955">
            <v>0</v>
          </cell>
          <cell r="Z955">
            <v>0</v>
          </cell>
          <cell r="AB955">
            <v>0</v>
          </cell>
          <cell r="AD955">
            <v>0</v>
          </cell>
          <cell r="AF955">
            <v>0</v>
          </cell>
        </row>
        <row r="956">
          <cell r="A956">
            <v>955</v>
          </cell>
          <cell r="C956" t="e">
            <v>#N/A</v>
          </cell>
          <cell r="D956" t="e">
            <v>#N/A</v>
          </cell>
          <cell r="E956" t="e">
            <v>#N/A</v>
          </cell>
          <cell r="F956" t="e">
            <v>#N/A</v>
          </cell>
          <cell r="G956" t="e">
            <v>#N/A</v>
          </cell>
          <cell r="O956" t="e">
            <v>#N/A</v>
          </cell>
          <cell r="S956">
            <v>0</v>
          </cell>
          <cell r="T956">
            <v>3138400</v>
          </cell>
          <cell r="V956">
            <v>0</v>
          </cell>
          <cell r="W956">
            <v>0</v>
          </cell>
          <cell r="X956">
            <v>0</v>
          </cell>
          <cell r="Z956">
            <v>0</v>
          </cell>
          <cell r="AB956">
            <v>0</v>
          </cell>
          <cell r="AD956">
            <v>0</v>
          </cell>
          <cell r="AF956">
            <v>0</v>
          </cell>
        </row>
        <row r="957">
          <cell r="A957">
            <v>956</v>
          </cell>
          <cell r="C957" t="e">
            <v>#N/A</v>
          </cell>
          <cell r="D957" t="e">
            <v>#N/A</v>
          </cell>
          <cell r="E957" t="e">
            <v>#N/A</v>
          </cell>
          <cell r="F957" t="e">
            <v>#N/A</v>
          </cell>
          <cell r="G957" t="e">
            <v>#N/A</v>
          </cell>
          <cell r="O957" t="e">
            <v>#N/A</v>
          </cell>
          <cell r="S957">
            <v>0</v>
          </cell>
          <cell r="T957">
            <v>3138400</v>
          </cell>
          <cell r="U957" t="str">
            <v>ya</v>
          </cell>
          <cell r="V957" t="e">
            <v>#N/A</v>
          </cell>
          <cell r="W957" t="e">
            <v>#N/A</v>
          </cell>
          <cell r="X957" t="e">
            <v>#N/A</v>
          </cell>
          <cell r="Z957">
            <v>0</v>
          </cell>
          <cell r="AB957">
            <v>0</v>
          </cell>
          <cell r="AD957">
            <v>0</v>
          </cell>
          <cell r="AF957">
            <v>0</v>
          </cell>
        </row>
        <row r="958">
          <cell r="A958">
            <v>957</v>
          </cell>
          <cell r="C958" t="e">
            <v>#N/A</v>
          </cell>
          <cell r="D958" t="e">
            <v>#N/A</v>
          </cell>
          <cell r="E958" t="e">
            <v>#N/A</v>
          </cell>
          <cell r="F958" t="e">
            <v>#N/A</v>
          </cell>
          <cell r="G958" t="e">
            <v>#N/A</v>
          </cell>
          <cell r="O958" t="e">
            <v>#N/A</v>
          </cell>
          <cell r="S958">
            <v>0</v>
          </cell>
          <cell r="T958">
            <v>3138400</v>
          </cell>
          <cell r="U958" t="str">
            <v>ya</v>
          </cell>
          <cell r="V958" t="e">
            <v>#N/A</v>
          </cell>
          <cell r="W958" t="e">
            <v>#N/A</v>
          </cell>
          <cell r="X958" t="e">
            <v>#N/A</v>
          </cell>
          <cell r="Z958">
            <v>0</v>
          </cell>
          <cell r="AB958">
            <v>0</v>
          </cell>
          <cell r="AD958">
            <v>0</v>
          </cell>
          <cell r="AF958">
            <v>0</v>
          </cell>
        </row>
        <row r="959">
          <cell r="A959">
            <v>958</v>
          </cell>
          <cell r="C959" t="e">
            <v>#N/A</v>
          </cell>
          <cell r="D959" t="e">
            <v>#N/A</v>
          </cell>
          <cell r="E959" t="e">
            <v>#N/A</v>
          </cell>
          <cell r="F959" t="e">
            <v>#N/A</v>
          </cell>
          <cell r="G959" t="e">
            <v>#N/A</v>
          </cell>
          <cell r="O959" t="e">
            <v>#N/A</v>
          </cell>
          <cell r="S959">
            <v>0</v>
          </cell>
          <cell r="T959">
            <v>3138400</v>
          </cell>
          <cell r="U959" t="str">
            <v>ya</v>
          </cell>
          <cell r="V959" t="e">
            <v>#N/A</v>
          </cell>
          <cell r="W959" t="e">
            <v>#N/A</v>
          </cell>
          <cell r="X959" t="e">
            <v>#N/A</v>
          </cell>
          <cell r="Z959">
            <v>0</v>
          </cell>
          <cell r="AB959">
            <v>0</v>
          </cell>
          <cell r="AD959">
            <v>0</v>
          </cell>
          <cell r="AF959">
            <v>0</v>
          </cell>
        </row>
        <row r="960">
          <cell r="A960">
            <v>959</v>
          </cell>
          <cell r="C960" t="e">
            <v>#N/A</v>
          </cell>
          <cell r="D960" t="e">
            <v>#N/A</v>
          </cell>
          <cell r="E960" t="e">
            <v>#N/A</v>
          </cell>
          <cell r="F960" t="e">
            <v>#N/A</v>
          </cell>
          <cell r="G960" t="e">
            <v>#N/A</v>
          </cell>
          <cell r="O960" t="e">
            <v>#N/A</v>
          </cell>
          <cell r="S960">
            <v>0</v>
          </cell>
          <cell r="T960">
            <v>3138400</v>
          </cell>
          <cell r="U960" t="str">
            <v>ya</v>
          </cell>
          <cell r="V960" t="e">
            <v>#N/A</v>
          </cell>
          <cell r="W960" t="e">
            <v>#N/A</v>
          </cell>
          <cell r="X960" t="e">
            <v>#N/A</v>
          </cell>
          <cell r="Z960">
            <v>0</v>
          </cell>
          <cell r="AB960">
            <v>0</v>
          </cell>
          <cell r="AD960">
            <v>0</v>
          </cell>
          <cell r="AF960">
            <v>0</v>
          </cell>
        </row>
        <row r="961">
          <cell r="A961">
            <v>960</v>
          </cell>
          <cell r="C961" t="e">
            <v>#N/A</v>
          </cell>
          <cell r="D961" t="e">
            <v>#N/A</v>
          </cell>
          <cell r="E961" t="e">
            <v>#N/A</v>
          </cell>
          <cell r="F961" t="e">
            <v>#N/A</v>
          </cell>
          <cell r="G961" t="e">
            <v>#N/A</v>
          </cell>
          <cell r="O961" t="e">
            <v>#N/A</v>
          </cell>
          <cell r="S961">
            <v>0</v>
          </cell>
          <cell r="T961">
            <v>3138400</v>
          </cell>
          <cell r="U961" t="str">
            <v>ya</v>
          </cell>
          <cell r="V961" t="e">
            <v>#N/A</v>
          </cell>
          <cell r="W961" t="e">
            <v>#N/A</v>
          </cell>
          <cell r="X961" t="e">
            <v>#N/A</v>
          </cell>
          <cell r="Z961">
            <v>0</v>
          </cell>
          <cell r="AB961">
            <v>0</v>
          </cell>
          <cell r="AD961">
            <v>0</v>
          </cell>
          <cell r="AF961">
            <v>0</v>
          </cell>
        </row>
        <row r="962">
          <cell r="A962">
            <v>961</v>
          </cell>
          <cell r="C962" t="e">
            <v>#N/A</v>
          </cell>
          <cell r="D962" t="e">
            <v>#N/A</v>
          </cell>
          <cell r="E962" t="e">
            <v>#N/A</v>
          </cell>
          <cell r="F962" t="e">
            <v>#N/A</v>
          </cell>
          <cell r="G962" t="e">
            <v>#N/A</v>
          </cell>
          <cell r="O962" t="e">
            <v>#N/A</v>
          </cell>
          <cell r="S962">
            <v>0</v>
          </cell>
          <cell r="T962">
            <v>3138400</v>
          </cell>
          <cell r="U962" t="str">
            <v>ya</v>
          </cell>
          <cell r="V962" t="e">
            <v>#N/A</v>
          </cell>
          <cell r="W962" t="e">
            <v>#N/A</v>
          </cell>
          <cell r="X962" t="e">
            <v>#N/A</v>
          </cell>
          <cell r="Z962">
            <v>0</v>
          </cell>
          <cell r="AB962">
            <v>0</v>
          </cell>
          <cell r="AD962">
            <v>0</v>
          </cell>
          <cell r="AF962">
            <v>0</v>
          </cell>
        </row>
        <row r="963">
          <cell r="A963">
            <v>962</v>
          </cell>
          <cell r="C963" t="e">
            <v>#N/A</v>
          </cell>
          <cell r="D963" t="e">
            <v>#N/A</v>
          </cell>
          <cell r="E963" t="e">
            <v>#N/A</v>
          </cell>
          <cell r="F963" t="e">
            <v>#N/A</v>
          </cell>
          <cell r="G963" t="e">
            <v>#N/A</v>
          </cell>
          <cell r="O963" t="e">
            <v>#N/A</v>
          </cell>
          <cell r="S963">
            <v>0</v>
          </cell>
          <cell r="T963">
            <v>3138400</v>
          </cell>
          <cell r="V963">
            <v>0</v>
          </cell>
          <cell r="W963">
            <v>0</v>
          </cell>
          <cell r="X963">
            <v>0</v>
          </cell>
          <cell r="Z963">
            <v>0</v>
          </cell>
          <cell r="AB963">
            <v>0</v>
          </cell>
          <cell r="AD963">
            <v>0</v>
          </cell>
          <cell r="AF963">
            <v>0</v>
          </cell>
        </row>
        <row r="964">
          <cell r="A964">
            <v>963</v>
          </cell>
          <cell r="C964" t="e">
            <v>#N/A</v>
          </cell>
          <cell r="D964" t="e">
            <v>#N/A</v>
          </cell>
          <cell r="E964" t="e">
            <v>#N/A</v>
          </cell>
          <cell r="F964" t="e">
            <v>#N/A</v>
          </cell>
          <cell r="G964" t="e">
            <v>#N/A</v>
          </cell>
          <cell r="O964" t="e">
            <v>#N/A</v>
          </cell>
          <cell r="S964">
            <v>0</v>
          </cell>
          <cell r="T964">
            <v>3138400</v>
          </cell>
          <cell r="V964">
            <v>0</v>
          </cell>
          <cell r="W964">
            <v>0</v>
          </cell>
          <cell r="X964">
            <v>0</v>
          </cell>
          <cell r="Z964">
            <v>0</v>
          </cell>
          <cell r="AB964">
            <v>0</v>
          </cell>
          <cell r="AD964">
            <v>0</v>
          </cell>
          <cell r="AF964">
            <v>0</v>
          </cell>
        </row>
        <row r="965">
          <cell r="A965">
            <v>964</v>
          </cell>
          <cell r="C965" t="e">
            <v>#N/A</v>
          </cell>
          <cell r="D965" t="e">
            <v>#N/A</v>
          </cell>
          <cell r="E965" t="e">
            <v>#N/A</v>
          </cell>
          <cell r="F965" t="e">
            <v>#N/A</v>
          </cell>
          <cell r="G965" t="e">
            <v>#N/A</v>
          </cell>
          <cell r="O965" t="e">
            <v>#N/A</v>
          </cell>
          <cell r="S965">
            <v>0</v>
          </cell>
          <cell r="T965">
            <v>3138400</v>
          </cell>
          <cell r="V965">
            <v>0</v>
          </cell>
          <cell r="W965">
            <v>0</v>
          </cell>
          <cell r="X965">
            <v>0</v>
          </cell>
          <cell r="Z965">
            <v>0</v>
          </cell>
          <cell r="AB965">
            <v>0</v>
          </cell>
          <cell r="AD965">
            <v>0</v>
          </cell>
          <cell r="AF965">
            <v>0</v>
          </cell>
        </row>
        <row r="966">
          <cell r="A966">
            <v>965</v>
          </cell>
          <cell r="C966" t="e">
            <v>#N/A</v>
          </cell>
          <cell r="D966" t="e">
            <v>#N/A</v>
          </cell>
          <cell r="E966" t="e">
            <v>#N/A</v>
          </cell>
          <cell r="F966" t="e">
            <v>#N/A</v>
          </cell>
          <cell r="G966" t="e">
            <v>#N/A</v>
          </cell>
          <cell r="O966" t="e">
            <v>#N/A</v>
          </cell>
          <cell r="S966">
            <v>0</v>
          </cell>
          <cell r="T966">
            <v>3138400</v>
          </cell>
          <cell r="V966">
            <v>0</v>
          </cell>
          <cell r="W966">
            <v>0</v>
          </cell>
          <cell r="X966">
            <v>0</v>
          </cell>
          <cell r="Z966">
            <v>0</v>
          </cell>
          <cell r="AB966">
            <v>0</v>
          </cell>
          <cell r="AD966">
            <v>0</v>
          </cell>
          <cell r="AF966">
            <v>0</v>
          </cell>
        </row>
        <row r="967">
          <cell r="A967">
            <v>966</v>
          </cell>
          <cell r="C967" t="e">
            <v>#N/A</v>
          </cell>
          <cell r="D967" t="e">
            <v>#N/A</v>
          </cell>
          <cell r="E967" t="e">
            <v>#N/A</v>
          </cell>
          <cell r="F967" t="e">
            <v>#N/A</v>
          </cell>
          <cell r="G967" t="e">
            <v>#N/A</v>
          </cell>
          <cell r="O967" t="e">
            <v>#N/A</v>
          </cell>
          <cell r="S967">
            <v>0</v>
          </cell>
          <cell r="T967">
            <v>3138400</v>
          </cell>
          <cell r="V967">
            <v>0</v>
          </cell>
          <cell r="W967">
            <v>0</v>
          </cell>
          <cell r="X967">
            <v>0</v>
          </cell>
          <cell r="Z967">
            <v>0</v>
          </cell>
          <cell r="AB967">
            <v>0</v>
          </cell>
          <cell r="AD967">
            <v>0</v>
          </cell>
          <cell r="AF967">
            <v>0</v>
          </cell>
        </row>
        <row r="968">
          <cell r="A968">
            <v>967</v>
          </cell>
          <cell r="C968" t="e">
            <v>#N/A</v>
          </cell>
          <cell r="D968" t="e">
            <v>#N/A</v>
          </cell>
          <cell r="E968" t="e">
            <v>#N/A</v>
          </cell>
          <cell r="F968" t="e">
            <v>#N/A</v>
          </cell>
          <cell r="G968" t="e">
            <v>#N/A</v>
          </cell>
          <cell r="O968" t="e">
            <v>#N/A</v>
          </cell>
          <cell r="S968">
            <v>0</v>
          </cell>
          <cell r="T968">
            <v>3138400</v>
          </cell>
          <cell r="V968">
            <v>0</v>
          </cell>
          <cell r="W968">
            <v>0</v>
          </cell>
          <cell r="X968">
            <v>0</v>
          </cell>
          <cell r="Z968">
            <v>0</v>
          </cell>
          <cell r="AB968">
            <v>0</v>
          </cell>
          <cell r="AD968">
            <v>0</v>
          </cell>
          <cell r="AF968">
            <v>0</v>
          </cell>
        </row>
        <row r="969">
          <cell r="A969">
            <v>968</v>
          </cell>
          <cell r="C969" t="e">
            <v>#N/A</v>
          </cell>
          <cell r="D969" t="e">
            <v>#N/A</v>
          </cell>
          <cell r="E969" t="e">
            <v>#N/A</v>
          </cell>
          <cell r="F969" t="e">
            <v>#N/A</v>
          </cell>
          <cell r="G969" t="e">
            <v>#N/A</v>
          </cell>
          <cell r="O969" t="e">
            <v>#N/A</v>
          </cell>
          <cell r="S969">
            <v>0</v>
          </cell>
          <cell r="T969">
            <v>3138400</v>
          </cell>
          <cell r="V969">
            <v>0</v>
          </cell>
          <cell r="W969">
            <v>0</v>
          </cell>
          <cell r="X969">
            <v>0</v>
          </cell>
          <cell r="Z969">
            <v>0</v>
          </cell>
          <cell r="AB969">
            <v>0</v>
          </cell>
          <cell r="AD969">
            <v>0</v>
          </cell>
          <cell r="AF969">
            <v>0</v>
          </cell>
        </row>
        <row r="970">
          <cell r="A970">
            <v>969</v>
          </cell>
          <cell r="C970" t="e">
            <v>#N/A</v>
          </cell>
          <cell r="D970" t="e">
            <v>#N/A</v>
          </cell>
          <cell r="E970" t="e">
            <v>#N/A</v>
          </cell>
          <cell r="F970" t="e">
            <v>#N/A</v>
          </cell>
          <cell r="G970" t="e">
            <v>#N/A</v>
          </cell>
          <cell r="O970" t="e">
            <v>#N/A</v>
          </cell>
          <cell r="S970">
            <v>0</v>
          </cell>
          <cell r="T970">
            <v>3138400</v>
          </cell>
          <cell r="V970">
            <v>0</v>
          </cell>
          <cell r="W970">
            <v>0</v>
          </cell>
          <cell r="X970">
            <v>0</v>
          </cell>
          <cell r="Z970">
            <v>0</v>
          </cell>
          <cell r="AB970">
            <v>0</v>
          </cell>
          <cell r="AD970">
            <v>0</v>
          </cell>
          <cell r="AF970">
            <v>0</v>
          </cell>
        </row>
        <row r="971">
          <cell r="A971">
            <v>970</v>
          </cell>
          <cell r="C971" t="e">
            <v>#N/A</v>
          </cell>
          <cell r="D971" t="e">
            <v>#N/A</v>
          </cell>
          <cell r="E971" t="e">
            <v>#N/A</v>
          </cell>
          <cell r="F971" t="e">
            <v>#N/A</v>
          </cell>
          <cell r="G971" t="e">
            <v>#N/A</v>
          </cell>
          <cell r="O971" t="e">
            <v>#N/A</v>
          </cell>
          <cell r="S971">
            <v>0</v>
          </cell>
          <cell r="T971">
            <v>3138400</v>
          </cell>
          <cell r="V971">
            <v>0</v>
          </cell>
          <cell r="W971">
            <v>0</v>
          </cell>
          <cell r="X971">
            <v>0</v>
          </cell>
          <cell r="Z971">
            <v>0</v>
          </cell>
          <cell r="AB971">
            <v>0</v>
          </cell>
          <cell r="AD971">
            <v>0</v>
          </cell>
          <cell r="AF971">
            <v>0</v>
          </cell>
        </row>
        <row r="972">
          <cell r="A972">
            <v>971</v>
          </cell>
          <cell r="C972" t="e">
            <v>#N/A</v>
          </cell>
          <cell r="D972" t="e">
            <v>#N/A</v>
          </cell>
          <cell r="E972" t="e">
            <v>#N/A</v>
          </cell>
          <cell r="F972" t="e">
            <v>#N/A</v>
          </cell>
          <cell r="G972" t="e">
            <v>#N/A</v>
          </cell>
          <cell r="O972" t="e">
            <v>#N/A</v>
          </cell>
          <cell r="S972">
            <v>0</v>
          </cell>
          <cell r="T972">
            <v>3138400</v>
          </cell>
          <cell r="V972">
            <v>0</v>
          </cell>
          <cell r="W972">
            <v>0</v>
          </cell>
          <cell r="X972">
            <v>0</v>
          </cell>
          <cell r="Z972">
            <v>0</v>
          </cell>
          <cell r="AB972">
            <v>0</v>
          </cell>
          <cell r="AD972">
            <v>0</v>
          </cell>
          <cell r="AF972">
            <v>0</v>
          </cell>
        </row>
        <row r="973">
          <cell r="A973">
            <v>972</v>
          </cell>
          <cell r="C973" t="e">
            <v>#N/A</v>
          </cell>
          <cell r="D973" t="e">
            <v>#N/A</v>
          </cell>
          <cell r="E973" t="e">
            <v>#N/A</v>
          </cell>
          <cell r="F973" t="e">
            <v>#N/A</v>
          </cell>
          <cell r="G973" t="e">
            <v>#N/A</v>
          </cell>
          <cell r="O973" t="e">
            <v>#N/A</v>
          </cell>
          <cell r="S973">
            <v>0</v>
          </cell>
          <cell r="T973">
            <v>3138400</v>
          </cell>
          <cell r="V973">
            <v>0</v>
          </cell>
          <cell r="W973">
            <v>0</v>
          </cell>
          <cell r="X973">
            <v>0</v>
          </cell>
          <cell r="Z973">
            <v>0</v>
          </cell>
          <cell r="AB973">
            <v>0</v>
          </cell>
          <cell r="AD973">
            <v>0</v>
          </cell>
          <cell r="AF973">
            <v>0</v>
          </cell>
        </row>
        <row r="974">
          <cell r="A974">
            <v>973</v>
          </cell>
          <cell r="C974" t="e">
            <v>#N/A</v>
          </cell>
          <cell r="D974" t="e">
            <v>#N/A</v>
          </cell>
          <cell r="E974" t="e">
            <v>#N/A</v>
          </cell>
          <cell r="F974" t="e">
            <v>#N/A</v>
          </cell>
          <cell r="G974" t="e">
            <v>#N/A</v>
          </cell>
          <cell r="O974" t="e">
            <v>#N/A</v>
          </cell>
          <cell r="S974">
            <v>0</v>
          </cell>
          <cell r="T974">
            <v>3138400</v>
          </cell>
          <cell r="V974">
            <v>0</v>
          </cell>
          <cell r="W974">
            <v>0</v>
          </cell>
          <cell r="X974">
            <v>0</v>
          </cell>
          <cell r="Z974">
            <v>0</v>
          </cell>
          <cell r="AB974">
            <v>0</v>
          </cell>
          <cell r="AD974">
            <v>0</v>
          </cell>
          <cell r="AF974">
            <v>0</v>
          </cell>
        </row>
        <row r="975">
          <cell r="A975">
            <v>974</v>
          </cell>
          <cell r="C975" t="e">
            <v>#N/A</v>
          </cell>
          <cell r="D975" t="e">
            <v>#N/A</v>
          </cell>
          <cell r="E975" t="e">
            <v>#N/A</v>
          </cell>
          <cell r="F975" t="e">
            <v>#N/A</v>
          </cell>
          <cell r="G975" t="e">
            <v>#N/A</v>
          </cell>
          <cell r="O975" t="e">
            <v>#N/A</v>
          </cell>
          <cell r="S975">
            <v>0</v>
          </cell>
          <cell r="T975">
            <v>3138400</v>
          </cell>
          <cell r="V975">
            <v>0</v>
          </cell>
          <cell r="W975">
            <v>0</v>
          </cell>
          <cell r="X975">
            <v>0</v>
          </cell>
          <cell r="Z975">
            <v>0</v>
          </cell>
          <cell r="AB975">
            <v>0</v>
          </cell>
          <cell r="AD975">
            <v>0</v>
          </cell>
          <cell r="AF975">
            <v>0</v>
          </cell>
        </row>
        <row r="976">
          <cell r="A976">
            <v>975</v>
          </cell>
          <cell r="C976" t="e">
            <v>#N/A</v>
          </cell>
          <cell r="D976" t="e">
            <v>#N/A</v>
          </cell>
          <cell r="E976" t="e">
            <v>#N/A</v>
          </cell>
          <cell r="F976" t="e">
            <v>#N/A</v>
          </cell>
          <cell r="G976" t="e">
            <v>#N/A</v>
          </cell>
          <cell r="O976" t="e">
            <v>#N/A</v>
          </cell>
          <cell r="S976">
            <v>0</v>
          </cell>
          <cell r="T976">
            <v>3138400</v>
          </cell>
          <cell r="U976" t="str">
            <v>ya</v>
          </cell>
          <cell r="V976" t="e">
            <v>#N/A</v>
          </cell>
          <cell r="W976" t="e">
            <v>#N/A</v>
          </cell>
          <cell r="X976" t="e">
            <v>#N/A</v>
          </cell>
          <cell r="Z976">
            <v>0</v>
          </cell>
          <cell r="AB976">
            <v>0</v>
          </cell>
          <cell r="AD976">
            <v>0</v>
          </cell>
          <cell r="AF976">
            <v>0</v>
          </cell>
        </row>
        <row r="977">
          <cell r="A977">
            <v>976</v>
          </cell>
          <cell r="C977" t="e">
            <v>#N/A</v>
          </cell>
          <cell r="D977" t="e">
            <v>#N/A</v>
          </cell>
          <cell r="E977" t="e">
            <v>#N/A</v>
          </cell>
          <cell r="F977" t="e">
            <v>#N/A</v>
          </cell>
          <cell r="G977" t="e">
            <v>#N/A</v>
          </cell>
          <cell r="O977" t="e">
            <v>#N/A</v>
          </cell>
          <cell r="S977">
            <v>0</v>
          </cell>
          <cell r="T977">
            <v>3138400</v>
          </cell>
          <cell r="U977" t="str">
            <v>ya</v>
          </cell>
          <cell r="V977" t="e">
            <v>#N/A</v>
          </cell>
          <cell r="W977" t="e">
            <v>#N/A</v>
          </cell>
          <cell r="X977" t="e">
            <v>#N/A</v>
          </cell>
          <cell r="Z977">
            <v>0</v>
          </cell>
          <cell r="AB977">
            <v>0</v>
          </cell>
          <cell r="AD977">
            <v>0</v>
          </cell>
          <cell r="AF977">
            <v>0</v>
          </cell>
        </row>
        <row r="978">
          <cell r="A978">
            <v>977</v>
          </cell>
          <cell r="C978" t="e">
            <v>#N/A</v>
          </cell>
          <cell r="D978" t="e">
            <v>#N/A</v>
          </cell>
          <cell r="E978" t="e">
            <v>#N/A</v>
          </cell>
          <cell r="F978" t="e">
            <v>#N/A</v>
          </cell>
          <cell r="G978" t="e">
            <v>#N/A</v>
          </cell>
          <cell r="O978" t="e">
            <v>#N/A</v>
          </cell>
          <cell r="S978">
            <v>0</v>
          </cell>
          <cell r="T978">
            <v>3138400</v>
          </cell>
          <cell r="V978">
            <v>0</v>
          </cell>
          <cell r="W978">
            <v>0</v>
          </cell>
          <cell r="X978">
            <v>0</v>
          </cell>
          <cell r="Z978">
            <v>0</v>
          </cell>
          <cell r="AB978">
            <v>0</v>
          </cell>
          <cell r="AD978">
            <v>0</v>
          </cell>
          <cell r="AF978">
            <v>0</v>
          </cell>
        </row>
        <row r="979">
          <cell r="A979">
            <v>978</v>
          </cell>
          <cell r="C979" t="e">
            <v>#N/A</v>
          </cell>
          <cell r="D979" t="e">
            <v>#N/A</v>
          </cell>
          <cell r="E979" t="e">
            <v>#N/A</v>
          </cell>
          <cell r="F979" t="e">
            <v>#N/A</v>
          </cell>
          <cell r="G979" t="e">
            <v>#N/A</v>
          </cell>
          <cell r="O979" t="e">
            <v>#N/A</v>
          </cell>
          <cell r="S979">
            <v>0</v>
          </cell>
          <cell r="T979">
            <v>3138400</v>
          </cell>
          <cell r="V979">
            <v>0</v>
          </cell>
          <cell r="W979">
            <v>0</v>
          </cell>
          <cell r="X979">
            <v>0</v>
          </cell>
          <cell r="Z979">
            <v>0</v>
          </cell>
          <cell r="AB979">
            <v>0</v>
          </cell>
          <cell r="AD979">
            <v>0</v>
          </cell>
          <cell r="AF979">
            <v>0</v>
          </cell>
        </row>
        <row r="980">
          <cell r="A980">
            <v>979</v>
          </cell>
          <cell r="C980" t="e">
            <v>#N/A</v>
          </cell>
          <cell r="D980" t="e">
            <v>#N/A</v>
          </cell>
          <cell r="E980" t="e">
            <v>#N/A</v>
          </cell>
          <cell r="F980" t="e">
            <v>#N/A</v>
          </cell>
          <cell r="G980" t="e">
            <v>#N/A</v>
          </cell>
          <cell r="O980" t="e">
            <v>#N/A</v>
          </cell>
          <cell r="S980">
            <v>0</v>
          </cell>
          <cell r="T980">
            <v>3138400</v>
          </cell>
          <cell r="V980">
            <v>0</v>
          </cell>
          <cell r="W980">
            <v>0</v>
          </cell>
          <cell r="X980">
            <v>0</v>
          </cell>
          <cell r="Z980">
            <v>0</v>
          </cell>
          <cell r="AB980">
            <v>0</v>
          </cell>
          <cell r="AD980">
            <v>0</v>
          </cell>
          <cell r="AF980">
            <v>0</v>
          </cell>
        </row>
        <row r="981">
          <cell r="A981">
            <v>980</v>
          </cell>
          <cell r="C981" t="e">
            <v>#N/A</v>
          </cell>
          <cell r="D981" t="e">
            <v>#N/A</v>
          </cell>
          <cell r="E981" t="e">
            <v>#N/A</v>
          </cell>
          <cell r="F981" t="e">
            <v>#N/A</v>
          </cell>
          <cell r="G981" t="e">
            <v>#N/A</v>
          </cell>
          <cell r="O981" t="e">
            <v>#N/A</v>
          </cell>
          <cell r="S981">
            <v>0</v>
          </cell>
          <cell r="T981">
            <v>3138400</v>
          </cell>
          <cell r="V981">
            <v>0</v>
          </cell>
          <cell r="W981">
            <v>0</v>
          </cell>
          <cell r="X981">
            <v>0</v>
          </cell>
          <cell r="Z981">
            <v>0</v>
          </cell>
          <cell r="AB981">
            <v>0</v>
          </cell>
          <cell r="AD981">
            <v>0</v>
          </cell>
          <cell r="AF981">
            <v>0</v>
          </cell>
        </row>
        <row r="982">
          <cell r="A982">
            <v>981</v>
          </cell>
          <cell r="C982" t="e">
            <v>#N/A</v>
          </cell>
          <cell r="D982" t="e">
            <v>#N/A</v>
          </cell>
          <cell r="E982" t="e">
            <v>#N/A</v>
          </cell>
          <cell r="F982" t="e">
            <v>#N/A</v>
          </cell>
          <cell r="G982" t="e">
            <v>#N/A</v>
          </cell>
          <cell r="O982" t="e">
            <v>#N/A</v>
          </cell>
          <cell r="S982">
            <v>0</v>
          </cell>
          <cell r="T982">
            <v>3138400</v>
          </cell>
          <cell r="U982" t="str">
            <v>ya</v>
          </cell>
          <cell r="V982" t="e">
            <v>#N/A</v>
          </cell>
          <cell r="W982" t="e">
            <v>#N/A</v>
          </cell>
          <cell r="X982" t="e">
            <v>#N/A</v>
          </cell>
          <cell r="Z982">
            <v>0</v>
          </cell>
          <cell r="AB982">
            <v>0</v>
          </cell>
          <cell r="AD982">
            <v>0</v>
          </cell>
          <cell r="AF982">
            <v>0</v>
          </cell>
        </row>
        <row r="983">
          <cell r="A983">
            <v>982</v>
          </cell>
          <cell r="C983" t="e">
            <v>#N/A</v>
          </cell>
          <cell r="D983" t="e">
            <v>#N/A</v>
          </cell>
          <cell r="E983" t="e">
            <v>#N/A</v>
          </cell>
          <cell r="F983" t="e">
            <v>#N/A</v>
          </cell>
          <cell r="G983" t="e">
            <v>#N/A</v>
          </cell>
          <cell r="O983" t="e">
            <v>#N/A</v>
          </cell>
          <cell r="S983">
            <v>0</v>
          </cell>
          <cell r="T983">
            <v>3138400</v>
          </cell>
          <cell r="U983" t="str">
            <v>ya</v>
          </cell>
          <cell r="V983" t="e">
            <v>#N/A</v>
          </cell>
          <cell r="W983" t="e">
            <v>#N/A</v>
          </cell>
          <cell r="X983" t="e">
            <v>#N/A</v>
          </cell>
          <cell r="Z983">
            <v>0</v>
          </cell>
          <cell r="AB983">
            <v>0</v>
          </cell>
          <cell r="AD983">
            <v>0</v>
          </cell>
          <cell r="AF983">
            <v>0</v>
          </cell>
        </row>
        <row r="984">
          <cell r="A984">
            <v>983</v>
          </cell>
          <cell r="C984" t="e">
            <v>#N/A</v>
          </cell>
          <cell r="D984" t="e">
            <v>#N/A</v>
          </cell>
          <cell r="E984" t="e">
            <v>#N/A</v>
          </cell>
          <cell r="F984" t="e">
            <v>#N/A</v>
          </cell>
          <cell r="G984" t="e">
            <v>#N/A</v>
          </cell>
          <cell r="O984" t="e">
            <v>#N/A</v>
          </cell>
          <cell r="S984">
            <v>0</v>
          </cell>
          <cell r="T984">
            <v>3138400</v>
          </cell>
          <cell r="V984">
            <v>0</v>
          </cell>
          <cell r="W984">
            <v>0</v>
          </cell>
          <cell r="X984">
            <v>0</v>
          </cell>
          <cell r="Z984">
            <v>0</v>
          </cell>
          <cell r="AB984">
            <v>0</v>
          </cell>
          <cell r="AD984">
            <v>0</v>
          </cell>
          <cell r="AF984">
            <v>0</v>
          </cell>
        </row>
        <row r="985">
          <cell r="A985">
            <v>984</v>
          </cell>
          <cell r="C985" t="e">
            <v>#N/A</v>
          </cell>
          <cell r="D985" t="e">
            <v>#N/A</v>
          </cell>
          <cell r="E985" t="e">
            <v>#N/A</v>
          </cell>
          <cell r="F985" t="e">
            <v>#N/A</v>
          </cell>
          <cell r="G985" t="e">
            <v>#N/A</v>
          </cell>
          <cell r="O985" t="e">
            <v>#N/A</v>
          </cell>
          <cell r="S985">
            <v>0</v>
          </cell>
          <cell r="T985">
            <v>3138400</v>
          </cell>
          <cell r="V985">
            <v>0</v>
          </cell>
          <cell r="W985">
            <v>0</v>
          </cell>
          <cell r="X985">
            <v>0</v>
          </cell>
          <cell r="Z985">
            <v>0</v>
          </cell>
          <cell r="AB985">
            <v>0</v>
          </cell>
          <cell r="AD985">
            <v>0</v>
          </cell>
          <cell r="AF985">
            <v>0</v>
          </cell>
        </row>
        <row r="986">
          <cell r="A986">
            <v>985</v>
          </cell>
          <cell r="C986" t="e">
            <v>#N/A</v>
          </cell>
          <cell r="D986" t="e">
            <v>#N/A</v>
          </cell>
          <cell r="E986" t="e">
            <v>#N/A</v>
          </cell>
          <cell r="F986" t="e">
            <v>#N/A</v>
          </cell>
          <cell r="G986" t="e">
            <v>#N/A</v>
          </cell>
          <cell r="O986" t="e">
            <v>#N/A</v>
          </cell>
          <cell r="S986">
            <v>0</v>
          </cell>
          <cell r="T986">
            <v>3138400</v>
          </cell>
          <cell r="V986">
            <v>0</v>
          </cell>
          <cell r="W986">
            <v>0</v>
          </cell>
          <cell r="X986">
            <v>0</v>
          </cell>
          <cell r="Z986">
            <v>0</v>
          </cell>
          <cell r="AB986">
            <v>0</v>
          </cell>
          <cell r="AD986">
            <v>0</v>
          </cell>
          <cell r="AF986">
            <v>0</v>
          </cell>
        </row>
        <row r="987">
          <cell r="A987">
            <v>986</v>
          </cell>
          <cell r="C987" t="e">
            <v>#N/A</v>
          </cell>
          <cell r="D987" t="e">
            <v>#N/A</v>
          </cell>
          <cell r="E987" t="e">
            <v>#N/A</v>
          </cell>
          <cell r="F987" t="e">
            <v>#N/A</v>
          </cell>
          <cell r="G987" t="e">
            <v>#N/A</v>
          </cell>
          <cell r="O987" t="e">
            <v>#N/A</v>
          </cell>
          <cell r="S987">
            <v>0</v>
          </cell>
          <cell r="T987">
            <v>3138400</v>
          </cell>
          <cell r="V987">
            <v>0</v>
          </cell>
          <cell r="W987">
            <v>0</v>
          </cell>
          <cell r="X987">
            <v>0</v>
          </cell>
          <cell r="Z987">
            <v>0</v>
          </cell>
          <cell r="AB987">
            <v>0</v>
          </cell>
          <cell r="AD987">
            <v>0</v>
          </cell>
          <cell r="AF987">
            <v>0</v>
          </cell>
        </row>
        <row r="988">
          <cell r="A988">
            <v>987</v>
          </cell>
          <cell r="C988" t="e">
            <v>#N/A</v>
          </cell>
          <cell r="D988" t="e">
            <v>#N/A</v>
          </cell>
          <cell r="E988" t="e">
            <v>#N/A</v>
          </cell>
          <cell r="F988" t="e">
            <v>#N/A</v>
          </cell>
          <cell r="G988" t="e">
            <v>#N/A</v>
          </cell>
          <cell r="O988" t="e">
            <v>#N/A</v>
          </cell>
          <cell r="S988">
            <v>0</v>
          </cell>
          <cell r="T988">
            <v>3138400</v>
          </cell>
          <cell r="V988">
            <v>0</v>
          </cell>
          <cell r="W988">
            <v>0</v>
          </cell>
          <cell r="X988">
            <v>0</v>
          </cell>
          <cell r="Z988">
            <v>0</v>
          </cell>
          <cell r="AB988">
            <v>0</v>
          </cell>
          <cell r="AD988">
            <v>0</v>
          </cell>
          <cell r="AF988">
            <v>0</v>
          </cell>
        </row>
        <row r="989">
          <cell r="A989">
            <v>988</v>
          </cell>
          <cell r="C989" t="e">
            <v>#N/A</v>
          </cell>
          <cell r="D989" t="e">
            <v>#N/A</v>
          </cell>
          <cell r="E989" t="e">
            <v>#N/A</v>
          </cell>
          <cell r="F989" t="e">
            <v>#N/A</v>
          </cell>
          <cell r="G989" t="e">
            <v>#N/A</v>
          </cell>
          <cell r="O989" t="e">
            <v>#N/A</v>
          </cell>
          <cell r="S989">
            <v>0</v>
          </cell>
          <cell r="T989">
            <v>3138400</v>
          </cell>
          <cell r="V989">
            <v>0</v>
          </cell>
          <cell r="W989">
            <v>0</v>
          </cell>
          <cell r="X989">
            <v>0</v>
          </cell>
          <cell r="Z989">
            <v>0</v>
          </cell>
          <cell r="AB989">
            <v>0</v>
          </cell>
          <cell r="AD989">
            <v>0</v>
          </cell>
          <cell r="AF989">
            <v>0</v>
          </cell>
        </row>
        <row r="990">
          <cell r="A990">
            <v>989</v>
          </cell>
          <cell r="C990" t="e">
            <v>#N/A</v>
          </cell>
          <cell r="D990" t="e">
            <v>#N/A</v>
          </cell>
          <cell r="E990" t="e">
            <v>#N/A</v>
          </cell>
          <cell r="F990" t="e">
            <v>#N/A</v>
          </cell>
          <cell r="G990" t="e">
            <v>#N/A</v>
          </cell>
          <cell r="O990" t="e">
            <v>#N/A</v>
          </cell>
          <cell r="S990">
            <v>0</v>
          </cell>
          <cell r="T990">
            <v>3138400</v>
          </cell>
          <cell r="V990">
            <v>0</v>
          </cell>
          <cell r="W990">
            <v>0</v>
          </cell>
          <cell r="X990">
            <v>0</v>
          </cell>
          <cell r="Z990">
            <v>0</v>
          </cell>
          <cell r="AB990">
            <v>0</v>
          </cell>
          <cell r="AD990">
            <v>0</v>
          </cell>
          <cell r="AF990">
            <v>0</v>
          </cell>
        </row>
        <row r="991">
          <cell r="A991">
            <v>990</v>
          </cell>
          <cell r="C991" t="e">
            <v>#N/A</v>
          </cell>
          <cell r="D991" t="e">
            <v>#N/A</v>
          </cell>
          <cell r="E991" t="e">
            <v>#N/A</v>
          </cell>
          <cell r="F991" t="e">
            <v>#N/A</v>
          </cell>
          <cell r="G991" t="e">
            <v>#N/A</v>
          </cell>
          <cell r="O991" t="e">
            <v>#N/A</v>
          </cell>
          <cell r="S991">
            <v>0</v>
          </cell>
          <cell r="T991">
            <v>3138400</v>
          </cell>
          <cell r="V991">
            <v>0</v>
          </cell>
          <cell r="W991">
            <v>0</v>
          </cell>
          <cell r="X991">
            <v>0</v>
          </cell>
          <cell r="Z991">
            <v>0</v>
          </cell>
          <cell r="AB991">
            <v>0</v>
          </cell>
          <cell r="AD991">
            <v>0</v>
          </cell>
          <cell r="AF991">
            <v>0</v>
          </cell>
        </row>
        <row r="992">
          <cell r="A992">
            <v>991</v>
          </cell>
          <cell r="C992" t="e">
            <v>#N/A</v>
          </cell>
          <cell r="D992" t="e">
            <v>#N/A</v>
          </cell>
          <cell r="E992" t="e">
            <v>#N/A</v>
          </cell>
          <cell r="F992" t="e">
            <v>#N/A</v>
          </cell>
          <cell r="G992" t="e">
            <v>#N/A</v>
          </cell>
          <cell r="O992" t="e">
            <v>#N/A</v>
          </cell>
          <cell r="S992">
            <v>0</v>
          </cell>
          <cell r="T992">
            <v>3138400</v>
          </cell>
          <cell r="V992">
            <v>0</v>
          </cell>
          <cell r="W992">
            <v>0</v>
          </cell>
          <cell r="X992">
            <v>0</v>
          </cell>
          <cell r="Z992">
            <v>0</v>
          </cell>
          <cell r="AB992">
            <v>0</v>
          </cell>
          <cell r="AD992">
            <v>0</v>
          </cell>
          <cell r="AF992">
            <v>0</v>
          </cell>
        </row>
        <row r="993">
          <cell r="A993">
            <v>992</v>
          </cell>
          <cell r="C993" t="e">
            <v>#N/A</v>
          </cell>
          <cell r="D993" t="e">
            <v>#N/A</v>
          </cell>
          <cell r="E993" t="e">
            <v>#N/A</v>
          </cell>
          <cell r="F993" t="e">
            <v>#N/A</v>
          </cell>
          <cell r="G993" t="e">
            <v>#N/A</v>
          </cell>
          <cell r="O993" t="e">
            <v>#N/A</v>
          </cell>
          <cell r="S993">
            <v>0</v>
          </cell>
          <cell r="T993">
            <v>3138400</v>
          </cell>
          <cell r="V993">
            <v>0</v>
          </cell>
          <cell r="W993">
            <v>0</v>
          </cell>
          <cell r="X993">
            <v>0</v>
          </cell>
          <cell r="Z993">
            <v>0</v>
          </cell>
          <cell r="AB993">
            <v>0</v>
          </cell>
          <cell r="AD993">
            <v>0</v>
          </cell>
          <cell r="AF993">
            <v>0</v>
          </cell>
        </row>
        <row r="994">
          <cell r="A994">
            <v>993</v>
          </cell>
          <cell r="C994" t="e">
            <v>#N/A</v>
          </cell>
          <cell r="D994" t="e">
            <v>#N/A</v>
          </cell>
          <cell r="E994" t="e">
            <v>#N/A</v>
          </cell>
          <cell r="F994" t="e">
            <v>#N/A</v>
          </cell>
          <cell r="G994" t="e">
            <v>#N/A</v>
          </cell>
          <cell r="O994" t="e">
            <v>#N/A</v>
          </cell>
          <cell r="S994">
            <v>0</v>
          </cell>
          <cell r="T994">
            <v>3138400</v>
          </cell>
          <cell r="V994">
            <v>0</v>
          </cell>
          <cell r="W994">
            <v>0</v>
          </cell>
          <cell r="X994">
            <v>0</v>
          </cell>
          <cell r="Z994">
            <v>0</v>
          </cell>
          <cell r="AB994">
            <v>0</v>
          </cell>
          <cell r="AD994">
            <v>0</v>
          </cell>
          <cell r="AF994">
            <v>0</v>
          </cell>
        </row>
        <row r="995">
          <cell r="A995">
            <v>994</v>
          </cell>
          <cell r="C995" t="e">
            <v>#N/A</v>
          </cell>
          <cell r="D995" t="e">
            <v>#N/A</v>
          </cell>
          <cell r="E995" t="e">
            <v>#N/A</v>
          </cell>
          <cell r="F995" t="e">
            <v>#N/A</v>
          </cell>
          <cell r="G995" t="e">
            <v>#N/A</v>
          </cell>
          <cell r="O995" t="e">
            <v>#N/A</v>
          </cell>
          <cell r="S995">
            <v>0</v>
          </cell>
          <cell r="T995">
            <v>3138400</v>
          </cell>
          <cell r="V995">
            <v>0</v>
          </cell>
          <cell r="W995">
            <v>0</v>
          </cell>
          <cell r="X995">
            <v>0</v>
          </cell>
          <cell r="Z995">
            <v>0</v>
          </cell>
          <cell r="AB995">
            <v>0</v>
          </cell>
          <cell r="AD995">
            <v>0</v>
          </cell>
          <cell r="AF995">
            <v>0</v>
          </cell>
        </row>
        <row r="996">
          <cell r="A996">
            <v>995</v>
          </cell>
          <cell r="C996" t="e">
            <v>#N/A</v>
          </cell>
          <cell r="D996" t="e">
            <v>#N/A</v>
          </cell>
          <cell r="E996" t="e">
            <v>#N/A</v>
          </cell>
          <cell r="F996" t="e">
            <v>#N/A</v>
          </cell>
          <cell r="G996" t="e">
            <v>#N/A</v>
          </cell>
          <cell r="O996" t="e">
            <v>#N/A</v>
          </cell>
          <cell r="S996">
            <v>0</v>
          </cell>
          <cell r="T996">
            <v>3138400</v>
          </cell>
          <cell r="V996">
            <v>0</v>
          </cell>
          <cell r="W996">
            <v>0</v>
          </cell>
          <cell r="X996">
            <v>0</v>
          </cell>
          <cell r="Z996">
            <v>0</v>
          </cell>
          <cell r="AB996">
            <v>0</v>
          </cell>
          <cell r="AD996">
            <v>0</v>
          </cell>
          <cell r="AF996">
            <v>0</v>
          </cell>
        </row>
        <row r="997">
          <cell r="A997">
            <v>996</v>
          </cell>
          <cell r="C997" t="e">
            <v>#N/A</v>
          </cell>
          <cell r="D997" t="e">
            <v>#N/A</v>
          </cell>
          <cell r="E997" t="e">
            <v>#N/A</v>
          </cell>
          <cell r="F997" t="e">
            <v>#N/A</v>
          </cell>
          <cell r="G997" t="e">
            <v>#N/A</v>
          </cell>
          <cell r="O997" t="e">
            <v>#N/A</v>
          </cell>
          <cell r="S997">
            <v>0</v>
          </cell>
          <cell r="T997">
            <v>3138400</v>
          </cell>
          <cell r="V997">
            <v>0</v>
          </cell>
          <cell r="W997">
            <v>0</v>
          </cell>
          <cell r="X997">
            <v>0</v>
          </cell>
          <cell r="Z997">
            <v>0</v>
          </cell>
          <cell r="AB997">
            <v>0</v>
          </cell>
          <cell r="AD997">
            <v>0</v>
          </cell>
          <cell r="AF997">
            <v>0</v>
          </cell>
        </row>
        <row r="998">
          <cell r="A998">
            <v>997</v>
          </cell>
          <cell r="C998" t="e">
            <v>#N/A</v>
          </cell>
          <cell r="D998" t="e">
            <v>#N/A</v>
          </cell>
          <cell r="E998" t="e">
            <v>#N/A</v>
          </cell>
          <cell r="F998" t="e">
            <v>#N/A</v>
          </cell>
          <cell r="G998" t="e">
            <v>#N/A</v>
          </cell>
          <cell r="O998" t="e">
            <v>#N/A</v>
          </cell>
          <cell r="S998">
            <v>0</v>
          </cell>
          <cell r="T998">
            <v>3138400</v>
          </cell>
          <cell r="V998">
            <v>0</v>
          </cell>
          <cell r="W998">
            <v>0</v>
          </cell>
          <cell r="X998">
            <v>0</v>
          </cell>
          <cell r="Z998">
            <v>0</v>
          </cell>
          <cell r="AB998">
            <v>0</v>
          </cell>
          <cell r="AD998">
            <v>0</v>
          </cell>
          <cell r="AF998">
            <v>0</v>
          </cell>
        </row>
        <row r="999">
          <cell r="A999">
            <v>998</v>
          </cell>
          <cell r="C999" t="e">
            <v>#N/A</v>
          </cell>
          <cell r="D999" t="e">
            <v>#N/A</v>
          </cell>
          <cell r="E999" t="e">
            <v>#N/A</v>
          </cell>
          <cell r="F999" t="e">
            <v>#N/A</v>
          </cell>
          <cell r="G999" t="e">
            <v>#N/A</v>
          </cell>
          <cell r="O999" t="e">
            <v>#N/A</v>
          </cell>
          <cell r="S999">
            <v>0</v>
          </cell>
          <cell r="T999">
            <v>3138400</v>
          </cell>
          <cell r="V999">
            <v>0</v>
          </cell>
          <cell r="W999">
            <v>0</v>
          </cell>
          <cell r="X999">
            <v>0</v>
          </cell>
          <cell r="Z999">
            <v>0</v>
          </cell>
          <cell r="AB999">
            <v>0</v>
          </cell>
          <cell r="AD999">
            <v>0</v>
          </cell>
          <cell r="AF999">
            <v>0</v>
          </cell>
        </row>
        <row r="1000">
          <cell r="A1000">
            <v>999</v>
          </cell>
          <cell r="C1000" t="e">
            <v>#N/A</v>
          </cell>
          <cell r="D1000" t="e">
            <v>#N/A</v>
          </cell>
          <cell r="E1000" t="e">
            <v>#N/A</v>
          </cell>
          <cell r="F1000" t="e">
            <v>#N/A</v>
          </cell>
          <cell r="G1000" t="e">
            <v>#N/A</v>
          </cell>
          <cell r="O1000" t="e">
            <v>#N/A</v>
          </cell>
          <cell r="S1000">
            <v>0</v>
          </cell>
          <cell r="T1000">
            <v>3138400</v>
          </cell>
          <cell r="V1000">
            <v>0</v>
          </cell>
          <cell r="W1000">
            <v>0</v>
          </cell>
          <cell r="X1000">
            <v>0</v>
          </cell>
          <cell r="Z1000">
            <v>0</v>
          </cell>
          <cell r="AB1000">
            <v>0</v>
          </cell>
          <cell r="AD1000">
            <v>0</v>
          </cell>
          <cell r="AF1000">
            <v>0</v>
          </cell>
        </row>
        <row r="1001">
          <cell r="A1001">
            <v>1000</v>
          </cell>
          <cell r="C1001" t="e">
            <v>#N/A</v>
          </cell>
          <cell r="D1001" t="e">
            <v>#N/A</v>
          </cell>
          <cell r="E1001" t="e">
            <v>#N/A</v>
          </cell>
          <cell r="F1001" t="e">
            <v>#N/A</v>
          </cell>
          <cell r="G1001" t="e">
            <v>#N/A</v>
          </cell>
          <cell r="O1001" t="e">
            <v>#N/A</v>
          </cell>
          <cell r="S1001">
            <v>0</v>
          </cell>
          <cell r="T1001">
            <v>3138400</v>
          </cell>
          <cell r="V1001">
            <v>0</v>
          </cell>
          <cell r="W1001">
            <v>0</v>
          </cell>
          <cell r="X1001">
            <v>0</v>
          </cell>
          <cell r="Z1001">
            <v>0</v>
          </cell>
          <cell r="AB1001">
            <v>0</v>
          </cell>
          <cell r="AD1001">
            <v>0</v>
          </cell>
          <cell r="AF1001">
            <v>0</v>
          </cell>
        </row>
        <row r="1002">
          <cell r="A1002">
            <v>1001</v>
          </cell>
          <cell r="C1002" t="e">
            <v>#N/A</v>
          </cell>
          <cell r="D1002" t="e">
            <v>#N/A</v>
          </cell>
          <cell r="E1002" t="e">
            <v>#N/A</v>
          </cell>
          <cell r="F1002" t="e">
            <v>#N/A</v>
          </cell>
          <cell r="G1002" t="e">
            <v>#N/A</v>
          </cell>
          <cell r="O1002" t="e">
            <v>#N/A</v>
          </cell>
          <cell r="S1002">
            <v>0</v>
          </cell>
          <cell r="T1002">
            <v>3138400</v>
          </cell>
          <cell r="U1002" t="str">
            <v>ya</v>
          </cell>
          <cell r="V1002" t="e">
            <v>#N/A</v>
          </cell>
          <cell r="W1002" t="e">
            <v>#N/A</v>
          </cell>
          <cell r="X1002" t="e">
            <v>#N/A</v>
          </cell>
          <cell r="Z1002">
            <v>0</v>
          </cell>
          <cell r="AB1002">
            <v>0</v>
          </cell>
          <cell r="AD1002">
            <v>0</v>
          </cell>
          <cell r="AF1002">
            <v>0</v>
          </cell>
        </row>
        <row r="1003">
          <cell r="A1003">
            <v>1002</v>
          </cell>
          <cell r="C1003" t="e">
            <v>#N/A</v>
          </cell>
          <cell r="D1003" t="e">
            <v>#N/A</v>
          </cell>
          <cell r="E1003" t="e">
            <v>#N/A</v>
          </cell>
          <cell r="F1003" t="e">
            <v>#N/A</v>
          </cell>
          <cell r="G1003" t="e">
            <v>#N/A</v>
          </cell>
          <cell r="O1003" t="e">
            <v>#N/A</v>
          </cell>
          <cell r="S1003">
            <v>0</v>
          </cell>
          <cell r="T1003">
            <v>3138400</v>
          </cell>
          <cell r="U1003" t="str">
            <v>ya</v>
          </cell>
          <cell r="V1003" t="e">
            <v>#N/A</v>
          </cell>
          <cell r="W1003" t="e">
            <v>#N/A</v>
          </cell>
          <cell r="X1003" t="e">
            <v>#N/A</v>
          </cell>
          <cell r="Z1003">
            <v>0</v>
          </cell>
          <cell r="AB1003">
            <v>0</v>
          </cell>
          <cell r="AD1003">
            <v>0</v>
          </cell>
          <cell r="AF1003">
            <v>0</v>
          </cell>
        </row>
        <row r="1004">
          <cell r="A1004">
            <v>1003</v>
          </cell>
          <cell r="C1004" t="e">
            <v>#N/A</v>
          </cell>
          <cell r="D1004" t="e">
            <v>#N/A</v>
          </cell>
          <cell r="E1004" t="e">
            <v>#N/A</v>
          </cell>
          <cell r="F1004" t="e">
            <v>#N/A</v>
          </cell>
          <cell r="G1004" t="e">
            <v>#N/A</v>
          </cell>
          <cell r="O1004" t="e">
            <v>#N/A</v>
          </cell>
          <cell r="S1004">
            <v>0</v>
          </cell>
          <cell r="T1004">
            <v>3138400</v>
          </cell>
          <cell r="V1004">
            <v>0</v>
          </cell>
          <cell r="W1004">
            <v>0</v>
          </cell>
          <cell r="X1004">
            <v>0</v>
          </cell>
          <cell r="Z1004">
            <v>0</v>
          </cell>
          <cell r="AB1004">
            <v>0</v>
          </cell>
          <cell r="AD1004">
            <v>0</v>
          </cell>
          <cell r="AF1004">
            <v>0</v>
          </cell>
        </row>
        <row r="1005">
          <cell r="A1005">
            <v>1004</v>
          </cell>
          <cell r="C1005" t="e">
            <v>#N/A</v>
          </cell>
          <cell r="D1005" t="e">
            <v>#N/A</v>
          </cell>
          <cell r="E1005" t="e">
            <v>#N/A</v>
          </cell>
          <cell r="F1005" t="e">
            <v>#N/A</v>
          </cell>
          <cell r="G1005" t="e">
            <v>#N/A</v>
          </cell>
          <cell r="O1005" t="e">
            <v>#N/A</v>
          </cell>
          <cell r="S1005">
            <v>0</v>
          </cell>
          <cell r="T1005">
            <v>3138400</v>
          </cell>
          <cell r="V1005">
            <v>0</v>
          </cell>
          <cell r="W1005">
            <v>0</v>
          </cell>
          <cell r="X1005">
            <v>0</v>
          </cell>
          <cell r="Z1005">
            <v>0</v>
          </cell>
          <cell r="AB1005">
            <v>0</v>
          </cell>
          <cell r="AD1005">
            <v>0</v>
          </cell>
          <cell r="AF1005">
            <v>0</v>
          </cell>
        </row>
        <row r="1006">
          <cell r="A1006">
            <v>1005</v>
          </cell>
          <cell r="C1006" t="e">
            <v>#N/A</v>
          </cell>
          <cell r="D1006" t="e">
            <v>#N/A</v>
          </cell>
          <cell r="E1006" t="e">
            <v>#N/A</v>
          </cell>
          <cell r="F1006" t="e">
            <v>#N/A</v>
          </cell>
          <cell r="G1006" t="e">
            <v>#N/A</v>
          </cell>
          <cell r="O1006" t="e">
            <v>#N/A</v>
          </cell>
          <cell r="S1006">
            <v>0</v>
          </cell>
          <cell r="T1006">
            <v>3138400</v>
          </cell>
          <cell r="V1006">
            <v>0</v>
          </cell>
          <cell r="W1006">
            <v>0</v>
          </cell>
          <cell r="X1006">
            <v>0</v>
          </cell>
          <cell r="Z1006">
            <v>0</v>
          </cell>
          <cell r="AB1006">
            <v>0</v>
          </cell>
          <cell r="AD1006">
            <v>0</v>
          </cell>
          <cell r="AF1006">
            <v>0</v>
          </cell>
        </row>
        <row r="1007">
          <cell r="A1007">
            <v>1006</v>
          </cell>
          <cell r="C1007" t="e">
            <v>#N/A</v>
          </cell>
          <cell r="D1007" t="e">
            <v>#N/A</v>
          </cell>
          <cell r="E1007" t="e">
            <v>#N/A</v>
          </cell>
          <cell r="F1007" t="e">
            <v>#N/A</v>
          </cell>
          <cell r="G1007" t="e">
            <v>#N/A</v>
          </cell>
          <cell r="O1007" t="e">
            <v>#N/A</v>
          </cell>
          <cell r="S1007">
            <v>0</v>
          </cell>
          <cell r="T1007">
            <v>3138400</v>
          </cell>
          <cell r="V1007">
            <v>0</v>
          </cell>
          <cell r="W1007">
            <v>0</v>
          </cell>
          <cell r="X1007">
            <v>0</v>
          </cell>
          <cell r="Z1007">
            <v>0</v>
          </cell>
          <cell r="AB1007">
            <v>0</v>
          </cell>
          <cell r="AD1007">
            <v>0</v>
          </cell>
          <cell r="AF1007">
            <v>0</v>
          </cell>
        </row>
        <row r="1008">
          <cell r="A1008">
            <v>1007</v>
          </cell>
          <cell r="C1008" t="e">
            <v>#N/A</v>
          </cell>
          <cell r="D1008" t="e">
            <v>#N/A</v>
          </cell>
          <cell r="E1008" t="e">
            <v>#N/A</v>
          </cell>
          <cell r="F1008" t="e">
            <v>#N/A</v>
          </cell>
          <cell r="G1008" t="e">
            <v>#N/A</v>
          </cell>
          <cell r="O1008" t="e">
            <v>#N/A</v>
          </cell>
          <cell r="S1008">
            <v>0</v>
          </cell>
          <cell r="T1008">
            <v>3138400</v>
          </cell>
          <cell r="U1008" t="str">
            <v>ya</v>
          </cell>
          <cell r="V1008" t="e">
            <v>#N/A</v>
          </cell>
          <cell r="W1008" t="e">
            <v>#N/A</v>
          </cell>
          <cell r="X1008" t="e">
            <v>#N/A</v>
          </cell>
          <cell r="Z1008">
            <v>0</v>
          </cell>
          <cell r="AB1008">
            <v>0</v>
          </cell>
          <cell r="AD1008">
            <v>0</v>
          </cell>
          <cell r="AF1008">
            <v>0</v>
          </cell>
        </row>
        <row r="1009">
          <cell r="A1009">
            <v>1008</v>
          </cell>
          <cell r="C1009" t="e">
            <v>#N/A</v>
          </cell>
          <cell r="D1009" t="e">
            <v>#N/A</v>
          </cell>
          <cell r="E1009" t="e">
            <v>#N/A</v>
          </cell>
          <cell r="F1009" t="e">
            <v>#N/A</v>
          </cell>
          <cell r="G1009" t="e">
            <v>#N/A</v>
          </cell>
          <cell r="O1009" t="e">
            <v>#N/A</v>
          </cell>
          <cell r="S1009">
            <v>0</v>
          </cell>
          <cell r="T1009">
            <v>3138400</v>
          </cell>
          <cell r="U1009" t="str">
            <v>ya</v>
          </cell>
          <cell r="V1009" t="e">
            <v>#N/A</v>
          </cell>
          <cell r="W1009" t="e">
            <v>#N/A</v>
          </cell>
          <cell r="X1009" t="e">
            <v>#N/A</v>
          </cell>
          <cell r="Z1009">
            <v>0</v>
          </cell>
          <cell r="AB1009">
            <v>0</v>
          </cell>
          <cell r="AD1009">
            <v>0</v>
          </cell>
          <cell r="AF1009">
            <v>0</v>
          </cell>
        </row>
        <row r="1010">
          <cell r="A1010">
            <v>1009</v>
          </cell>
          <cell r="C1010" t="e">
            <v>#N/A</v>
          </cell>
          <cell r="D1010" t="e">
            <v>#N/A</v>
          </cell>
          <cell r="E1010" t="e">
            <v>#N/A</v>
          </cell>
          <cell r="F1010" t="e">
            <v>#N/A</v>
          </cell>
          <cell r="G1010" t="e">
            <v>#N/A</v>
          </cell>
          <cell r="O1010" t="e">
            <v>#N/A</v>
          </cell>
          <cell r="S1010">
            <v>0</v>
          </cell>
          <cell r="T1010">
            <v>3138400</v>
          </cell>
          <cell r="U1010" t="str">
            <v>ya</v>
          </cell>
          <cell r="V1010" t="e">
            <v>#N/A</v>
          </cell>
          <cell r="W1010" t="e">
            <v>#N/A</v>
          </cell>
          <cell r="X1010" t="e">
            <v>#N/A</v>
          </cell>
          <cell r="Z1010">
            <v>0</v>
          </cell>
          <cell r="AB1010">
            <v>0</v>
          </cell>
          <cell r="AD1010">
            <v>0</v>
          </cell>
          <cell r="AF1010">
            <v>0</v>
          </cell>
        </row>
        <row r="1011">
          <cell r="A1011">
            <v>1010</v>
          </cell>
          <cell r="C1011" t="e">
            <v>#N/A</v>
          </cell>
          <cell r="D1011" t="e">
            <v>#N/A</v>
          </cell>
          <cell r="E1011" t="e">
            <v>#N/A</v>
          </cell>
          <cell r="F1011" t="e">
            <v>#N/A</v>
          </cell>
          <cell r="G1011" t="e">
            <v>#N/A</v>
          </cell>
          <cell r="O1011" t="e">
            <v>#N/A</v>
          </cell>
          <cell r="S1011">
            <v>0</v>
          </cell>
          <cell r="T1011">
            <v>3138400</v>
          </cell>
          <cell r="V1011">
            <v>0</v>
          </cell>
          <cell r="W1011">
            <v>0</v>
          </cell>
          <cell r="X1011">
            <v>0</v>
          </cell>
          <cell r="Z1011">
            <v>0</v>
          </cell>
          <cell r="AB1011">
            <v>0</v>
          </cell>
          <cell r="AD1011">
            <v>0</v>
          </cell>
          <cell r="AF1011">
            <v>0</v>
          </cell>
        </row>
        <row r="1012">
          <cell r="A1012">
            <v>1011</v>
          </cell>
          <cell r="C1012" t="e">
            <v>#N/A</v>
          </cell>
          <cell r="D1012" t="e">
            <v>#N/A</v>
          </cell>
          <cell r="E1012" t="e">
            <v>#N/A</v>
          </cell>
          <cell r="F1012" t="e">
            <v>#N/A</v>
          </cell>
          <cell r="G1012" t="e">
            <v>#N/A</v>
          </cell>
          <cell r="O1012" t="e">
            <v>#N/A</v>
          </cell>
          <cell r="S1012">
            <v>0</v>
          </cell>
          <cell r="T1012">
            <v>3138400</v>
          </cell>
          <cell r="V1012">
            <v>0</v>
          </cell>
          <cell r="W1012">
            <v>0</v>
          </cell>
          <cell r="X1012">
            <v>0</v>
          </cell>
          <cell r="Z1012">
            <v>0</v>
          </cell>
          <cell r="AB1012">
            <v>0</v>
          </cell>
          <cell r="AD1012">
            <v>0</v>
          </cell>
          <cell r="AF1012">
            <v>0</v>
          </cell>
        </row>
        <row r="1013">
          <cell r="A1013">
            <v>1012</v>
          </cell>
          <cell r="C1013" t="e">
            <v>#N/A</v>
          </cell>
          <cell r="D1013" t="e">
            <v>#N/A</v>
          </cell>
          <cell r="E1013" t="e">
            <v>#N/A</v>
          </cell>
          <cell r="F1013" t="e">
            <v>#N/A</v>
          </cell>
          <cell r="G1013" t="e">
            <v>#N/A</v>
          </cell>
          <cell r="O1013" t="e">
            <v>#N/A</v>
          </cell>
          <cell r="S1013">
            <v>0</v>
          </cell>
          <cell r="T1013">
            <v>3138400</v>
          </cell>
          <cell r="V1013">
            <v>0</v>
          </cell>
          <cell r="W1013">
            <v>0</v>
          </cell>
          <cell r="X1013">
            <v>0</v>
          </cell>
          <cell r="Z1013">
            <v>0</v>
          </cell>
          <cell r="AB1013">
            <v>0</v>
          </cell>
          <cell r="AD1013">
            <v>0</v>
          </cell>
          <cell r="AF1013">
            <v>0</v>
          </cell>
        </row>
        <row r="1014">
          <cell r="A1014">
            <v>1013</v>
          </cell>
          <cell r="C1014" t="e">
            <v>#N/A</v>
          </cell>
          <cell r="D1014" t="e">
            <v>#N/A</v>
          </cell>
          <cell r="E1014" t="e">
            <v>#N/A</v>
          </cell>
          <cell r="F1014" t="e">
            <v>#N/A</v>
          </cell>
          <cell r="G1014" t="e">
            <v>#N/A</v>
          </cell>
          <cell r="O1014" t="e">
            <v>#N/A</v>
          </cell>
          <cell r="S1014">
            <v>0</v>
          </cell>
          <cell r="T1014">
            <v>3138400</v>
          </cell>
          <cell r="V1014">
            <v>0</v>
          </cell>
          <cell r="W1014">
            <v>0</v>
          </cell>
          <cell r="X1014">
            <v>0</v>
          </cell>
          <cell r="Z1014">
            <v>0</v>
          </cell>
          <cell r="AB1014">
            <v>0</v>
          </cell>
          <cell r="AD1014">
            <v>0</v>
          </cell>
          <cell r="AF1014">
            <v>0</v>
          </cell>
        </row>
        <row r="1015">
          <cell r="A1015">
            <v>1014</v>
          </cell>
          <cell r="C1015" t="e">
            <v>#N/A</v>
          </cell>
          <cell r="D1015" t="e">
            <v>#N/A</v>
          </cell>
          <cell r="E1015" t="e">
            <v>#N/A</v>
          </cell>
          <cell r="F1015" t="e">
            <v>#N/A</v>
          </cell>
          <cell r="G1015" t="e">
            <v>#N/A</v>
          </cell>
          <cell r="O1015" t="e">
            <v>#N/A</v>
          </cell>
          <cell r="S1015">
            <v>0</v>
          </cell>
          <cell r="T1015">
            <v>3138400</v>
          </cell>
          <cell r="V1015">
            <v>0</v>
          </cell>
          <cell r="W1015">
            <v>0</v>
          </cell>
          <cell r="X1015">
            <v>0</v>
          </cell>
          <cell r="Z1015">
            <v>0</v>
          </cell>
          <cell r="AB1015">
            <v>0</v>
          </cell>
          <cell r="AD1015">
            <v>0</v>
          </cell>
          <cell r="AF1015">
            <v>0</v>
          </cell>
        </row>
        <row r="1016">
          <cell r="A1016">
            <v>1015</v>
          </cell>
          <cell r="C1016" t="e">
            <v>#N/A</v>
          </cell>
          <cell r="D1016" t="e">
            <v>#N/A</v>
          </cell>
          <cell r="E1016" t="e">
            <v>#N/A</v>
          </cell>
          <cell r="F1016" t="e">
            <v>#N/A</v>
          </cell>
          <cell r="G1016" t="e">
            <v>#N/A</v>
          </cell>
          <cell r="O1016" t="e">
            <v>#N/A</v>
          </cell>
          <cell r="S1016">
            <v>0</v>
          </cell>
          <cell r="T1016">
            <v>3138400</v>
          </cell>
          <cell r="V1016">
            <v>0</v>
          </cell>
          <cell r="W1016">
            <v>0</v>
          </cell>
          <cell r="X1016">
            <v>0</v>
          </cell>
          <cell r="Z1016">
            <v>0</v>
          </cell>
          <cell r="AB1016">
            <v>0</v>
          </cell>
          <cell r="AD1016">
            <v>0</v>
          </cell>
          <cell r="AF1016">
            <v>0</v>
          </cell>
        </row>
        <row r="1017">
          <cell r="A1017">
            <v>1016</v>
          </cell>
          <cell r="C1017" t="e">
            <v>#N/A</v>
          </cell>
          <cell r="D1017" t="e">
            <v>#N/A</v>
          </cell>
          <cell r="E1017" t="e">
            <v>#N/A</v>
          </cell>
          <cell r="F1017" t="e">
            <v>#N/A</v>
          </cell>
          <cell r="G1017" t="e">
            <v>#N/A</v>
          </cell>
          <cell r="O1017" t="e">
            <v>#N/A</v>
          </cell>
          <cell r="S1017">
            <v>0</v>
          </cell>
          <cell r="T1017">
            <v>3138400</v>
          </cell>
          <cell r="V1017">
            <v>0</v>
          </cell>
          <cell r="W1017">
            <v>0</v>
          </cell>
          <cell r="X1017">
            <v>0</v>
          </cell>
          <cell r="Z1017">
            <v>0</v>
          </cell>
          <cell r="AB1017">
            <v>0</v>
          </cell>
          <cell r="AD1017">
            <v>0</v>
          </cell>
          <cell r="AF1017">
            <v>0</v>
          </cell>
        </row>
        <row r="1018">
          <cell r="A1018">
            <v>1017</v>
          </cell>
          <cell r="C1018" t="e">
            <v>#N/A</v>
          </cell>
          <cell r="D1018" t="e">
            <v>#N/A</v>
          </cell>
          <cell r="E1018" t="e">
            <v>#N/A</v>
          </cell>
          <cell r="F1018" t="e">
            <v>#N/A</v>
          </cell>
          <cell r="G1018" t="e">
            <v>#N/A</v>
          </cell>
          <cell r="O1018" t="e">
            <v>#N/A</v>
          </cell>
          <cell r="S1018">
            <v>0</v>
          </cell>
          <cell r="T1018">
            <v>3138400</v>
          </cell>
          <cell r="V1018">
            <v>0</v>
          </cell>
          <cell r="W1018">
            <v>0</v>
          </cell>
          <cell r="X1018">
            <v>0</v>
          </cell>
          <cell r="Z1018">
            <v>0</v>
          </cell>
          <cell r="AB1018">
            <v>0</v>
          </cell>
          <cell r="AD1018">
            <v>0</v>
          </cell>
          <cell r="AF1018">
            <v>0</v>
          </cell>
        </row>
        <row r="1019">
          <cell r="A1019">
            <v>1018</v>
          </cell>
          <cell r="C1019" t="e">
            <v>#N/A</v>
          </cell>
          <cell r="D1019" t="e">
            <v>#N/A</v>
          </cell>
          <cell r="E1019" t="e">
            <v>#N/A</v>
          </cell>
          <cell r="F1019" t="e">
            <v>#N/A</v>
          </cell>
          <cell r="G1019" t="e">
            <v>#N/A</v>
          </cell>
          <cell r="O1019" t="e">
            <v>#N/A</v>
          </cell>
          <cell r="S1019">
            <v>0</v>
          </cell>
          <cell r="T1019">
            <v>3138400</v>
          </cell>
          <cell r="V1019">
            <v>0</v>
          </cell>
          <cell r="W1019">
            <v>0</v>
          </cell>
          <cell r="X1019">
            <v>0</v>
          </cell>
          <cell r="Z1019">
            <v>0</v>
          </cell>
          <cell r="AB1019">
            <v>0</v>
          </cell>
          <cell r="AD1019">
            <v>0</v>
          </cell>
          <cell r="AF1019">
            <v>0</v>
          </cell>
        </row>
        <row r="1020">
          <cell r="A1020">
            <v>1019</v>
          </cell>
          <cell r="C1020" t="e">
            <v>#N/A</v>
          </cell>
          <cell r="D1020" t="e">
            <v>#N/A</v>
          </cell>
          <cell r="E1020" t="e">
            <v>#N/A</v>
          </cell>
          <cell r="F1020" t="e">
            <v>#N/A</v>
          </cell>
          <cell r="G1020" t="e">
            <v>#N/A</v>
          </cell>
          <cell r="O1020" t="e">
            <v>#N/A</v>
          </cell>
          <cell r="S1020">
            <v>0</v>
          </cell>
          <cell r="T1020">
            <v>3138400</v>
          </cell>
          <cell r="V1020">
            <v>0</v>
          </cell>
          <cell r="W1020">
            <v>0</v>
          </cell>
          <cell r="X1020">
            <v>0</v>
          </cell>
          <cell r="Z1020">
            <v>0</v>
          </cell>
          <cell r="AB1020">
            <v>0</v>
          </cell>
          <cell r="AD1020">
            <v>0</v>
          </cell>
          <cell r="AF1020">
            <v>0</v>
          </cell>
        </row>
        <row r="1021">
          <cell r="A1021">
            <v>1020</v>
          </cell>
          <cell r="C1021" t="e">
            <v>#N/A</v>
          </cell>
          <cell r="D1021" t="e">
            <v>#N/A</v>
          </cell>
          <cell r="E1021" t="e">
            <v>#N/A</v>
          </cell>
          <cell r="F1021" t="e">
            <v>#N/A</v>
          </cell>
          <cell r="G1021" t="e">
            <v>#N/A</v>
          </cell>
          <cell r="O1021" t="e">
            <v>#N/A</v>
          </cell>
          <cell r="S1021">
            <v>0</v>
          </cell>
          <cell r="T1021">
            <v>3138400</v>
          </cell>
          <cell r="V1021">
            <v>0</v>
          </cell>
          <cell r="W1021">
            <v>0</v>
          </cell>
          <cell r="X1021">
            <v>0</v>
          </cell>
          <cell r="Z1021">
            <v>0</v>
          </cell>
          <cell r="AB1021">
            <v>0</v>
          </cell>
          <cell r="AD1021">
            <v>0</v>
          </cell>
          <cell r="AF1021">
            <v>0</v>
          </cell>
        </row>
        <row r="1022">
          <cell r="A1022">
            <v>1021</v>
          </cell>
          <cell r="C1022" t="e">
            <v>#N/A</v>
          </cell>
          <cell r="D1022" t="e">
            <v>#N/A</v>
          </cell>
          <cell r="E1022" t="e">
            <v>#N/A</v>
          </cell>
          <cell r="F1022" t="e">
            <v>#N/A</v>
          </cell>
          <cell r="G1022" t="e">
            <v>#N/A</v>
          </cell>
          <cell r="O1022" t="e">
            <v>#N/A</v>
          </cell>
          <cell r="S1022">
            <v>0</v>
          </cell>
          <cell r="T1022">
            <v>3138400</v>
          </cell>
          <cell r="V1022">
            <v>0</v>
          </cell>
          <cell r="W1022">
            <v>0</v>
          </cell>
          <cell r="X1022">
            <v>0</v>
          </cell>
          <cell r="Z1022">
            <v>0</v>
          </cell>
          <cell r="AB1022">
            <v>0</v>
          </cell>
          <cell r="AD1022">
            <v>0</v>
          </cell>
          <cell r="AF1022">
            <v>0</v>
          </cell>
        </row>
        <row r="1023">
          <cell r="A1023">
            <v>1022</v>
          </cell>
          <cell r="C1023" t="e">
            <v>#N/A</v>
          </cell>
          <cell r="D1023" t="e">
            <v>#N/A</v>
          </cell>
          <cell r="E1023" t="e">
            <v>#N/A</v>
          </cell>
          <cell r="F1023" t="e">
            <v>#N/A</v>
          </cell>
          <cell r="G1023" t="e">
            <v>#N/A</v>
          </cell>
          <cell r="O1023" t="e">
            <v>#N/A</v>
          </cell>
          <cell r="S1023">
            <v>0</v>
          </cell>
          <cell r="T1023">
            <v>3138400</v>
          </cell>
          <cell r="U1023" t="str">
            <v>ya</v>
          </cell>
          <cell r="V1023" t="e">
            <v>#N/A</v>
          </cell>
          <cell r="W1023" t="e">
            <v>#N/A</v>
          </cell>
          <cell r="X1023" t="e">
            <v>#N/A</v>
          </cell>
          <cell r="Z1023">
            <v>0</v>
          </cell>
          <cell r="AB1023">
            <v>0</v>
          </cell>
          <cell r="AD1023">
            <v>0</v>
          </cell>
          <cell r="AF1023">
            <v>0</v>
          </cell>
        </row>
        <row r="1024">
          <cell r="A1024">
            <v>1023</v>
          </cell>
          <cell r="C1024" t="e">
            <v>#N/A</v>
          </cell>
          <cell r="D1024" t="e">
            <v>#N/A</v>
          </cell>
          <cell r="E1024" t="e">
            <v>#N/A</v>
          </cell>
          <cell r="F1024" t="e">
            <v>#N/A</v>
          </cell>
          <cell r="G1024" t="e">
            <v>#N/A</v>
          </cell>
          <cell r="O1024" t="e">
            <v>#N/A</v>
          </cell>
          <cell r="S1024">
            <v>0</v>
          </cell>
          <cell r="T1024">
            <v>3138400</v>
          </cell>
          <cell r="U1024" t="str">
            <v>ya</v>
          </cell>
          <cell r="V1024" t="e">
            <v>#N/A</v>
          </cell>
          <cell r="W1024" t="e">
            <v>#N/A</v>
          </cell>
          <cell r="X1024" t="e">
            <v>#N/A</v>
          </cell>
          <cell r="Z1024">
            <v>0</v>
          </cell>
          <cell r="AB1024">
            <v>0</v>
          </cell>
          <cell r="AD1024">
            <v>0</v>
          </cell>
          <cell r="AF1024">
            <v>0</v>
          </cell>
        </row>
        <row r="1025">
          <cell r="A1025">
            <v>1024</v>
          </cell>
          <cell r="C1025" t="e">
            <v>#N/A</v>
          </cell>
          <cell r="D1025" t="e">
            <v>#N/A</v>
          </cell>
          <cell r="E1025" t="e">
            <v>#N/A</v>
          </cell>
          <cell r="F1025" t="e">
            <v>#N/A</v>
          </cell>
          <cell r="G1025" t="e">
            <v>#N/A</v>
          </cell>
          <cell r="O1025" t="e">
            <v>#N/A</v>
          </cell>
          <cell r="S1025">
            <v>0</v>
          </cell>
          <cell r="T1025">
            <v>3138400</v>
          </cell>
          <cell r="V1025">
            <v>0</v>
          </cell>
          <cell r="W1025">
            <v>0</v>
          </cell>
          <cell r="X1025">
            <v>0</v>
          </cell>
          <cell r="Z1025">
            <v>0</v>
          </cell>
          <cell r="AB1025">
            <v>0</v>
          </cell>
          <cell r="AD1025">
            <v>0</v>
          </cell>
          <cell r="AF1025">
            <v>0</v>
          </cell>
        </row>
        <row r="1026">
          <cell r="A1026">
            <v>1025</v>
          </cell>
          <cell r="C1026" t="e">
            <v>#N/A</v>
          </cell>
          <cell r="D1026" t="e">
            <v>#N/A</v>
          </cell>
          <cell r="E1026" t="e">
            <v>#N/A</v>
          </cell>
          <cell r="F1026" t="e">
            <v>#N/A</v>
          </cell>
          <cell r="G1026" t="e">
            <v>#N/A</v>
          </cell>
          <cell r="O1026" t="e">
            <v>#N/A</v>
          </cell>
          <cell r="S1026">
            <v>0</v>
          </cell>
          <cell r="T1026">
            <v>3138400</v>
          </cell>
          <cell r="V1026">
            <v>0</v>
          </cell>
          <cell r="W1026">
            <v>0</v>
          </cell>
          <cell r="X1026">
            <v>0</v>
          </cell>
          <cell r="Z1026">
            <v>0</v>
          </cell>
          <cell r="AB1026">
            <v>0</v>
          </cell>
          <cell r="AD1026">
            <v>0</v>
          </cell>
          <cell r="AF1026">
            <v>0</v>
          </cell>
        </row>
        <row r="1027">
          <cell r="A1027">
            <v>1026</v>
          </cell>
          <cell r="C1027" t="e">
            <v>#N/A</v>
          </cell>
          <cell r="D1027" t="e">
            <v>#N/A</v>
          </cell>
          <cell r="E1027" t="e">
            <v>#N/A</v>
          </cell>
          <cell r="F1027" t="e">
            <v>#N/A</v>
          </cell>
          <cell r="G1027" t="e">
            <v>#N/A</v>
          </cell>
          <cell r="O1027" t="e">
            <v>#N/A</v>
          </cell>
          <cell r="S1027">
            <v>0</v>
          </cell>
          <cell r="T1027">
            <v>3138400</v>
          </cell>
          <cell r="U1027" t="str">
            <v>ya</v>
          </cell>
          <cell r="V1027" t="e">
            <v>#N/A</v>
          </cell>
          <cell r="W1027" t="e">
            <v>#N/A</v>
          </cell>
          <cell r="X1027" t="e">
            <v>#N/A</v>
          </cell>
          <cell r="Z1027">
            <v>0</v>
          </cell>
          <cell r="AB1027">
            <v>0</v>
          </cell>
          <cell r="AD1027">
            <v>0</v>
          </cell>
          <cell r="AF1027">
            <v>0</v>
          </cell>
        </row>
        <row r="1028">
          <cell r="A1028">
            <v>1027</v>
          </cell>
          <cell r="C1028" t="e">
            <v>#N/A</v>
          </cell>
          <cell r="D1028" t="e">
            <v>#N/A</v>
          </cell>
          <cell r="E1028" t="e">
            <v>#N/A</v>
          </cell>
          <cell r="F1028" t="e">
            <v>#N/A</v>
          </cell>
          <cell r="G1028" t="e">
            <v>#N/A</v>
          </cell>
          <cell r="O1028" t="e">
            <v>#N/A</v>
          </cell>
          <cell r="S1028">
            <v>0</v>
          </cell>
          <cell r="T1028">
            <v>3138400</v>
          </cell>
          <cell r="V1028">
            <v>0</v>
          </cell>
          <cell r="W1028">
            <v>0</v>
          </cell>
          <cell r="X1028">
            <v>0</v>
          </cell>
          <cell r="Z1028">
            <v>0</v>
          </cell>
          <cell r="AB1028">
            <v>0</v>
          </cell>
          <cell r="AD1028">
            <v>0</v>
          </cell>
          <cell r="AF1028">
            <v>0</v>
          </cell>
        </row>
        <row r="1029">
          <cell r="A1029">
            <v>1028</v>
          </cell>
          <cell r="C1029" t="e">
            <v>#N/A</v>
          </cell>
          <cell r="D1029" t="e">
            <v>#N/A</v>
          </cell>
          <cell r="E1029" t="e">
            <v>#N/A</v>
          </cell>
          <cell r="F1029" t="e">
            <v>#N/A</v>
          </cell>
          <cell r="G1029" t="e">
            <v>#N/A</v>
          </cell>
          <cell r="O1029" t="e">
            <v>#N/A</v>
          </cell>
          <cell r="S1029">
            <v>0</v>
          </cell>
          <cell r="T1029">
            <v>3138400</v>
          </cell>
          <cell r="V1029">
            <v>0</v>
          </cell>
          <cell r="W1029">
            <v>0</v>
          </cell>
          <cell r="X1029">
            <v>0</v>
          </cell>
          <cell r="Z1029">
            <v>0</v>
          </cell>
          <cell r="AB1029">
            <v>0</v>
          </cell>
          <cell r="AD1029">
            <v>0</v>
          </cell>
          <cell r="AF1029">
            <v>0</v>
          </cell>
        </row>
        <row r="1030">
          <cell r="A1030">
            <v>1029</v>
          </cell>
          <cell r="C1030" t="e">
            <v>#N/A</v>
          </cell>
          <cell r="D1030" t="e">
            <v>#N/A</v>
          </cell>
          <cell r="E1030" t="e">
            <v>#N/A</v>
          </cell>
          <cell r="F1030" t="e">
            <v>#N/A</v>
          </cell>
          <cell r="G1030" t="e">
            <v>#N/A</v>
          </cell>
          <cell r="O1030" t="e">
            <v>#N/A</v>
          </cell>
          <cell r="S1030">
            <v>0</v>
          </cell>
          <cell r="T1030">
            <v>3138400</v>
          </cell>
          <cell r="V1030">
            <v>0</v>
          </cell>
          <cell r="W1030">
            <v>0</v>
          </cell>
          <cell r="X1030">
            <v>0</v>
          </cell>
          <cell r="Z1030">
            <v>0</v>
          </cell>
          <cell r="AB1030">
            <v>0</v>
          </cell>
          <cell r="AD1030">
            <v>0</v>
          </cell>
          <cell r="AF1030">
            <v>0</v>
          </cell>
        </row>
        <row r="1031">
          <cell r="A1031">
            <v>1030</v>
          </cell>
          <cell r="C1031" t="e">
            <v>#N/A</v>
          </cell>
          <cell r="D1031" t="e">
            <v>#N/A</v>
          </cell>
          <cell r="E1031" t="e">
            <v>#N/A</v>
          </cell>
          <cell r="F1031" t="e">
            <v>#N/A</v>
          </cell>
          <cell r="G1031" t="e">
            <v>#N/A</v>
          </cell>
          <cell r="O1031" t="e">
            <v>#N/A</v>
          </cell>
          <cell r="S1031">
            <v>0</v>
          </cell>
          <cell r="T1031">
            <v>3138400</v>
          </cell>
          <cell r="V1031">
            <v>0</v>
          </cell>
          <cell r="W1031">
            <v>0</v>
          </cell>
          <cell r="X1031">
            <v>0</v>
          </cell>
          <cell r="Z1031">
            <v>0</v>
          </cell>
          <cell r="AB1031">
            <v>0</v>
          </cell>
          <cell r="AD1031">
            <v>0</v>
          </cell>
          <cell r="AF1031">
            <v>0</v>
          </cell>
        </row>
        <row r="1032">
          <cell r="A1032">
            <v>1031</v>
          </cell>
          <cell r="C1032" t="e">
            <v>#N/A</v>
          </cell>
          <cell r="D1032" t="e">
            <v>#N/A</v>
          </cell>
          <cell r="E1032" t="e">
            <v>#N/A</v>
          </cell>
          <cell r="F1032" t="e">
            <v>#N/A</v>
          </cell>
          <cell r="G1032" t="e">
            <v>#N/A</v>
          </cell>
          <cell r="O1032" t="e">
            <v>#N/A</v>
          </cell>
          <cell r="S1032">
            <v>0</v>
          </cell>
          <cell r="T1032">
            <v>3138400</v>
          </cell>
          <cell r="V1032">
            <v>0</v>
          </cell>
          <cell r="W1032">
            <v>0</v>
          </cell>
          <cell r="X1032">
            <v>0</v>
          </cell>
          <cell r="Z1032">
            <v>0</v>
          </cell>
          <cell r="AB1032">
            <v>0</v>
          </cell>
          <cell r="AD1032">
            <v>0</v>
          </cell>
          <cell r="AF1032">
            <v>0</v>
          </cell>
        </row>
        <row r="1033">
          <cell r="A1033">
            <v>1032</v>
          </cell>
          <cell r="C1033" t="e">
            <v>#N/A</v>
          </cell>
          <cell r="D1033" t="e">
            <v>#N/A</v>
          </cell>
          <cell r="E1033" t="e">
            <v>#N/A</v>
          </cell>
          <cell r="F1033" t="e">
            <v>#N/A</v>
          </cell>
          <cell r="G1033" t="e">
            <v>#N/A</v>
          </cell>
          <cell r="O1033" t="e">
            <v>#N/A</v>
          </cell>
          <cell r="S1033">
            <v>0</v>
          </cell>
          <cell r="T1033">
            <v>3138400</v>
          </cell>
          <cell r="V1033">
            <v>0</v>
          </cell>
          <cell r="W1033">
            <v>0</v>
          </cell>
          <cell r="X1033">
            <v>0</v>
          </cell>
          <cell r="Z1033">
            <v>0</v>
          </cell>
          <cell r="AB1033">
            <v>0</v>
          </cell>
          <cell r="AD1033">
            <v>0</v>
          </cell>
          <cell r="AF1033">
            <v>0</v>
          </cell>
        </row>
        <row r="1034">
          <cell r="A1034">
            <v>1033</v>
          </cell>
          <cell r="C1034" t="e">
            <v>#N/A</v>
          </cell>
          <cell r="D1034" t="e">
            <v>#N/A</v>
          </cell>
          <cell r="E1034" t="e">
            <v>#N/A</v>
          </cell>
          <cell r="F1034" t="e">
            <v>#N/A</v>
          </cell>
          <cell r="G1034" t="e">
            <v>#N/A</v>
          </cell>
          <cell r="O1034" t="e">
            <v>#N/A</v>
          </cell>
          <cell r="S1034">
            <v>0</v>
          </cell>
          <cell r="T1034">
            <v>3138400</v>
          </cell>
          <cell r="V1034">
            <v>0</v>
          </cell>
          <cell r="W1034">
            <v>0</v>
          </cell>
          <cell r="X1034">
            <v>0</v>
          </cell>
          <cell r="Z1034">
            <v>0</v>
          </cell>
          <cell r="AB1034">
            <v>0</v>
          </cell>
          <cell r="AD1034">
            <v>0</v>
          </cell>
          <cell r="AF1034">
            <v>0</v>
          </cell>
        </row>
        <row r="1035">
          <cell r="A1035">
            <v>1034</v>
          </cell>
          <cell r="C1035" t="e">
            <v>#N/A</v>
          </cell>
          <cell r="D1035" t="e">
            <v>#N/A</v>
          </cell>
          <cell r="E1035" t="e">
            <v>#N/A</v>
          </cell>
          <cell r="F1035" t="e">
            <v>#N/A</v>
          </cell>
          <cell r="G1035" t="e">
            <v>#N/A</v>
          </cell>
          <cell r="O1035" t="e">
            <v>#N/A</v>
          </cell>
          <cell r="S1035">
            <v>0</v>
          </cell>
          <cell r="T1035">
            <v>3138400</v>
          </cell>
          <cell r="V1035">
            <v>0</v>
          </cell>
          <cell r="W1035">
            <v>0</v>
          </cell>
          <cell r="X1035">
            <v>0</v>
          </cell>
          <cell r="Z1035">
            <v>0</v>
          </cell>
          <cell r="AB1035">
            <v>0</v>
          </cell>
          <cell r="AD1035">
            <v>0</v>
          </cell>
          <cell r="AF1035">
            <v>0</v>
          </cell>
        </row>
        <row r="1036">
          <cell r="A1036">
            <v>1035</v>
          </cell>
          <cell r="C1036" t="e">
            <v>#N/A</v>
          </cell>
          <cell r="D1036" t="e">
            <v>#N/A</v>
          </cell>
          <cell r="E1036" t="e">
            <v>#N/A</v>
          </cell>
          <cell r="F1036" t="e">
            <v>#N/A</v>
          </cell>
          <cell r="G1036" t="e">
            <v>#N/A</v>
          </cell>
          <cell r="O1036" t="e">
            <v>#N/A</v>
          </cell>
          <cell r="S1036">
            <v>0</v>
          </cell>
          <cell r="T1036">
            <v>3138400</v>
          </cell>
          <cell r="V1036">
            <v>0</v>
          </cell>
          <cell r="W1036">
            <v>0</v>
          </cell>
          <cell r="X1036">
            <v>0</v>
          </cell>
          <cell r="Z1036">
            <v>0</v>
          </cell>
          <cell r="AB1036">
            <v>0</v>
          </cell>
          <cell r="AD1036">
            <v>0</v>
          </cell>
          <cell r="AF1036">
            <v>0</v>
          </cell>
        </row>
        <row r="1037">
          <cell r="A1037">
            <v>1036</v>
          </cell>
          <cell r="C1037" t="e">
            <v>#N/A</v>
          </cell>
          <cell r="D1037" t="e">
            <v>#N/A</v>
          </cell>
          <cell r="E1037" t="e">
            <v>#N/A</v>
          </cell>
          <cell r="F1037" t="e">
            <v>#N/A</v>
          </cell>
          <cell r="G1037" t="e">
            <v>#N/A</v>
          </cell>
          <cell r="O1037" t="e">
            <v>#N/A</v>
          </cell>
          <cell r="S1037">
            <v>0</v>
          </cell>
          <cell r="T1037">
            <v>3138400</v>
          </cell>
          <cell r="V1037">
            <v>0</v>
          </cell>
          <cell r="W1037">
            <v>0</v>
          </cell>
          <cell r="X1037">
            <v>0</v>
          </cell>
          <cell r="Z1037">
            <v>0</v>
          </cell>
          <cell r="AB1037">
            <v>0</v>
          </cell>
          <cell r="AD1037">
            <v>0</v>
          </cell>
          <cell r="AF1037">
            <v>0</v>
          </cell>
        </row>
        <row r="1038">
          <cell r="A1038">
            <v>1037</v>
          </cell>
          <cell r="C1038" t="e">
            <v>#N/A</v>
          </cell>
          <cell r="D1038" t="e">
            <v>#N/A</v>
          </cell>
          <cell r="E1038" t="e">
            <v>#N/A</v>
          </cell>
          <cell r="F1038" t="e">
            <v>#N/A</v>
          </cell>
          <cell r="G1038" t="e">
            <v>#N/A</v>
          </cell>
          <cell r="O1038" t="e">
            <v>#N/A</v>
          </cell>
          <cell r="S1038">
            <v>0</v>
          </cell>
          <cell r="T1038">
            <v>3138400</v>
          </cell>
          <cell r="V1038">
            <v>0</v>
          </cell>
          <cell r="W1038">
            <v>0</v>
          </cell>
          <cell r="X1038">
            <v>0</v>
          </cell>
          <cell r="Z1038">
            <v>0</v>
          </cell>
          <cell r="AB1038">
            <v>0</v>
          </cell>
          <cell r="AD1038">
            <v>0</v>
          </cell>
          <cell r="AF1038">
            <v>0</v>
          </cell>
        </row>
        <row r="1039">
          <cell r="A1039">
            <v>1038</v>
          </cell>
          <cell r="C1039" t="e">
            <v>#N/A</v>
          </cell>
          <cell r="D1039" t="e">
            <v>#N/A</v>
          </cell>
          <cell r="E1039" t="e">
            <v>#N/A</v>
          </cell>
          <cell r="F1039" t="e">
            <v>#N/A</v>
          </cell>
          <cell r="G1039" t="e">
            <v>#N/A</v>
          </cell>
          <cell r="O1039" t="e">
            <v>#N/A</v>
          </cell>
          <cell r="S1039">
            <v>0</v>
          </cell>
          <cell r="T1039">
            <v>3138400</v>
          </cell>
          <cell r="V1039">
            <v>0</v>
          </cell>
          <cell r="W1039">
            <v>0</v>
          </cell>
          <cell r="X1039">
            <v>0</v>
          </cell>
          <cell r="Z1039">
            <v>0</v>
          </cell>
          <cell r="AB1039">
            <v>0</v>
          </cell>
          <cell r="AD1039">
            <v>0</v>
          </cell>
          <cell r="AF1039">
            <v>0</v>
          </cell>
        </row>
        <row r="1040">
          <cell r="A1040">
            <v>1039</v>
          </cell>
          <cell r="C1040" t="e">
            <v>#N/A</v>
          </cell>
          <cell r="D1040" t="e">
            <v>#N/A</v>
          </cell>
          <cell r="E1040" t="e">
            <v>#N/A</v>
          </cell>
          <cell r="F1040" t="e">
            <v>#N/A</v>
          </cell>
          <cell r="G1040" t="e">
            <v>#N/A</v>
          </cell>
          <cell r="O1040" t="e">
            <v>#N/A</v>
          </cell>
          <cell r="S1040">
            <v>0</v>
          </cell>
          <cell r="T1040">
            <v>3138400</v>
          </cell>
          <cell r="V1040">
            <v>0</v>
          </cell>
          <cell r="W1040">
            <v>0</v>
          </cell>
          <cell r="X1040">
            <v>0</v>
          </cell>
          <cell r="Z1040">
            <v>0</v>
          </cell>
          <cell r="AB1040">
            <v>0</v>
          </cell>
          <cell r="AD1040">
            <v>0</v>
          </cell>
          <cell r="AF1040">
            <v>0</v>
          </cell>
        </row>
        <row r="1041">
          <cell r="A1041">
            <v>1040</v>
          </cell>
          <cell r="C1041" t="e">
            <v>#N/A</v>
          </cell>
          <cell r="D1041" t="e">
            <v>#N/A</v>
          </cell>
          <cell r="E1041" t="e">
            <v>#N/A</v>
          </cell>
          <cell r="F1041" t="e">
            <v>#N/A</v>
          </cell>
          <cell r="G1041" t="e">
            <v>#N/A</v>
          </cell>
          <cell r="O1041" t="e">
            <v>#N/A</v>
          </cell>
          <cell r="S1041">
            <v>0</v>
          </cell>
          <cell r="T1041">
            <v>3138400</v>
          </cell>
          <cell r="V1041">
            <v>0</v>
          </cell>
          <cell r="W1041">
            <v>0</v>
          </cell>
          <cell r="X1041">
            <v>0</v>
          </cell>
          <cell r="Z1041">
            <v>0</v>
          </cell>
          <cell r="AB1041">
            <v>0</v>
          </cell>
          <cell r="AD1041">
            <v>0</v>
          </cell>
          <cell r="AF1041">
            <v>0</v>
          </cell>
        </row>
        <row r="1042">
          <cell r="A1042">
            <v>1041</v>
          </cell>
          <cell r="C1042" t="e">
            <v>#N/A</v>
          </cell>
          <cell r="D1042" t="e">
            <v>#N/A</v>
          </cell>
          <cell r="E1042" t="e">
            <v>#N/A</v>
          </cell>
          <cell r="F1042" t="e">
            <v>#N/A</v>
          </cell>
          <cell r="G1042" t="e">
            <v>#N/A</v>
          </cell>
          <cell r="O1042" t="e">
            <v>#N/A</v>
          </cell>
          <cell r="S1042">
            <v>0</v>
          </cell>
          <cell r="T1042">
            <v>3138400</v>
          </cell>
          <cell r="V1042">
            <v>0</v>
          </cell>
          <cell r="W1042">
            <v>0</v>
          </cell>
          <cell r="X1042">
            <v>0</v>
          </cell>
          <cell r="Z1042">
            <v>0</v>
          </cell>
          <cell r="AB1042">
            <v>0</v>
          </cell>
          <cell r="AD1042">
            <v>0</v>
          </cell>
          <cell r="AF1042">
            <v>0</v>
          </cell>
        </row>
        <row r="1043">
          <cell r="A1043">
            <v>1042</v>
          </cell>
          <cell r="C1043" t="e">
            <v>#N/A</v>
          </cell>
          <cell r="D1043" t="e">
            <v>#N/A</v>
          </cell>
          <cell r="E1043" t="e">
            <v>#N/A</v>
          </cell>
          <cell r="F1043" t="e">
            <v>#N/A</v>
          </cell>
          <cell r="G1043" t="e">
            <v>#N/A</v>
          </cell>
          <cell r="O1043" t="e">
            <v>#N/A</v>
          </cell>
          <cell r="S1043">
            <v>0</v>
          </cell>
          <cell r="T1043">
            <v>3138400</v>
          </cell>
          <cell r="V1043">
            <v>0</v>
          </cell>
          <cell r="W1043">
            <v>0</v>
          </cell>
          <cell r="X1043">
            <v>0</v>
          </cell>
          <cell r="Z1043">
            <v>0</v>
          </cell>
          <cell r="AB1043">
            <v>0</v>
          </cell>
          <cell r="AD1043">
            <v>0</v>
          </cell>
          <cell r="AF1043">
            <v>0</v>
          </cell>
        </row>
        <row r="1044">
          <cell r="A1044">
            <v>1043</v>
          </cell>
          <cell r="C1044" t="e">
            <v>#N/A</v>
          </cell>
          <cell r="F1044" t="e">
            <v>#N/A</v>
          </cell>
          <cell r="G1044" t="e">
            <v>#N/A</v>
          </cell>
          <cell r="O1044" t="e">
            <v>#N/A</v>
          </cell>
          <cell r="S1044">
            <v>0</v>
          </cell>
          <cell r="T1044">
            <v>3138400</v>
          </cell>
          <cell r="V1044">
            <v>0</v>
          </cell>
          <cell r="W1044">
            <v>0</v>
          </cell>
          <cell r="X1044">
            <v>0</v>
          </cell>
          <cell r="Z1044">
            <v>0</v>
          </cell>
          <cell r="AB1044">
            <v>0</v>
          </cell>
          <cell r="AD1044">
            <v>0</v>
          </cell>
          <cell r="AF1044">
            <v>0</v>
          </cell>
        </row>
        <row r="1045">
          <cell r="A1045">
            <v>1044</v>
          </cell>
          <cell r="C1045" t="e">
            <v>#N/A</v>
          </cell>
          <cell r="D1045" t="e">
            <v>#N/A</v>
          </cell>
          <cell r="E1045" t="e">
            <v>#N/A</v>
          </cell>
          <cell r="F1045" t="e">
            <v>#N/A</v>
          </cell>
          <cell r="G1045" t="e">
            <v>#N/A</v>
          </cell>
          <cell r="O1045" t="e">
            <v>#N/A</v>
          </cell>
          <cell r="S1045">
            <v>0</v>
          </cell>
          <cell r="T1045">
            <v>3138400</v>
          </cell>
          <cell r="V1045">
            <v>0</v>
          </cell>
          <cell r="W1045">
            <v>0</v>
          </cell>
          <cell r="X1045">
            <v>0</v>
          </cell>
          <cell r="Z1045">
            <v>0</v>
          </cell>
          <cell r="AB1045">
            <v>0</v>
          </cell>
          <cell r="AD1045">
            <v>0</v>
          </cell>
          <cell r="AF1045">
            <v>0</v>
          </cell>
        </row>
        <row r="1046">
          <cell r="A1046">
            <v>1045</v>
          </cell>
          <cell r="C1046" t="e">
            <v>#N/A</v>
          </cell>
          <cell r="D1046" t="e">
            <v>#N/A</v>
          </cell>
          <cell r="E1046" t="e">
            <v>#N/A</v>
          </cell>
          <cell r="F1046" t="e">
            <v>#N/A</v>
          </cell>
          <cell r="G1046" t="e">
            <v>#N/A</v>
          </cell>
          <cell r="O1046" t="e">
            <v>#N/A</v>
          </cell>
          <cell r="S1046">
            <v>0</v>
          </cell>
          <cell r="T1046">
            <v>3138400</v>
          </cell>
          <cell r="V1046">
            <v>0</v>
          </cell>
          <cell r="W1046">
            <v>0</v>
          </cell>
          <cell r="X1046">
            <v>0</v>
          </cell>
          <cell r="Z1046">
            <v>0</v>
          </cell>
          <cell r="AB1046">
            <v>0</v>
          </cell>
          <cell r="AD1046">
            <v>0</v>
          </cell>
          <cell r="AF1046">
            <v>0</v>
          </cell>
        </row>
        <row r="1047">
          <cell r="A1047">
            <v>1046</v>
          </cell>
          <cell r="C1047" t="e">
            <v>#N/A</v>
          </cell>
          <cell r="D1047" t="e">
            <v>#N/A</v>
          </cell>
          <cell r="E1047" t="e">
            <v>#N/A</v>
          </cell>
          <cell r="F1047" t="e">
            <v>#N/A</v>
          </cell>
          <cell r="G1047" t="e">
            <v>#N/A</v>
          </cell>
          <cell r="O1047" t="e">
            <v>#N/A</v>
          </cell>
          <cell r="S1047">
            <v>0</v>
          </cell>
          <cell r="T1047">
            <v>3138400</v>
          </cell>
          <cell r="V1047">
            <v>0</v>
          </cell>
          <cell r="W1047">
            <v>0</v>
          </cell>
          <cell r="X1047">
            <v>0</v>
          </cell>
          <cell r="Z1047">
            <v>0</v>
          </cell>
          <cell r="AB1047">
            <v>0</v>
          </cell>
          <cell r="AD1047">
            <v>0</v>
          </cell>
          <cell r="AF1047">
            <v>0</v>
          </cell>
        </row>
        <row r="1048">
          <cell r="A1048">
            <v>1047</v>
          </cell>
          <cell r="C1048" t="e">
            <v>#N/A</v>
          </cell>
          <cell r="D1048" t="e">
            <v>#N/A</v>
          </cell>
          <cell r="E1048" t="e">
            <v>#N/A</v>
          </cell>
          <cell r="F1048" t="e">
            <v>#N/A</v>
          </cell>
          <cell r="G1048" t="e">
            <v>#N/A</v>
          </cell>
          <cell r="O1048" t="e">
            <v>#N/A</v>
          </cell>
          <cell r="S1048">
            <v>0</v>
          </cell>
          <cell r="T1048">
            <v>3138400</v>
          </cell>
          <cell r="V1048">
            <v>0</v>
          </cell>
          <cell r="W1048">
            <v>0</v>
          </cell>
          <cell r="X1048">
            <v>0</v>
          </cell>
          <cell r="Z1048">
            <v>0</v>
          </cell>
          <cell r="AB1048">
            <v>0</v>
          </cell>
          <cell r="AD1048">
            <v>0</v>
          </cell>
          <cell r="AF1048">
            <v>0</v>
          </cell>
        </row>
        <row r="1049">
          <cell r="A1049">
            <v>1048</v>
          </cell>
          <cell r="C1049" t="e">
            <v>#N/A</v>
          </cell>
          <cell r="D1049" t="e">
            <v>#N/A</v>
          </cell>
          <cell r="E1049" t="e">
            <v>#N/A</v>
          </cell>
          <cell r="F1049" t="e">
            <v>#N/A</v>
          </cell>
          <cell r="G1049" t="e">
            <v>#N/A</v>
          </cell>
          <cell r="O1049" t="e">
            <v>#N/A</v>
          </cell>
          <cell r="S1049">
            <v>0</v>
          </cell>
          <cell r="T1049">
            <v>3138400</v>
          </cell>
          <cell r="V1049">
            <v>0</v>
          </cell>
          <cell r="W1049">
            <v>0</v>
          </cell>
          <cell r="X1049">
            <v>0</v>
          </cell>
          <cell r="Z1049">
            <v>0</v>
          </cell>
          <cell r="AB1049">
            <v>0</v>
          </cell>
          <cell r="AD1049">
            <v>0</v>
          </cell>
          <cell r="AF1049">
            <v>0</v>
          </cell>
        </row>
        <row r="1050">
          <cell r="A1050">
            <v>1049</v>
          </cell>
          <cell r="C1050" t="e">
            <v>#N/A</v>
          </cell>
          <cell r="D1050" t="e">
            <v>#N/A</v>
          </cell>
          <cell r="E1050" t="e">
            <v>#N/A</v>
          </cell>
          <cell r="F1050" t="e">
            <v>#N/A</v>
          </cell>
          <cell r="G1050" t="e">
            <v>#N/A</v>
          </cell>
          <cell r="O1050" t="e">
            <v>#N/A</v>
          </cell>
          <cell r="S1050">
            <v>0</v>
          </cell>
          <cell r="T1050">
            <v>3138400</v>
          </cell>
          <cell r="U1050" t="str">
            <v>ya</v>
          </cell>
          <cell r="V1050" t="e">
            <v>#N/A</v>
          </cell>
          <cell r="W1050" t="e">
            <v>#N/A</v>
          </cell>
          <cell r="X1050" t="e">
            <v>#N/A</v>
          </cell>
          <cell r="Z1050">
            <v>0</v>
          </cell>
          <cell r="AB1050">
            <v>0</v>
          </cell>
          <cell r="AD1050">
            <v>0</v>
          </cell>
          <cell r="AF1050">
            <v>0</v>
          </cell>
        </row>
        <row r="1051">
          <cell r="A1051">
            <v>1050</v>
          </cell>
          <cell r="C1051" t="e">
            <v>#N/A</v>
          </cell>
          <cell r="D1051" t="e">
            <v>#N/A</v>
          </cell>
          <cell r="E1051" t="e">
            <v>#N/A</v>
          </cell>
          <cell r="F1051" t="e">
            <v>#N/A</v>
          </cell>
          <cell r="G1051" t="e">
            <v>#N/A</v>
          </cell>
          <cell r="O1051" t="e">
            <v>#N/A</v>
          </cell>
          <cell r="S1051">
            <v>0</v>
          </cell>
          <cell r="T1051">
            <v>3138400</v>
          </cell>
          <cell r="U1051" t="str">
            <v>ya</v>
          </cell>
          <cell r="V1051" t="e">
            <v>#N/A</v>
          </cell>
          <cell r="W1051" t="e">
            <v>#N/A</v>
          </cell>
          <cell r="X1051" t="e">
            <v>#N/A</v>
          </cell>
          <cell r="Z1051">
            <v>0</v>
          </cell>
          <cell r="AB1051">
            <v>0</v>
          </cell>
          <cell r="AD1051">
            <v>0</v>
          </cell>
          <cell r="AF1051">
            <v>0</v>
          </cell>
        </row>
        <row r="1052">
          <cell r="A1052">
            <v>1051</v>
          </cell>
          <cell r="C1052" t="e">
            <v>#N/A</v>
          </cell>
          <cell r="D1052" t="e">
            <v>#N/A</v>
          </cell>
          <cell r="E1052" t="e">
            <v>#N/A</v>
          </cell>
          <cell r="F1052" t="e">
            <v>#N/A</v>
          </cell>
          <cell r="G1052" t="e">
            <v>#N/A</v>
          </cell>
          <cell r="O1052" t="e">
            <v>#N/A</v>
          </cell>
          <cell r="S1052">
            <v>0</v>
          </cell>
          <cell r="T1052">
            <v>3138400</v>
          </cell>
          <cell r="U1052" t="str">
            <v>ya</v>
          </cell>
          <cell r="V1052" t="e">
            <v>#N/A</v>
          </cell>
          <cell r="W1052" t="e">
            <v>#N/A</v>
          </cell>
          <cell r="X1052" t="e">
            <v>#N/A</v>
          </cell>
          <cell r="Z1052">
            <v>0</v>
          </cell>
          <cell r="AB1052">
            <v>0</v>
          </cell>
          <cell r="AD1052">
            <v>0</v>
          </cell>
          <cell r="AF1052">
            <v>0</v>
          </cell>
        </row>
        <row r="1053">
          <cell r="A1053">
            <v>1052</v>
          </cell>
          <cell r="C1053" t="e">
            <v>#N/A</v>
          </cell>
          <cell r="D1053" t="e">
            <v>#N/A</v>
          </cell>
          <cell r="E1053" t="e">
            <v>#N/A</v>
          </cell>
          <cell r="F1053" t="e">
            <v>#N/A</v>
          </cell>
          <cell r="G1053" t="e">
            <v>#N/A</v>
          </cell>
          <cell r="O1053" t="e">
            <v>#N/A</v>
          </cell>
          <cell r="S1053">
            <v>0</v>
          </cell>
          <cell r="T1053">
            <v>3138400</v>
          </cell>
          <cell r="V1053">
            <v>0</v>
          </cell>
          <cell r="W1053">
            <v>0</v>
          </cell>
          <cell r="X1053">
            <v>0</v>
          </cell>
          <cell r="Z1053">
            <v>0</v>
          </cell>
          <cell r="AB1053">
            <v>0</v>
          </cell>
          <cell r="AD1053">
            <v>0</v>
          </cell>
          <cell r="AF1053">
            <v>0</v>
          </cell>
        </row>
        <row r="1054">
          <cell r="A1054">
            <v>1053</v>
          </cell>
          <cell r="C1054" t="e">
            <v>#N/A</v>
          </cell>
          <cell r="D1054" t="e">
            <v>#N/A</v>
          </cell>
          <cell r="E1054" t="e">
            <v>#N/A</v>
          </cell>
          <cell r="F1054" t="e">
            <v>#N/A</v>
          </cell>
          <cell r="G1054" t="e">
            <v>#N/A</v>
          </cell>
          <cell r="O1054" t="e">
            <v>#N/A</v>
          </cell>
          <cell r="S1054">
            <v>0</v>
          </cell>
          <cell r="T1054">
            <v>3138400</v>
          </cell>
          <cell r="V1054">
            <v>0</v>
          </cell>
          <cell r="W1054">
            <v>0</v>
          </cell>
          <cell r="X1054">
            <v>0</v>
          </cell>
          <cell r="Z1054">
            <v>0</v>
          </cell>
          <cell r="AB1054">
            <v>0</v>
          </cell>
          <cell r="AD1054">
            <v>0</v>
          </cell>
          <cell r="AF1054">
            <v>0</v>
          </cell>
        </row>
        <row r="1055">
          <cell r="A1055">
            <v>1054</v>
          </cell>
          <cell r="C1055" t="e">
            <v>#N/A</v>
          </cell>
          <cell r="D1055" t="e">
            <v>#N/A</v>
          </cell>
          <cell r="E1055" t="e">
            <v>#N/A</v>
          </cell>
          <cell r="F1055" t="e">
            <v>#N/A</v>
          </cell>
          <cell r="G1055" t="e">
            <v>#N/A</v>
          </cell>
          <cell r="O1055" t="e">
            <v>#N/A</v>
          </cell>
          <cell r="S1055">
            <v>0</v>
          </cell>
          <cell r="T1055">
            <v>3138400</v>
          </cell>
          <cell r="V1055">
            <v>0</v>
          </cell>
          <cell r="W1055">
            <v>0</v>
          </cell>
          <cell r="X1055">
            <v>0</v>
          </cell>
          <cell r="Z1055">
            <v>0</v>
          </cell>
          <cell r="AB1055">
            <v>0</v>
          </cell>
          <cell r="AD1055">
            <v>0</v>
          </cell>
          <cell r="AF1055">
            <v>0</v>
          </cell>
        </row>
        <row r="1056">
          <cell r="A1056">
            <v>1055</v>
          </cell>
          <cell r="C1056" t="e">
            <v>#N/A</v>
          </cell>
          <cell r="D1056" t="e">
            <v>#N/A</v>
          </cell>
          <cell r="E1056" t="e">
            <v>#N/A</v>
          </cell>
          <cell r="F1056" t="e">
            <v>#N/A</v>
          </cell>
          <cell r="G1056" t="e">
            <v>#N/A</v>
          </cell>
          <cell r="O1056" t="e">
            <v>#N/A</v>
          </cell>
          <cell r="S1056">
            <v>0</v>
          </cell>
          <cell r="T1056">
            <v>3138400</v>
          </cell>
          <cell r="U1056" t="str">
            <v>ya</v>
          </cell>
          <cell r="V1056" t="e">
            <v>#N/A</v>
          </cell>
          <cell r="W1056" t="e">
            <v>#N/A</v>
          </cell>
          <cell r="X1056" t="e">
            <v>#N/A</v>
          </cell>
          <cell r="Z1056">
            <v>0</v>
          </cell>
          <cell r="AB1056">
            <v>0</v>
          </cell>
          <cell r="AD1056">
            <v>0</v>
          </cell>
          <cell r="AF1056">
            <v>0</v>
          </cell>
        </row>
        <row r="1057">
          <cell r="A1057">
            <v>1056</v>
          </cell>
          <cell r="C1057" t="e">
            <v>#N/A</v>
          </cell>
          <cell r="D1057" t="e">
            <v>#N/A</v>
          </cell>
          <cell r="E1057" t="e">
            <v>#N/A</v>
          </cell>
          <cell r="F1057" t="e">
            <v>#N/A</v>
          </cell>
          <cell r="G1057" t="e">
            <v>#N/A</v>
          </cell>
          <cell r="O1057" t="e">
            <v>#N/A</v>
          </cell>
          <cell r="S1057">
            <v>0</v>
          </cell>
          <cell r="T1057">
            <v>3138400</v>
          </cell>
          <cell r="U1057" t="str">
            <v>ya</v>
          </cell>
          <cell r="V1057" t="e">
            <v>#N/A</v>
          </cell>
          <cell r="W1057" t="e">
            <v>#N/A</v>
          </cell>
          <cell r="X1057" t="e">
            <v>#N/A</v>
          </cell>
          <cell r="Z1057">
            <v>0</v>
          </cell>
          <cell r="AB1057">
            <v>0</v>
          </cell>
          <cell r="AD1057">
            <v>0</v>
          </cell>
          <cell r="AF1057">
            <v>0</v>
          </cell>
        </row>
        <row r="1058">
          <cell r="A1058">
            <v>1057</v>
          </cell>
          <cell r="C1058" t="e">
            <v>#N/A</v>
          </cell>
          <cell r="D1058" t="e">
            <v>#N/A</v>
          </cell>
          <cell r="E1058" t="e">
            <v>#N/A</v>
          </cell>
          <cell r="F1058" t="e">
            <v>#N/A</v>
          </cell>
          <cell r="G1058" t="e">
            <v>#N/A</v>
          </cell>
          <cell r="O1058" t="e">
            <v>#N/A</v>
          </cell>
          <cell r="S1058">
            <v>0</v>
          </cell>
          <cell r="T1058">
            <v>3138400</v>
          </cell>
          <cell r="U1058" t="str">
            <v>ya</v>
          </cell>
          <cell r="V1058" t="e">
            <v>#N/A</v>
          </cell>
          <cell r="W1058" t="e">
            <v>#N/A</v>
          </cell>
          <cell r="X1058" t="e">
            <v>#N/A</v>
          </cell>
          <cell r="Z1058">
            <v>0</v>
          </cell>
          <cell r="AB1058">
            <v>0</v>
          </cell>
          <cell r="AD1058">
            <v>0</v>
          </cell>
          <cell r="AF1058">
            <v>0</v>
          </cell>
        </row>
        <row r="1059">
          <cell r="A1059">
            <v>1058</v>
          </cell>
          <cell r="C1059" t="e">
            <v>#N/A</v>
          </cell>
          <cell r="D1059" t="e">
            <v>#N/A</v>
          </cell>
          <cell r="E1059" t="e">
            <v>#N/A</v>
          </cell>
          <cell r="F1059" t="e">
            <v>#N/A</v>
          </cell>
          <cell r="G1059" t="e">
            <v>#N/A</v>
          </cell>
          <cell r="O1059" t="e">
            <v>#N/A</v>
          </cell>
          <cell r="S1059">
            <v>0</v>
          </cell>
          <cell r="T1059">
            <v>3138400</v>
          </cell>
          <cell r="U1059" t="str">
            <v>ya</v>
          </cell>
          <cell r="V1059" t="e">
            <v>#N/A</v>
          </cell>
          <cell r="W1059" t="e">
            <v>#N/A</v>
          </cell>
          <cell r="X1059" t="e">
            <v>#N/A</v>
          </cell>
          <cell r="Z1059">
            <v>0</v>
          </cell>
          <cell r="AB1059">
            <v>0</v>
          </cell>
          <cell r="AD1059">
            <v>0</v>
          </cell>
          <cell r="AF1059">
            <v>0</v>
          </cell>
        </row>
        <row r="1060">
          <cell r="A1060">
            <v>1059</v>
          </cell>
          <cell r="C1060" t="e">
            <v>#N/A</v>
          </cell>
          <cell r="D1060" t="e">
            <v>#N/A</v>
          </cell>
          <cell r="E1060" t="e">
            <v>#N/A</v>
          </cell>
          <cell r="F1060" t="e">
            <v>#N/A</v>
          </cell>
          <cell r="G1060" t="e">
            <v>#N/A</v>
          </cell>
          <cell r="O1060" t="e">
            <v>#N/A</v>
          </cell>
          <cell r="S1060">
            <v>0</v>
          </cell>
          <cell r="T1060">
            <v>3138400</v>
          </cell>
          <cell r="U1060" t="str">
            <v>ya</v>
          </cell>
          <cell r="V1060" t="e">
            <v>#N/A</v>
          </cell>
          <cell r="W1060" t="e">
            <v>#N/A</v>
          </cell>
          <cell r="X1060" t="e">
            <v>#N/A</v>
          </cell>
          <cell r="Z1060">
            <v>0</v>
          </cell>
          <cell r="AB1060">
            <v>0</v>
          </cell>
          <cell r="AD1060">
            <v>0</v>
          </cell>
          <cell r="AF1060">
            <v>0</v>
          </cell>
        </row>
        <row r="1061">
          <cell r="A1061">
            <v>1060</v>
          </cell>
          <cell r="C1061" t="e">
            <v>#N/A</v>
          </cell>
          <cell r="D1061" t="e">
            <v>#N/A</v>
          </cell>
          <cell r="E1061" t="e">
            <v>#N/A</v>
          </cell>
          <cell r="F1061" t="e">
            <v>#N/A</v>
          </cell>
          <cell r="G1061" t="e">
            <v>#N/A</v>
          </cell>
          <cell r="O1061" t="e">
            <v>#N/A</v>
          </cell>
          <cell r="S1061">
            <v>0</v>
          </cell>
          <cell r="T1061">
            <v>3138400</v>
          </cell>
          <cell r="U1061" t="str">
            <v>ya</v>
          </cell>
          <cell r="V1061" t="e">
            <v>#N/A</v>
          </cell>
          <cell r="W1061" t="e">
            <v>#N/A</v>
          </cell>
          <cell r="X1061" t="e">
            <v>#N/A</v>
          </cell>
          <cell r="Z1061">
            <v>0</v>
          </cell>
          <cell r="AB1061">
            <v>0</v>
          </cell>
          <cell r="AD1061">
            <v>0</v>
          </cell>
          <cell r="AF1061">
            <v>0</v>
          </cell>
        </row>
        <row r="1062">
          <cell r="A1062">
            <v>1061</v>
          </cell>
          <cell r="C1062" t="e">
            <v>#N/A</v>
          </cell>
          <cell r="D1062" t="e">
            <v>#N/A</v>
          </cell>
          <cell r="E1062" t="e">
            <v>#N/A</v>
          </cell>
          <cell r="F1062" t="e">
            <v>#N/A</v>
          </cell>
          <cell r="G1062" t="e">
            <v>#N/A</v>
          </cell>
          <cell r="O1062" t="e">
            <v>#N/A</v>
          </cell>
          <cell r="S1062">
            <v>0</v>
          </cell>
          <cell r="T1062">
            <v>3138400</v>
          </cell>
          <cell r="V1062">
            <v>0</v>
          </cell>
          <cell r="W1062">
            <v>0</v>
          </cell>
          <cell r="X1062">
            <v>0</v>
          </cell>
          <cell r="Z1062">
            <v>0</v>
          </cell>
          <cell r="AB1062">
            <v>0</v>
          </cell>
          <cell r="AD1062">
            <v>0</v>
          </cell>
          <cell r="AF1062">
            <v>0</v>
          </cell>
        </row>
        <row r="1063">
          <cell r="A1063">
            <v>1062</v>
          </cell>
          <cell r="C1063" t="e">
            <v>#N/A</v>
          </cell>
          <cell r="D1063" t="e">
            <v>#N/A</v>
          </cell>
          <cell r="E1063" t="e">
            <v>#N/A</v>
          </cell>
          <cell r="F1063" t="e">
            <v>#N/A</v>
          </cell>
          <cell r="G1063" t="e">
            <v>#N/A</v>
          </cell>
          <cell r="O1063" t="e">
            <v>#N/A</v>
          </cell>
          <cell r="S1063">
            <v>0</v>
          </cell>
          <cell r="T1063">
            <v>3138400</v>
          </cell>
          <cell r="V1063">
            <v>0</v>
          </cell>
          <cell r="W1063">
            <v>0</v>
          </cell>
          <cell r="X1063">
            <v>0</v>
          </cell>
          <cell r="Z1063">
            <v>0</v>
          </cell>
          <cell r="AB1063">
            <v>0</v>
          </cell>
          <cell r="AD1063">
            <v>0</v>
          </cell>
          <cell r="AF1063">
            <v>0</v>
          </cell>
        </row>
        <row r="1064">
          <cell r="A1064">
            <v>1063</v>
          </cell>
          <cell r="C1064" t="e">
            <v>#N/A</v>
          </cell>
          <cell r="D1064" t="e">
            <v>#N/A</v>
          </cell>
          <cell r="E1064" t="e">
            <v>#N/A</v>
          </cell>
          <cell r="F1064" t="e">
            <v>#N/A</v>
          </cell>
          <cell r="G1064" t="e">
            <v>#N/A</v>
          </cell>
          <cell r="O1064" t="e">
            <v>#N/A</v>
          </cell>
          <cell r="S1064">
            <v>0</v>
          </cell>
          <cell r="T1064">
            <v>3138400</v>
          </cell>
          <cell r="V1064">
            <v>0</v>
          </cell>
          <cell r="W1064">
            <v>0</v>
          </cell>
          <cell r="X1064">
            <v>0</v>
          </cell>
          <cell r="Z1064">
            <v>0</v>
          </cell>
          <cell r="AB1064">
            <v>0</v>
          </cell>
          <cell r="AD1064">
            <v>0</v>
          </cell>
          <cell r="AF1064">
            <v>0</v>
          </cell>
        </row>
        <row r="1065">
          <cell r="A1065">
            <v>1064</v>
          </cell>
          <cell r="C1065" t="e">
            <v>#N/A</v>
          </cell>
          <cell r="D1065" t="e">
            <v>#N/A</v>
          </cell>
          <cell r="E1065" t="e">
            <v>#N/A</v>
          </cell>
          <cell r="F1065" t="e">
            <v>#N/A</v>
          </cell>
          <cell r="G1065" t="e">
            <v>#N/A</v>
          </cell>
          <cell r="O1065" t="e">
            <v>#N/A</v>
          </cell>
          <cell r="S1065">
            <v>0</v>
          </cell>
          <cell r="T1065">
            <v>3138400</v>
          </cell>
          <cell r="V1065">
            <v>0</v>
          </cell>
          <cell r="W1065">
            <v>0</v>
          </cell>
          <cell r="X1065">
            <v>0</v>
          </cell>
          <cell r="Z1065">
            <v>0</v>
          </cell>
          <cell r="AB1065">
            <v>0</v>
          </cell>
          <cell r="AD1065">
            <v>0</v>
          </cell>
          <cell r="AF1065">
            <v>0</v>
          </cell>
        </row>
        <row r="1066">
          <cell r="A1066">
            <v>1065</v>
          </cell>
          <cell r="C1066" t="e">
            <v>#N/A</v>
          </cell>
          <cell r="D1066" t="e">
            <v>#N/A</v>
          </cell>
          <cell r="E1066" t="e">
            <v>#N/A</v>
          </cell>
          <cell r="F1066" t="e">
            <v>#N/A</v>
          </cell>
          <cell r="G1066" t="e">
            <v>#N/A</v>
          </cell>
          <cell r="O1066" t="e">
            <v>#N/A</v>
          </cell>
          <cell r="S1066">
            <v>0</v>
          </cell>
          <cell r="T1066">
            <v>3138400</v>
          </cell>
          <cell r="V1066">
            <v>0</v>
          </cell>
          <cell r="W1066">
            <v>0</v>
          </cell>
          <cell r="X1066">
            <v>0</v>
          </cell>
          <cell r="Z1066">
            <v>0</v>
          </cell>
          <cell r="AB1066">
            <v>0</v>
          </cell>
          <cell r="AD1066">
            <v>0</v>
          </cell>
          <cell r="AF1066">
            <v>0</v>
          </cell>
        </row>
        <row r="1067">
          <cell r="A1067">
            <v>1066</v>
          </cell>
          <cell r="C1067" t="e">
            <v>#N/A</v>
          </cell>
          <cell r="D1067" t="e">
            <v>#N/A</v>
          </cell>
          <cell r="E1067" t="e">
            <v>#N/A</v>
          </cell>
          <cell r="F1067" t="e">
            <v>#N/A</v>
          </cell>
          <cell r="G1067" t="e">
            <v>#N/A</v>
          </cell>
          <cell r="O1067" t="e">
            <v>#N/A</v>
          </cell>
          <cell r="S1067">
            <v>0</v>
          </cell>
          <cell r="T1067">
            <v>3138400</v>
          </cell>
          <cell r="V1067">
            <v>0</v>
          </cell>
          <cell r="W1067">
            <v>0</v>
          </cell>
          <cell r="X1067">
            <v>0</v>
          </cell>
          <cell r="Z1067">
            <v>0</v>
          </cell>
          <cell r="AB1067">
            <v>0</v>
          </cell>
          <cell r="AD1067">
            <v>0</v>
          </cell>
          <cell r="AF1067">
            <v>0</v>
          </cell>
        </row>
        <row r="1068">
          <cell r="A1068">
            <v>1067</v>
          </cell>
          <cell r="C1068" t="e">
            <v>#N/A</v>
          </cell>
          <cell r="D1068" t="e">
            <v>#N/A</v>
          </cell>
          <cell r="E1068" t="e">
            <v>#N/A</v>
          </cell>
          <cell r="F1068" t="e">
            <v>#N/A</v>
          </cell>
          <cell r="G1068" t="e">
            <v>#N/A</v>
          </cell>
          <cell r="O1068" t="e">
            <v>#N/A</v>
          </cell>
          <cell r="S1068">
            <v>0</v>
          </cell>
          <cell r="T1068">
            <v>3138400</v>
          </cell>
          <cell r="V1068">
            <v>0</v>
          </cell>
          <cell r="W1068">
            <v>0</v>
          </cell>
          <cell r="X1068">
            <v>0</v>
          </cell>
          <cell r="Z1068">
            <v>0</v>
          </cell>
          <cell r="AB1068">
            <v>0</v>
          </cell>
          <cell r="AD1068">
            <v>0</v>
          </cell>
          <cell r="AF1068">
            <v>0</v>
          </cell>
        </row>
        <row r="1069">
          <cell r="A1069">
            <v>1068</v>
          </cell>
          <cell r="C1069" t="e">
            <v>#N/A</v>
          </cell>
          <cell r="D1069" t="e">
            <v>#N/A</v>
          </cell>
          <cell r="E1069" t="e">
            <v>#N/A</v>
          </cell>
          <cell r="F1069" t="e">
            <v>#N/A</v>
          </cell>
          <cell r="G1069" t="e">
            <v>#N/A</v>
          </cell>
          <cell r="O1069" t="e">
            <v>#N/A</v>
          </cell>
          <cell r="S1069">
            <v>0</v>
          </cell>
          <cell r="T1069">
            <v>3138400</v>
          </cell>
          <cell r="V1069">
            <v>0</v>
          </cell>
          <cell r="W1069">
            <v>0</v>
          </cell>
          <cell r="X1069">
            <v>0</v>
          </cell>
          <cell r="Z1069">
            <v>0</v>
          </cell>
          <cell r="AB1069">
            <v>0</v>
          </cell>
          <cell r="AD1069">
            <v>0</v>
          </cell>
          <cell r="AF1069">
            <v>0</v>
          </cell>
        </row>
        <row r="1070">
          <cell r="A1070">
            <v>1069</v>
          </cell>
          <cell r="C1070" t="e">
            <v>#N/A</v>
          </cell>
          <cell r="D1070" t="e">
            <v>#N/A</v>
          </cell>
          <cell r="E1070" t="e">
            <v>#N/A</v>
          </cell>
          <cell r="F1070" t="e">
            <v>#N/A</v>
          </cell>
          <cell r="G1070" t="e">
            <v>#N/A</v>
          </cell>
          <cell r="O1070" t="e">
            <v>#N/A</v>
          </cell>
          <cell r="S1070">
            <v>0</v>
          </cell>
          <cell r="T1070">
            <v>3138400</v>
          </cell>
          <cell r="V1070">
            <v>0</v>
          </cell>
          <cell r="W1070">
            <v>0</v>
          </cell>
          <cell r="X1070">
            <v>0</v>
          </cell>
          <cell r="Z1070">
            <v>0</v>
          </cell>
          <cell r="AB1070">
            <v>0</v>
          </cell>
          <cell r="AD1070">
            <v>0</v>
          </cell>
          <cell r="AF1070">
            <v>0</v>
          </cell>
        </row>
        <row r="1071">
          <cell r="A1071">
            <v>1070</v>
          </cell>
          <cell r="C1071" t="e">
            <v>#N/A</v>
          </cell>
          <cell r="D1071" t="e">
            <v>#N/A</v>
          </cell>
          <cell r="E1071" t="e">
            <v>#N/A</v>
          </cell>
          <cell r="F1071" t="e">
            <v>#N/A</v>
          </cell>
          <cell r="G1071" t="e">
            <v>#N/A</v>
          </cell>
          <cell r="O1071" t="e">
            <v>#N/A</v>
          </cell>
          <cell r="S1071">
            <v>0</v>
          </cell>
          <cell r="T1071">
            <v>3138400</v>
          </cell>
          <cell r="V1071">
            <v>0</v>
          </cell>
          <cell r="W1071">
            <v>0</v>
          </cell>
          <cell r="X1071">
            <v>0</v>
          </cell>
          <cell r="Z1071">
            <v>0</v>
          </cell>
          <cell r="AB1071">
            <v>0</v>
          </cell>
          <cell r="AD1071">
            <v>0</v>
          </cell>
          <cell r="AF1071">
            <v>0</v>
          </cell>
        </row>
        <row r="1072">
          <cell r="A1072">
            <v>1071</v>
          </cell>
          <cell r="C1072" t="e">
            <v>#N/A</v>
          </cell>
          <cell r="D1072" t="e">
            <v>#N/A</v>
          </cell>
          <cell r="E1072" t="e">
            <v>#N/A</v>
          </cell>
          <cell r="F1072" t="e">
            <v>#N/A</v>
          </cell>
          <cell r="G1072" t="e">
            <v>#N/A</v>
          </cell>
          <cell r="O1072" t="e">
            <v>#N/A</v>
          </cell>
          <cell r="S1072">
            <v>0</v>
          </cell>
          <cell r="T1072">
            <v>3138400</v>
          </cell>
          <cell r="V1072">
            <v>0</v>
          </cell>
          <cell r="W1072">
            <v>0</v>
          </cell>
          <cell r="X1072">
            <v>0</v>
          </cell>
          <cell r="Z1072">
            <v>0</v>
          </cell>
          <cell r="AB1072">
            <v>0</v>
          </cell>
          <cell r="AD1072">
            <v>0</v>
          </cell>
          <cell r="AF1072">
            <v>0</v>
          </cell>
        </row>
        <row r="1073">
          <cell r="A1073">
            <v>1072</v>
          </cell>
          <cell r="C1073" t="e">
            <v>#N/A</v>
          </cell>
          <cell r="D1073" t="e">
            <v>#N/A</v>
          </cell>
          <cell r="E1073" t="e">
            <v>#N/A</v>
          </cell>
          <cell r="F1073" t="e">
            <v>#N/A</v>
          </cell>
          <cell r="G1073" t="e">
            <v>#N/A</v>
          </cell>
          <cell r="O1073" t="e">
            <v>#N/A</v>
          </cell>
          <cell r="S1073">
            <v>0</v>
          </cell>
          <cell r="T1073">
            <v>3138400</v>
          </cell>
          <cell r="V1073">
            <v>0</v>
          </cell>
          <cell r="W1073">
            <v>0</v>
          </cell>
          <cell r="X1073">
            <v>0</v>
          </cell>
          <cell r="Z1073">
            <v>0</v>
          </cell>
          <cell r="AB1073">
            <v>0</v>
          </cell>
          <cell r="AD1073">
            <v>0</v>
          </cell>
          <cell r="AF1073">
            <v>0</v>
          </cell>
        </row>
        <row r="1074">
          <cell r="A1074">
            <v>1073</v>
          </cell>
          <cell r="C1074" t="e">
            <v>#N/A</v>
          </cell>
          <cell r="D1074" t="e">
            <v>#N/A</v>
          </cell>
          <cell r="E1074" t="e">
            <v>#N/A</v>
          </cell>
          <cell r="F1074" t="e">
            <v>#N/A</v>
          </cell>
          <cell r="G1074" t="e">
            <v>#N/A</v>
          </cell>
          <cell r="O1074" t="e">
            <v>#N/A</v>
          </cell>
          <cell r="S1074">
            <v>0</v>
          </cell>
          <cell r="T1074">
            <v>3138400</v>
          </cell>
          <cell r="V1074">
            <v>0</v>
          </cell>
          <cell r="W1074">
            <v>0</v>
          </cell>
          <cell r="X1074">
            <v>0</v>
          </cell>
          <cell r="Z1074">
            <v>0</v>
          </cell>
          <cell r="AB1074">
            <v>0</v>
          </cell>
          <cell r="AD1074">
            <v>0</v>
          </cell>
          <cell r="AF1074">
            <v>0</v>
          </cell>
        </row>
        <row r="1075">
          <cell r="A1075">
            <v>1074</v>
          </cell>
          <cell r="C1075" t="e">
            <v>#N/A</v>
          </cell>
          <cell r="D1075" t="e">
            <v>#N/A</v>
          </cell>
          <cell r="E1075" t="e">
            <v>#N/A</v>
          </cell>
          <cell r="F1075" t="e">
            <v>#N/A</v>
          </cell>
          <cell r="G1075" t="e">
            <v>#N/A</v>
          </cell>
          <cell r="O1075" t="e">
            <v>#N/A</v>
          </cell>
          <cell r="S1075">
            <v>0</v>
          </cell>
          <cell r="T1075">
            <v>3138400</v>
          </cell>
          <cell r="V1075">
            <v>0</v>
          </cell>
          <cell r="W1075">
            <v>0</v>
          </cell>
          <cell r="X1075">
            <v>0</v>
          </cell>
          <cell r="Z1075">
            <v>0</v>
          </cell>
          <cell r="AB1075">
            <v>0</v>
          </cell>
          <cell r="AD1075">
            <v>0</v>
          </cell>
          <cell r="AF1075">
            <v>0</v>
          </cell>
        </row>
        <row r="1076">
          <cell r="A1076">
            <v>1075</v>
          </cell>
          <cell r="C1076" t="e">
            <v>#N/A</v>
          </cell>
          <cell r="D1076" t="e">
            <v>#N/A</v>
          </cell>
          <cell r="E1076" t="e">
            <v>#N/A</v>
          </cell>
          <cell r="F1076" t="e">
            <v>#N/A</v>
          </cell>
          <cell r="G1076" t="e">
            <v>#N/A</v>
          </cell>
          <cell r="O1076" t="e">
            <v>#N/A</v>
          </cell>
          <cell r="S1076">
            <v>0</v>
          </cell>
          <cell r="T1076">
            <v>3138400</v>
          </cell>
          <cell r="V1076">
            <v>0</v>
          </cell>
          <cell r="W1076">
            <v>0</v>
          </cell>
          <cell r="X1076">
            <v>0</v>
          </cell>
          <cell r="Z1076">
            <v>0</v>
          </cell>
          <cell r="AB1076">
            <v>0</v>
          </cell>
          <cell r="AD1076">
            <v>0</v>
          </cell>
          <cell r="AF1076">
            <v>0</v>
          </cell>
        </row>
        <row r="1077">
          <cell r="A1077">
            <v>1076</v>
          </cell>
          <cell r="C1077" t="e">
            <v>#N/A</v>
          </cell>
          <cell r="D1077" t="e">
            <v>#N/A</v>
          </cell>
          <cell r="E1077" t="e">
            <v>#N/A</v>
          </cell>
          <cell r="F1077" t="e">
            <v>#N/A</v>
          </cell>
          <cell r="G1077" t="e">
            <v>#N/A</v>
          </cell>
          <cell r="O1077" t="e">
            <v>#N/A</v>
          </cell>
          <cell r="S1077">
            <v>0</v>
          </cell>
          <cell r="T1077">
            <v>3138400</v>
          </cell>
          <cell r="V1077">
            <v>0</v>
          </cell>
          <cell r="W1077">
            <v>0</v>
          </cell>
          <cell r="X1077">
            <v>0</v>
          </cell>
          <cell r="Z1077">
            <v>0</v>
          </cell>
          <cell r="AB1077">
            <v>0</v>
          </cell>
          <cell r="AD1077">
            <v>0</v>
          </cell>
          <cell r="AF1077">
            <v>0</v>
          </cell>
        </row>
        <row r="1078">
          <cell r="A1078">
            <v>1077</v>
          </cell>
          <cell r="C1078" t="e">
            <v>#N/A</v>
          </cell>
          <cell r="D1078" t="e">
            <v>#N/A</v>
          </cell>
          <cell r="E1078" t="e">
            <v>#N/A</v>
          </cell>
          <cell r="F1078" t="e">
            <v>#N/A</v>
          </cell>
          <cell r="G1078" t="e">
            <v>#N/A</v>
          </cell>
          <cell r="O1078" t="e">
            <v>#N/A</v>
          </cell>
          <cell r="S1078">
            <v>0</v>
          </cell>
          <cell r="T1078">
            <v>3138400</v>
          </cell>
          <cell r="V1078">
            <v>0</v>
          </cell>
          <cell r="W1078">
            <v>0</v>
          </cell>
          <cell r="X1078">
            <v>0</v>
          </cell>
          <cell r="Z1078">
            <v>0</v>
          </cell>
          <cell r="AB1078">
            <v>0</v>
          </cell>
          <cell r="AD1078">
            <v>0</v>
          </cell>
          <cell r="AF1078">
            <v>0</v>
          </cell>
        </row>
        <row r="1079">
          <cell r="A1079">
            <v>1078</v>
          </cell>
          <cell r="C1079" t="e">
            <v>#N/A</v>
          </cell>
          <cell r="D1079" t="e">
            <v>#N/A</v>
          </cell>
          <cell r="E1079" t="e">
            <v>#N/A</v>
          </cell>
          <cell r="F1079" t="e">
            <v>#N/A</v>
          </cell>
          <cell r="G1079" t="e">
            <v>#N/A</v>
          </cell>
          <cell r="O1079" t="e">
            <v>#N/A</v>
          </cell>
          <cell r="S1079">
            <v>0</v>
          </cell>
          <cell r="T1079">
            <v>3138400</v>
          </cell>
          <cell r="V1079">
            <v>0</v>
          </cell>
          <cell r="W1079">
            <v>0</v>
          </cell>
          <cell r="X1079">
            <v>0</v>
          </cell>
          <cell r="Z1079">
            <v>0</v>
          </cell>
          <cell r="AB1079">
            <v>0</v>
          </cell>
          <cell r="AD1079">
            <v>0</v>
          </cell>
          <cell r="AF1079">
            <v>0</v>
          </cell>
        </row>
        <row r="1080">
          <cell r="A1080">
            <v>1079</v>
          </cell>
          <cell r="C1080" t="e">
            <v>#N/A</v>
          </cell>
          <cell r="D1080" t="e">
            <v>#N/A</v>
          </cell>
          <cell r="E1080" t="e">
            <v>#N/A</v>
          </cell>
          <cell r="F1080" t="e">
            <v>#N/A</v>
          </cell>
          <cell r="G1080" t="e">
            <v>#N/A</v>
          </cell>
          <cell r="O1080" t="e">
            <v>#N/A</v>
          </cell>
          <cell r="S1080">
            <v>0</v>
          </cell>
          <cell r="T1080">
            <v>3138400</v>
          </cell>
          <cell r="U1080" t="str">
            <v>ya</v>
          </cell>
          <cell r="V1080" t="e">
            <v>#N/A</v>
          </cell>
          <cell r="W1080" t="e">
            <v>#N/A</v>
          </cell>
          <cell r="X1080" t="e">
            <v>#N/A</v>
          </cell>
          <cell r="Z1080">
            <v>0</v>
          </cell>
          <cell r="AB1080">
            <v>0</v>
          </cell>
          <cell r="AD1080">
            <v>0</v>
          </cell>
          <cell r="AF1080">
            <v>0</v>
          </cell>
        </row>
        <row r="1081">
          <cell r="A1081">
            <v>1080</v>
          </cell>
          <cell r="C1081" t="e">
            <v>#N/A</v>
          </cell>
          <cell r="D1081" t="e">
            <v>#N/A</v>
          </cell>
          <cell r="E1081" t="e">
            <v>#N/A</v>
          </cell>
          <cell r="F1081" t="e">
            <v>#N/A</v>
          </cell>
          <cell r="G1081" t="e">
            <v>#N/A</v>
          </cell>
          <cell r="O1081" t="e">
            <v>#N/A</v>
          </cell>
          <cell r="S1081">
            <v>0</v>
          </cell>
          <cell r="T1081">
            <v>3138400</v>
          </cell>
          <cell r="U1081" t="str">
            <v>ya</v>
          </cell>
          <cell r="V1081" t="e">
            <v>#N/A</v>
          </cell>
          <cell r="W1081" t="e">
            <v>#N/A</v>
          </cell>
          <cell r="X1081" t="e">
            <v>#N/A</v>
          </cell>
          <cell r="Z1081">
            <v>0</v>
          </cell>
          <cell r="AB1081">
            <v>0</v>
          </cell>
          <cell r="AD1081">
            <v>0</v>
          </cell>
          <cell r="AF1081">
            <v>0</v>
          </cell>
        </row>
        <row r="1082">
          <cell r="A1082">
            <v>1081</v>
          </cell>
          <cell r="C1082" t="e">
            <v>#N/A</v>
          </cell>
          <cell r="D1082" t="e">
            <v>#N/A</v>
          </cell>
          <cell r="E1082" t="e">
            <v>#N/A</v>
          </cell>
          <cell r="F1082" t="e">
            <v>#N/A</v>
          </cell>
          <cell r="G1082" t="e">
            <v>#N/A</v>
          </cell>
          <cell r="O1082" t="e">
            <v>#N/A</v>
          </cell>
          <cell r="S1082">
            <v>0</v>
          </cell>
          <cell r="T1082">
            <v>3138400</v>
          </cell>
          <cell r="U1082" t="str">
            <v>ya</v>
          </cell>
          <cell r="V1082" t="e">
            <v>#N/A</v>
          </cell>
          <cell r="W1082" t="e">
            <v>#N/A</v>
          </cell>
          <cell r="X1082" t="e">
            <v>#N/A</v>
          </cell>
          <cell r="Z1082">
            <v>0</v>
          </cell>
          <cell r="AB1082">
            <v>0</v>
          </cell>
          <cell r="AD1082">
            <v>0</v>
          </cell>
          <cell r="AF1082">
            <v>0</v>
          </cell>
        </row>
        <row r="1083">
          <cell r="A1083">
            <v>1082</v>
          </cell>
          <cell r="C1083" t="e">
            <v>#N/A</v>
          </cell>
          <cell r="D1083" t="e">
            <v>#N/A</v>
          </cell>
          <cell r="E1083" t="e">
            <v>#N/A</v>
          </cell>
          <cell r="F1083" t="e">
            <v>#N/A</v>
          </cell>
          <cell r="G1083" t="e">
            <v>#N/A</v>
          </cell>
          <cell r="O1083" t="e">
            <v>#N/A</v>
          </cell>
          <cell r="S1083">
            <v>0</v>
          </cell>
          <cell r="T1083">
            <v>3138400</v>
          </cell>
          <cell r="U1083" t="str">
            <v>ya</v>
          </cell>
          <cell r="V1083" t="e">
            <v>#N/A</v>
          </cell>
          <cell r="W1083" t="e">
            <v>#N/A</v>
          </cell>
          <cell r="X1083" t="e">
            <v>#N/A</v>
          </cell>
          <cell r="Z1083">
            <v>0</v>
          </cell>
          <cell r="AB1083">
            <v>0</v>
          </cell>
          <cell r="AD1083">
            <v>0</v>
          </cell>
          <cell r="AF1083">
            <v>0</v>
          </cell>
        </row>
        <row r="1084">
          <cell r="A1084">
            <v>1083</v>
          </cell>
          <cell r="C1084" t="e">
            <v>#N/A</v>
          </cell>
          <cell r="D1084" t="e">
            <v>#N/A</v>
          </cell>
          <cell r="E1084" t="e">
            <v>#N/A</v>
          </cell>
          <cell r="F1084" t="e">
            <v>#N/A</v>
          </cell>
          <cell r="G1084" t="e">
            <v>#N/A</v>
          </cell>
          <cell r="O1084" t="e">
            <v>#N/A</v>
          </cell>
          <cell r="S1084">
            <v>0</v>
          </cell>
          <cell r="T1084">
            <v>3138400</v>
          </cell>
          <cell r="U1084" t="str">
            <v>ya</v>
          </cell>
          <cell r="V1084" t="e">
            <v>#N/A</v>
          </cell>
          <cell r="W1084" t="e">
            <v>#N/A</v>
          </cell>
          <cell r="X1084" t="e">
            <v>#N/A</v>
          </cell>
          <cell r="Z1084">
            <v>0</v>
          </cell>
          <cell r="AB1084">
            <v>0</v>
          </cell>
          <cell r="AD1084">
            <v>0</v>
          </cell>
          <cell r="AF1084">
            <v>0</v>
          </cell>
        </row>
        <row r="1085">
          <cell r="A1085">
            <v>1084</v>
          </cell>
          <cell r="C1085" t="e">
            <v>#N/A</v>
          </cell>
          <cell r="D1085" t="e">
            <v>#N/A</v>
          </cell>
          <cell r="E1085" t="e">
            <v>#N/A</v>
          </cell>
          <cell r="F1085" t="e">
            <v>#N/A</v>
          </cell>
          <cell r="G1085" t="e">
            <v>#N/A</v>
          </cell>
          <cell r="O1085" t="e">
            <v>#N/A</v>
          </cell>
          <cell r="S1085">
            <v>0</v>
          </cell>
          <cell r="T1085">
            <v>3138400</v>
          </cell>
          <cell r="U1085" t="str">
            <v>ya</v>
          </cell>
          <cell r="V1085" t="e">
            <v>#N/A</v>
          </cell>
          <cell r="W1085" t="e">
            <v>#N/A</v>
          </cell>
          <cell r="X1085" t="e">
            <v>#N/A</v>
          </cell>
          <cell r="Z1085">
            <v>0</v>
          </cell>
          <cell r="AB1085">
            <v>0</v>
          </cell>
          <cell r="AD1085">
            <v>0</v>
          </cell>
          <cell r="AF1085">
            <v>0</v>
          </cell>
        </row>
        <row r="1086">
          <cell r="A1086">
            <v>1085</v>
          </cell>
          <cell r="C1086" t="e">
            <v>#N/A</v>
          </cell>
          <cell r="D1086" t="e">
            <v>#N/A</v>
          </cell>
          <cell r="E1086" t="e">
            <v>#N/A</v>
          </cell>
          <cell r="F1086" t="e">
            <v>#N/A</v>
          </cell>
          <cell r="G1086" t="e">
            <v>#N/A</v>
          </cell>
          <cell r="O1086" t="e">
            <v>#N/A</v>
          </cell>
          <cell r="S1086">
            <v>0</v>
          </cell>
          <cell r="T1086">
            <v>3138400</v>
          </cell>
          <cell r="U1086" t="str">
            <v>ya</v>
          </cell>
          <cell r="V1086" t="e">
            <v>#N/A</v>
          </cell>
          <cell r="W1086" t="e">
            <v>#N/A</v>
          </cell>
          <cell r="X1086" t="e">
            <v>#N/A</v>
          </cell>
          <cell r="Z1086">
            <v>0</v>
          </cell>
          <cell r="AB1086">
            <v>0</v>
          </cell>
          <cell r="AD1086">
            <v>0</v>
          </cell>
          <cell r="AF1086">
            <v>0</v>
          </cell>
        </row>
        <row r="1087">
          <cell r="A1087">
            <v>1086</v>
          </cell>
          <cell r="C1087" t="e">
            <v>#N/A</v>
          </cell>
          <cell r="D1087" t="e">
            <v>#N/A</v>
          </cell>
          <cell r="E1087" t="e">
            <v>#N/A</v>
          </cell>
          <cell r="F1087" t="e">
            <v>#N/A</v>
          </cell>
          <cell r="G1087" t="e">
            <v>#N/A</v>
          </cell>
          <cell r="O1087" t="e">
            <v>#N/A</v>
          </cell>
          <cell r="S1087">
            <v>0</v>
          </cell>
          <cell r="T1087">
            <v>3138400</v>
          </cell>
          <cell r="U1087" t="str">
            <v>ya</v>
          </cell>
          <cell r="V1087" t="e">
            <v>#N/A</v>
          </cell>
          <cell r="W1087" t="e">
            <v>#N/A</v>
          </cell>
          <cell r="X1087" t="e">
            <v>#N/A</v>
          </cell>
          <cell r="Z1087">
            <v>0</v>
          </cell>
          <cell r="AB1087">
            <v>0</v>
          </cell>
          <cell r="AD1087">
            <v>0</v>
          </cell>
          <cell r="AF1087">
            <v>0</v>
          </cell>
        </row>
        <row r="1088">
          <cell r="A1088">
            <v>1087</v>
          </cell>
          <cell r="C1088" t="e">
            <v>#N/A</v>
          </cell>
          <cell r="D1088" t="e">
            <v>#N/A</v>
          </cell>
          <cell r="E1088" t="e">
            <v>#N/A</v>
          </cell>
          <cell r="F1088" t="e">
            <v>#N/A</v>
          </cell>
          <cell r="G1088" t="e">
            <v>#N/A</v>
          </cell>
          <cell r="O1088" t="e">
            <v>#N/A</v>
          </cell>
          <cell r="S1088">
            <v>0</v>
          </cell>
          <cell r="T1088">
            <v>3138400</v>
          </cell>
          <cell r="V1088">
            <v>0</v>
          </cell>
          <cell r="W1088">
            <v>0</v>
          </cell>
          <cell r="X1088">
            <v>0</v>
          </cell>
          <cell r="Z1088">
            <v>0</v>
          </cell>
          <cell r="AB1088">
            <v>0</v>
          </cell>
          <cell r="AD1088">
            <v>0</v>
          </cell>
          <cell r="AF1088">
            <v>0</v>
          </cell>
        </row>
        <row r="1089">
          <cell r="A1089">
            <v>1088</v>
          </cell>
          <cell r="C1089" t="e">
            <v>#N/A</v>
          </cell>
          <cell r="D1089" t="e">
            <v>#N/A</v>
          </cell>
          <cell r="E1089" t="e">
            <v>#N/A</v>
          </cell>
          <cell r="F1089" t="e">
            <v>#N/A</v>
          </cell>
          <cell r="G1089" t="e">
            <v>#N/A</v>
          </cell>
          <cell r="O1089" t="e">
            <v>#N/A</v>
          </cell>
          <cell r="S1089">
            <v>0</v>
          </cell>
          <cell r="T1089">
            <v>3138400</v>
          </cell>
          <cell r="V1089">
            <v>0</v>
          </cell>
          <cell r="W1089">
            <v>0</v>
          </cell>
          <cell r="X1089">
            <v>0</v>
          </cell>
          <cell r="Z1089">
            <v>0</v>
          </cell>
          <cell r="AB1089">
            <v>0</v>
          </cell>
          <cell r="AD1089">
            <v>0</v>
          </cell>
          <cell r="AF1089">
            <v>0</v>
          </cell>
        </row>
        <row r="1090">
          <cell r="A1090">
            <v>1089</v>
          </cell>
          <cell r="C1090" t="e">
            <v>#N/A</v>
          </cell>
          <cell r="D1090" t="e">
            <v>#N/A</v>
          </cell>
          <cell r="E1090" t="e">
            <v>#N/A</v>
          </cell>
          <cell r="F1090" t="e">
            <v>#N/A</v>
          </cell>
          <cell r="G1090" t="e">
            <v>#N/A</v>
          </cell>
          <cell r="O1090" t="e">
            <v>#N/A</v>
          </cell>
          <cell r="S1090">
            <v>0</v>
          </cell>
          <cell r="T1090">
            <v>3138400</v>
          </cell>
          <cell r="V1090">
            <v>0</v>
          </cell>
          <cell r="W1090">
            <v>0</v>
          </cell>
          <cell r="X1090">
            <v>0</v>
          </cell>
          <cell r="Z1090">
            <v>0</v>
          </cell>
          <cell r="AB1090">
            <v>0</v>
          </cell>
          <cell r="AD1090">
            <v>0</v>
          </cell>
          <cell r="AF1090">
            <v>0</v>
          </cell>
        </row>
        <row r="1091">
          <cell r="A1091">
            <v>1090</v>
          </cell>
          <cell r="C1091" t="e">
            <v>#N/A</v>
          </cell>
          <cell r="D1091" t="e">
            <v>#N/A</v>
          </cell>
          <cell r="E1091" t="e">
            <v>#N/A</v>
          </cell>
          <cell r="F1091" t="e">
            <v>#N/A</v>
          </cell>
          <cell r="G1091" t="e">
            <v>#N/A</v>
          </cell>
          <cell r="O1091" t="e">
            <v>#N/A</v>
          </cell>
          <cell r="S1091">
            <v>0</v>
          </cell>
          <cell r="T1091">
            <v>3138400</v>
          </cell>
          <cell r="V1091">
            <v>0</v>
          </cell>
          <cell r="W1091">
            <v>0</v>
          </cell>
          <cell r="X1091">
            <v>0</v>
          </cell>
          <cell r="Z1091">
            <v>0</v>
          </cell>
          <cell r="AB1091">
            <v>0</v>
          </cell>
          <cell r="AD1091">
            <v>0</v>
          </cell>
          <cell r="AF1091">
            <v>0</v>
          </cell>
        </row>
        <row r="1092">
          <cell r="A1092">
            <v>1091</v>
          </cell>
          <cell r="C1092" t="e">
            <v>#N/A</v>
          </cell>
          <cell r="D1092" t="e">
            <v>#N/A</v>
          </cell>
          <cell r="E1092" t="e">
            <v>#N/A</v>
          </cell>
          <cell r="F1092" t="e">
            <v>#N/A</v>
          </cell>
          <cell r="G1092" t="e">
            <v>#N/A</v>
          </cell>
          <cell r="O1092" t="e">
            <v>#N/A</v>
          </cell>
          <cell r="S1092">
            <v>0</v>
          </cell>
          <cell r="T1092">
            <v>3138400</v>
          </cell>
          <cell r="V1092">
            <v>0</v>
          </cell>
          <cell r="W1092">
            <v>0</v>
          </cell>
          <cell r="X1092">
            <v>0</v>
          </cell>
          <cell r="Z1092">
            <v>0</v>
          </cell>
          <cell r="AB1092">
            <v>0</v>
          </cell>
          <cell r="AD1092">
            <v>0</v>
          </cell>
          <cell r="AF1092">
            <v>0</v>
          </cell>
        </row>
        <row r="1093">
          <cell r="A1093">
            <v>1092</v>
          </cell>
          <cell r="C1093" t="e">
            <v>#N/A</v>
          </cell>
          <cell r="D1093" t="e">
            <v>#N/A</v>
          </cell>
          <cell r="E1093" t="e">
            <v>#N/A</v>
          </cell>
          <cell r="F1093" t="e">
            <v>#N/A</v>
          </cell>
          <cell r="G1093" t="e">
            <v>#N/A</v>
          </cell>
          <cell r="O1093" t="e">
            <v>#N/A</v>
          </cell>
          <cell r="S1093">
            <v>0</v>
          </cell>
          <cell r="T1093">
            <v>3138400</v>
          </cell>
          <cell r="V1093">
            <v>0</v>
          </cell>
          <cell r="W1093">
            <v>0</v>
          </cell>
          <cell r="X1093">
            <v>0</v>
          </cell>
          <cell r="Z1093">
            <v>0</v>
          </cell>
          <cell r="AB1093">
            <v>0</v>
          </cell>
          <cell r="AD1093">
            <v>0</v>
          </cell>
          <cell r="AF1093">
            <v>0</v>
          </cell>
        </row>
        <row r="1094">
          <cell r="A1094">
            <v>1093</v>
          </cell>
          <cell r="C1094" t="e">
            <v>#N/A</v>
          </cell>
          <cell r="D1094" t="e">
            <v>#N/A</v>
          </cell>
          <cell r="E1094" t="e">
            <v>#N/A</v>
          </cell>
          <cell r="F1094" t="e">
            <v>#N/A</v>
          </cell>
          <cell r="G1094" t="e">
            <v>#N/A</v>
          </cell>
          <cell r="O1094" t="e">
            <v>#N/A</v>
          </cell>
          <cell r="S1094">
            <v>0</v>
          </cell>
          <cell r="T1094">
            <v>3138400</v>
          </cell>
          <cell r="V1094">
            <v>0</v>
          </cell>
          <cell r="W1094">
            <v>0</v>
          </cell>
          <cell r="X1094">
            <v>0</v>
          </cell>
          <cell r="Z1094">
            <v>0</v>
          </cell>
          <cell r="AB1094">
            <v>0</v>
          </cell>
          <cell r="AD1094">
            <v>0</v>
          </cell>
          <cell r="AF1094">
            <v>0</v>
          </cell>
        </row>
        <row r="1095">
          <cell r="A1095">
            <v>1094</v>
          </cell>
          <cell r="C1095" t="e">
            <v>#N/A</v>
          </cell>
          <cell r="D1095" t="e">
            <v>#N/A</v>
          </cell>
          <cell r="E1095" t="e">
            <v>#N/A</v>
          </cell>
          <cell r="F1095" t="e">
            <v>#N/A</v>
          </cell>
          <cell r="G1095" t="e">
            <v>#N/A</v>
          </cell>
          <cell r="O1095" t="e">
            <v>#N/A</v>
          </cell>
          <cell r="S1095">
            <v>0</v>
          </cell>
          <cell r="T1095">
            <v>3138400</v>
          </cell>
          <cell r="V1095">
            <v>0</v>
          </cell>
          <cell r="W1095">
            <v>0</v>
          </cell>
          <cell r="X1095">
            <v>0</v>
          </cell>
          <cell r="Z1095">
            <v>0</v>
          </cell>
          <cell r="AB1095">
            <v>0</v>
          </cell>
          <cell r="AD1095">
            <v>0</v>
          </cell>
          <cell r="AF1095">
            <v>0</v>
          </cell>
        </row>
        <row r="1096">
          <cell r="A1096">
            <v>1095</v>
          </cell>
          <cell r="C1096" t="e">
            <v>#N/A</v>
          </cell>
          <cell r="D1096" t="e">
            <v>#N/A</v>
          </cell>
          <cell r="E1096" t="e">
            <v>#N/A</v>
          </cell>
          <cell r="F1096" t="e">
            <v>#N/A</v>
          </cell>
          <cell r="G1096" t="e">
            <v>#N/A</v>
          </cell>
          <cell r="O1096" t="e">
            <v>#N/A</v>
          </cell>
          <cell r="S1096">
            <v>0</v>
          </cell>
          <cell r="T1096">
            <v>3138400</v>
          </cell>
          <cell r="V1096">
            <v>0</v>
          </cell>
          <cell r="W1096">
            <v>0</v>
          </cell>
          <cell r="X1096">
            <v>0</v>
          </cell>
          <cell r="Z1096">
            <v>0</v>
          </cell>
          <cell r="AB1096">
            <v>0</v>
          </cell>
          <cell r="AD1096">
            <v>0</v>
          </cell>
          <cell r="AF1096">
            <v>0</v>
          </cell>
        </row>
        <row r="1097">
          <cell r="A1097">
            <v>1096</v>
          </cell>
          <cell r="C1097" t="e">
            <v>#N/A</v>
          </cell>
          <cell r="D1097" t="e">
            <v>#N/A</v>
          </cell>
          <cell r="E1097" t="e">
            <v>#N/A</v>
          </cell>
          <cell r="F1097" t="e">
            <v>#N/A</v>
          </cell>
          <cell r="G1097" t="e">
            <v>#N/A</v>
          </cell>
          <cell r="O1097" t="e">
            <v>#N/A</v>
          </cell>
          <cell r="S1097">
            <v>0</v>
          </cell>
          <cell r="T1097">
            <v>3138400</v>
          </cell>
          <cell r="V1097">
            <v>0</v>
          </cell>
          <cell r="W1097">
            <v>0</v>
          </cell>
          <cell r="X1097">
            <v>0</v>
          </cell>
          <cell r="Z1097">
            <v>0</v>
          </cell>
          <cell r="AB1097">
            <v>0</v>
          </cell>
          <cell r="AD1097">
            <v>0</v>
          </cell>
          <cell r="AF1097">
            <v>0</v>
          </cell>
        </row>
        <row r="1098">
          <cell r="A1098">
            <v>1097</v>
          </cell>
          <cell r="C1098" t="e">
            <v>#N/A</v>
          </cell>
          <cell r="D1098" t="e">
            <v>#N/A</v>
          </cell>
          <cell r="E1098" t="e">
            <v>#N/A</v>
          </cell>
          <cell r="F1098" t="e">
            <v>#N/A</v>
          </cell>
          <cell r="G1098" t="e">
            <v>#N/A</v>
          </cell>
          <cell r="O1098" t="e">
            <v>#N/A</v>
          </cell>
          <cell r="S1098">
            <v>0</v>
          </cell>
          <cell r="T1098">
            <v>3138400</v>
          </cell>
          <cell r="V1098">
            <v>0</v>
          </cell>
          <cell r="W1098">
            <v>0</v>
          </cell>
          <cell r="X1098">
            <v>0</v>
          </cell>
          <cell r="Z1098">
            <v>0</v>
          </cell>
          <cell r="AB1098">
            <v>0</v>
          </cell>
          <cell r="AD1098">
            <v>0</v>
          </cell>
          <cell r="AF1098">
            <v>0</v>
          </cell>
        </row>
        <row r="1099">
          <cell r="A1099">
            <v>1098</v>
          </cell>
          <cell r="C1099" t="e">
            <v>#N/A</v>
          </cell>
          <cell r="D1099" t="e">
            <v>#N/A</v>
          </cell>
          <cell r="E1099" t="e">
            <v>#N/A</v>
          </cell>
          <cell r="F1099" t="e">
            <v>#N/A</v>
          </cell>
          <cell r="G1099" t="e">
            <v>#N/A</v>
          </cell>
          <cell r="O1099" t="e">
            <v>#N/A</v>
          </cell>
          <cell r="S1099">
            <v>0</v>
          </cell>
          <cell r="T1099">
            <v>3138400</v>
          </cell>
          <cell r="U1099" t="str">
            <v>ya</v>
          </cell>
          <cell r="V1099" t="e">
            <v>#N/A</v>
          </cell>
          <cell r="W1099" t="e">
            <v>#N/A</v>
          </cell>
          <cell r="X1099" t="e">
            <v>#N/A</v>
          </cell>
          <cell r="Z1099">
            <v>0</v>
          </cell>
          <cell r="AB1099">
            <v>0</v>
          </cell>
          <cell r="AD1099">
            <v>0</v>
          </cell>
          <cell r="AF1099">
            <v>0</v>
          </cell>
        </row>
        <row r="1100">
          <cell r="A1100">
            <v>1099</v>
          </cell>
          <cell r="C1100" t="e">
            <v>#N/A</v>
          </cell>
          <cell r="D1100" t="e">
            <v>#N/A</v>
          </cell>
          <cell r="E1100" t="e">
            <v>#N/A</v>
          </cell>
          <cell r="F1100" t="e">
            <v>#N/A</v>
          </cell>
          <cell r="G1100" t="e">
            <v>#N/A</v>
          </cell>
          <cell r="O1100" t="e">
            <v>#N/A</v>
          </cell>
          <cell r="S1100">
            <v>0</v>
          </cell>
          <cell r="T1100">
            <v>3138400</v>
          </cell>
          <cell r="V1100">
            <v>0</v>
          </cell>
          <cell r="W1100">
            <v>0</v>
          </cell>
          <cell r="X1100">
            <v>0</v>
          </cell>
          <cell r="Z1100">
            <v>0</v>
          </cell>
          <cell r="AB1100">
            <v>0</v>
          </cell>
          <cell r="AD1100">
            <v>0</v>
          </cell>
          <cell r="AF1100">
            <v>0</v>
          </cell>
        </row>
        <row r="1101">
          <cell r="A1101">
            <v>1100</v>
          </cell>
          <cell r="C1101" t="e">
            <v>#N/A</v>
          </cell>
          <cell r="D1101" t="e">
            <v>#N/A</v>
          </cell>
          <cell r="E1101" t="e">
            <v>#N/A</v>
          </cell>
          <cell r="F1101" t="e">
            <v>#N/A</v>
          </cell>
          <cell r="G1101" t="e">
            <v>#N/A</v>
          </cell>
          <cell r="O1101" t="e">
            <v>#N/A</v>
          </cell>
          <cell r="S1101">
            <v>0</v>
          </cell>
          <cell r="T1101">
            <v>3138400</v>
          </cell>
          <cell r="V1101">
            <v>0</v>
          </cell>
          <cell r="W1101">
            <v>0</v>
          </cell>
          <cell r="X1101">
            <v>0</v>
          </cell>
          <cell r="Z1101">
            <v>0</v>
          </cell>
          <cell r="AB1101">
            <v>0</v>
          </cell>
          <cell r="AD1101">
            <v>0</v>
          </cell>
          <cell r="AF1101">
            <v>0</v>
          </cell>
        </row>
        <row r="1102">
          <cell r="A1102">
            <v>1101</v>
          </cell>
          <cell r="C1102" t="e">
            <v>#N/A</v>
          </cell>
          <cell r="D1102" t="e">
            <v>#N/A</v>
          </cell>
          <cell r="E1102" t="e">
            <v>#N/A</v>
          </cell>
          <cell r="F1102" t="e">
            <v>#N/A</v>
          </cell>
          <cell r="G1102" t="e">
            <v>#N/A</v>
          </cell>
          <cell r="O1102" t="e">
            <v>#N/A</v>
          </cell>
          <cell r="S1102">
            <v>0</v>
          </cell>
          <cell r="T1102">
            <v>3138400</v>
          </cell>
          <cell r="V1102">
            <v>0</v>
          </cell>
          <cell r="W1102">
            <v>0</v>
          </cell>
          <cell r="X1102">
            <v>0</v>
          </cell>
          <cell r="Z1102">
            <v>0</v>
          </cell>
          <cell r="AB1102">
            <v>0</v>
          </cell>
          <cell r="AD1102">
            <v>0</v>
          </cell>
          <cell r="AF1102">
            <v>0</v>
          </cell>
        </row>
        <row r="1103">
          <cell r="A1103">
            <v>1102</v>
          </cell>
          <cell r="C1103" t="e">
            <v>#N/A</v>
          </cell>
          <cell r="D1103" t="e">
            <v>#N/A</v>
          </cell>
          <cell r="E1103" t="e">
            <v>#N/A</v>
          </cell>
          <cell r="F1103" t="e">
            <v>#N/A</v>
          </cell>
          <cell r="G1103" t="e">
            <v>#N/A</v>
          </cell>
          <cell r="O1103" t="e">
            <v>#N/A</v>
          </cell>
          <cell r="S1103">
            <v>0</v>
          </cell>
          <cell r="T1103">
            <v>3138400</v>
          </cell>
          <cell r="V1103">
            <v>0</v>
          </cell>
          <cell r="W1103">
            <v>0</v>
          </cell>
          <cell r="X1103">
            <v>0</v>
          </cell>
          <cell r="Z1103">
            <v>0</v>
          </cell>
          <cell r="AB1103">
            <v>0</v>
          </cell>
          <cell r="AD1103">
            <v>0</v>
          </cell>
          <cell r="AF1103">
            <v>0</v>
          </cell>
        </row>
        <row r="1104">
          <cell r="A1104">
            <v>1103</v>
          </cell>
          <cell r="C1104" t="e">
            <v>#N/A</v>
          </cell>
          <cell r="D1104" t="e">
            <v>#N/A</v>
          </cell>
          <cell r="E1104" t="e">
            <v>#N/A</v>
          </cell>
          <cell r="F1104" t="e">
            <v>#N/A</v>
          </cell>
          <cell r="G1104" t="e">
            <v>#N/A</v>
          </cell>
          <cell r="O1104" t="e">
            <v>#N/A</v>
          </cell>
          <cell r="S1104">
            <v>0</v>
          </cell>
          <cell r="T1104">
            <v>3138400</v>
          </cell>
          <cell r="V1104">
            <v>0</v>
          </cell>
          <cell r="W1104">
            <v>0</v>
          </cell>
          <cell r="X1104">
            <v>0</v>
          </cell>
          <cell r="Z1104">
            <v>0</v>
          </cell>
          <cell r="AB1104">
            <v>0</v>
          </cell>
          <cell r="AD1104">
            <v>0</v>
          </cell>
          <cell r="AF1104">
            <v>0</v>
          </cell>
        </row>
        <row r="1105">
          <cell r="A1105">
            <v>1104</v>
          </cell>
          <cell r="C1105" t="e">
            <v>#N/A</v>
          </cell>
          <cell r="D1105" t="e">
            <v>#N/A</v>
          </cell>
          <cell r="E1105" t="e">
            <v>#N/A</v>
          </cell>
          <cell r="F1105" t="e">
            <v>#N/A</v>
          </cell>
          <cell r="G1105" t="e">
            <v>#N/A</v>
          </cell>
          <cell r="O1105" t="e">
            <v>#N/A</v>
          </cell>
          <cell r="S1105">
            <v>0</v>
          </cell>
          <cell r="T1105">
            <v>3138400</v>
          </cell>
          <cell r="V1105">
            <v>0</v>
          </cell>
          <cell r="W1105">
            <v>0</v>
          </cell>
          <cell r="X1105">
            <v>0</v>
          </cell>
          <cell r="Z1105">
            <v>0</v>
          </cell>
          <cell r="AB1105">
            <v>0</v>
          </cell>
          <cell r="AD1105">
            <v>0</v>
          </cell>
          <cell r="AF1105">
            <v>0</v>
          </cell>
        </row>
        <row r="1106">
          <cell r="A1106">
            <v>1105</v>
          </cell>
          <cell r="C1106" t="e">
            <v>#N/A</v>
          </cell>
          <cell r="D1106" t="e">
            <v>#N/A</v>
          </cell>
          <cell r="E1106" t="e">
            <v>#N/A</v>
          </cell>
          <cell r="F1106" t="e">
            <v>#N/A</v>
          </cell>
          <cell r="G1106" t="e">
            <v>#N/A</v>
          </cell>
          <cell r="O1106" t="e">
            <v>#N/A</v>
          </cell>
          <cell r="S1106">
            <v>0</v>
          </cell>
          <cell r="T1106">
            <v>3138400</v>
          </cell>
          <cell r="V1106">
            <v>0</v>
          </cell>
          <cell r="W1106">
            <v>0</v>
          </cell>
          <cell r="X1106">
            <v>0</v>
          </cell>
          <cell r="Z1106">
            <v>0</v>
          </cell>
          <cell r="AB1106">
            <v>0</v>
          </cell>
          <cell r="AD1106">
            <v>0</v>
          </cell>
          <cell r="AF1106">
            <v>0</v>
          </cell>
        </row>
        <row r="1107">
          <cell r="A1107">
            <v>1106</v>
          </cell>
          <cell r="C1107" t="e">
            <v>#N/A</v>
          </cell>
          <cell r="D1107" t="e">
            <v>#N/A</v>
          </cell>
          <cell r="E1107" t="e">
            <v>#N/A</v>
          </cell>
          <cell r="F1107" t="e">
            <v>#N/A</v>
          </cell>
          <cell r="G1107" t="e">
            <v>#N/A</v>
          </cell>
          <cell r="O1107" t="e">
            <v>#N/A</v>
          </cell>
          <cell r="S1107">
            <v>0</v>
          </cell>
          <cell r="T1107">
            <v>3138400</v>
          </cell>
          <cell r="V1107">
            <v>0</v>
          </cell>
          <cell r="W1107">
            <v>0</v>
          </cell>
          <cell r="X1107">
            <v>0</v>
          </cell>
          <cell r="Z1107">
            <v>0</v>
          </cell>
          <cell r="AB1107">
            <v>0</v>
          </cell>
          <cell r="AD1107">
            <v>0</v>
          </cell>
          <cell r="AF1107">
            <v>0</v>
          </cell>
        </row>
        <row r="1108">
          <cell r="A1108">
            <v>1107</v>
          </cell>
          <cell r="C1108" t="e">
            <v>#N/A</v>
          </cell>
          <cell r="D1108" t="e">
            <v>#N/A</v>
          </cell>
          <cell r="E1108" t="e">
            <v>#N/A</v>
          </cell>
          <cell r="F1108" t="e">
            <v>#N/A</v>
          </cell>
          <cell r="G1108" t="e">
            <v>#N/A</v>
          </cell>
          <cell r="O1108" t="e">
            <v>#N/A</v>
          </cell>
          <cell r="S1108">
            <v>0</v>
          </cell>
          <cell r="T1108">
            <v>3138400</v>
          </cell>
          <cell r="V1108">
            <v>0</v>
          </cell>
          <cell r="W1108">
            <v>0</v>
          </cell>
          <cell r="X1108">
            <v>0</v>
          </cell>
          <cell r="Z1108">
            <v>0</v>
          </cell>
          <cell r="AB1108">
            <v>0</v>
          </cell>
          <cell r="AD1108">
            <v>0</v>
          </cell>
          <cell r="AF1108">
            <v>0</v>
          </cell>
        </row>
        <row r="1109">
          <cell r="A1109">
            <v>1108</v>
          </cell>
          <cell r="C1109" t="e">
            <v>#N/A</v>
          </cell>
          <cell r="D1109" t="e">
            <v>#N/A</v>
          </cell>
          <cell r="E1109" t="e">
            <v>#N/A</v>
          </cell>
          <cell r="F1109" t="e">
            <v>#N/A</v>
          </cell>
          <cell r="G1109" t="e">
            <v>#N/A</v>
          </cell>
          <cell r="O1109" t="e">
            <v>#N/A</v>
          </cell>
          <cell r="S1109">
            <v>0</v>
          </cell>
          <cell r="T1109">
            <v>3138400</v>
          </cell>
          <cell r="V1109">
            <v>0</v>
          </cell>
          <cell r="W1109">
            <v>0</v>
          </cell>
          <cell r="X1109">
            <v>0</v>
          </cell>
          <cell r="Z1109">
            <v>0</v>
          </cell>
          <cell r="AB1109">
            <v>0</v>
          </cell>
          <cell r="AD1109">
            <v>0</v>
          </cell>
          <cell r="AF1109">
            <v>0</v>
          </cell>
        </row>
        <row r="1110">
          <cell r="A1110">
            <v>1109</v>
          </cell>
          <cell r="C1110" t="e">
            <v>#N/A</v>
          </cell>
          <cell r="D1110" t="e">
            <v>#N/A</v>
          </cell>
          <cell r="E1110" t="e">
            <v>#N/A</v>
          </cell>
          <cell r="F1110" t="e">
            <v>#N/A</v>
          </cell>
          <cell r="G1110" t="e">
            <v>#N/A</v>
          </cell>
          <cell r="O1110" t="e">
            <v>#N/A</v>
          </cell>
          <cell r="S1110">
            <v>0</v>
          </cell>
          <cell r="T1110">
            <v>3138400</v>
          </cell>
          <cell r="V1110">
            <v>0</v>
          </cell>
          <cell r="W1110">
            <v>0</v>
          </cell>
          <cell r="X1110">
            <v>0</v>
          </cell>
          <cell r="Z1110">
            <v>0</v>
          </cell>
          <cell r="AB1110">
            <v>0</v>
          </cell>
          <cell r="AD1110">
            <v>0</v>
          </cell>
          <cell r="AF1110">
            <v>0</v>
          </cell>
        </row>
        <row r="1111">
          <cell r="A1111">
            <v>1110</v>
          </cell>
          <cell r="C1111" t="e">
            <v>#N/A</v>
          </cell>
          <cell r="D1111" t="e">
            <v>#N/A</v>
          </cell>
          <cell r="E1111" t="e">
            <v>#N/A</v>
          </cell>
          <cell r="F1111" t="e">
            <v>#N/A</v>
          </cell>
          <cell r="G1111" t="e">
            <v>#N/A</v>
          </cell>
          <cell r="O1111" t="e">
            <v>#N/A</v>
          </cell>
          <cell r="S1111">
            <v>0</v>
          </cell>
          <cell r="T1111">
            <v>3138400</v>
          </cell>
          <cell r="U1111" t="str">
            <v>ya</v>
          </cell>
          <cell r="V1111" t="e">
            <v>#N/A</v>
          </cell>
          <cell r="W1111" t="e">
            <v>#N/A</v>
          </cell>
          <cell r="X1111" t="e">
            <v>#N/A</v>
          </cell>
          <cell r="Z1111">
            <v>0</v>
          </cell>
          <cell r="AB1111">
            <v>0</v>
          </cell>
          <cell r="AD1111">
            <v>0</v>
          </cell>
          <cell r="AF1111">
            <v>0</v>
          </cell>
        </row>
        <row r="1112">
          <cell r="A1112">
            <v>1111</v>
          </cell>
          <cell r="C1112" t="e">
            <v>#N/A</v>
          </cell>
          <cell r="D1112" t="e">
            <v>#N/A</v>
          </cell>
          <cell r="E1112" t="e">
            <v>#N/A</v>
          </cell>
          <cell r="F1112" t="e">
            <v>#N/A</v>
          </cell>
          <cell r="G1112" t="e">
            <v>#N/A</v>
          </cell>
          <cell r="O1112" t="e">
            <v>#N/A</v>
          </cell>
          <cell r="S1112">
            <v>0</v>
          </cell>
          <cell r="T1112">
            <v>3138400</v>
          </cell>
          <cell r="U1112" t="str">
            <v>ya</v>
          </cell>
          <cell r="V1112" t="e">
            <v>#N/A</v>
          </cell>
          <cell r="W1112" t="e">
            <v>#N/A</v>
          </cell>
          <cell r="X1112" t="e">
            <v>#N/A</v>
          </cell>
          <cell r="Z1112">
            <v>0</v>
          </cell>
          <cell r="AB1112">
            <v>0</v>
          </cell>
          <cell r="AD1112">
            <v>0</v>
          </cell>
          <cell r="AF1112">
            <v>0</v>
          </cell>
        </row>
        <row r="1113">
          <cell r="A1113">
            <v>1112</v>
          </cell>
          <cell r="C1113" t="e">
            <v>#N/A</v>
          </cell>
          <cell r="D1113" t="e">
            <v>#N/A</v>
          </cell>
          <cell r="E1113" t="e">
            <v>#N/A</v>
          </cell>
          <cell r="F1113" t="e">
            <v>#N/A</v>
          </cell>
          <cell r="G1113" t="e">
            <v>#N/A</v>
          </cell>
          <cell r="O1113" t="e">
            <v>#N/A</v>
          </cell>
          <cell r="S1113">
            <v>0</v>
          </cell>
          <cell r="T1113">
            <v>3138400</v>
          </cell>
          <cell r="V1113">
            <v>0</v>
          </cell>
          <cell r="W1113">
            <v>0</v>
          </cell>
          <cell r="X1113">
            <v>0</v>
          </cell>
          <cell r="Z1113">
            <v>0</v>
          </cell>
          <cell r="AB1113">
            <v>0</v>
          </cell>
          <cell r="AD1113">
            <v>0</v>
          </cell>
          <cell r="AF1113">
            <v>0</v>
          </cell>
        </row>
        <row r="1114">
          <cell r="A1114">
            <v>1113</v>
          </cell>
          <cell r="C1114" t="e">
            <v>#N/A</v>
          </cell>
          <cell r="D1114" t="e">
            <v>#N/A</v>
          </cell>
          <cell r="E1114" t="e">
            <v>#N/A</v>
          </cell>
          <cell r="F1114" t="e">
            <v>#N/A</v>
          </cell>
          <cell r="G1114" t="e">
            <v>#N/A</v>
          </cell>
          <cell r="O1114" t="e">
            <v>#N/A</v>
          </cell>
          <cell r="S1114">
            <v>0</v>
          </cell>
          <cell r="T1114">
            <v>3138400</v>
          </cell>
          <cell r="V1114">
            <v>0</v>
          </cell>
          <cell r="W1114">
            <v>0</v>
          </cell>
          <cell r="X1114">
            <v>0</v>
          </cell>
          <cell r="Z1114">
            <v>0</v>
          </cell>
          <cell r="AB1114">
            <v>0</v>
          </cell>
          <cell r="AD1114">
            <v>0</v>
          </cell>
          <cell r="AF1114">
            <v>0</v>
          </cell>
        </row>
        <row r="1115">
          <cell r="A1115">
            <v>1114</v>
          </cell>
          <cell r="C1115" t="e">
            <v>#N/A</v>
          </cell>
          <cell r="D1115" t="e">
            <v>#N/A</v>
          </cell>
          <cell r="E1115" t="e">
            <v>#N/A</v>
          </cell>
          <cell r="F1115" t="e">
            <v>#N/A</v>
          </cell>
          <cell r="G1115" t="e">
            <v>#N/A</v>
          </cell>
          <cell r="O1115" t="e">
            <v>#N/A</v>
          </cell>
          <cell r="S1115">
            <v>0</v>
          </cell>
          <cell r="T1115">
            <v>3138400</v>
          </cell>
          <cell r="V1115">
            <v>0</v>
          </cell>
          <cell r="W1115">
            <v>0</v>
          </cell>
          <cell r="X1115">
            <v>0</v>
          </cell>
          <cell r="Z1115">
            <v>0</v>
          </cell>
          <cell r="AB1115">
            <v>0</v>
          </cell>
          <cell r="AD1115">
            <v>0</v>
          </cell>
          <cell r="AF1115">
            <v>0</v>
          </cell>
        </row>
        <row r="1116">
          <cell r="A1116">
            <v>1115</v>
          </cell>
          <cell r="C1116" t="e">
            <v>#N/A</v>
          </cell>
          <cell r="D1116" t="e">
            <v>#N/A</v>
          </cell>
          <cell r="E1116" t="e">
            <v>#N/A</v>
          </cell>
          <cell r="F1116" t="e">
            <v>#N/A</v>
          </cell>
          <cell r="G1116" t="e">
            <v>#N/A</v>
          </cell>
          <cell r="O1116" t="e">
            <v>#N/A</v>
          </cell>
          <cell r="S1116">
            <v>0</v>
          </cell>
          <cell r="T1116">
            <v>3138400</v>
          </cell>
          <cell r="V1116">
            <v>0</v>
          </cell>
          <cell r="W1116">
            <v>0</v>
          </cell>
          <cell r="X1116">
            <v>0</v>
          </cell>
          <cell r="Z1116">
            <v>0</v>
          </cell>
          <cell r="AB1116">
            <v>0</v>
          </cell>
          <cell r="AD1116">
            <v>0</v>
          </cell>
          <cell r="AF1116">
            <v>0</v>
          </cell>
        </row>
        <row r="1117">
          <cell r="A1117">
            <v>1116</v>
          </cell>
          <cell r="C1117" t="e">
            <v>#N/A</v>
          </cell>
          <cell r="D1117" t="e">
            <v>#N/A</v>
          </cell>
          <cell r="E1117" t="e">
            <v>#N/A</v>
          </cell>
          <cell r="F1117" t="e">
            <v>#N/A</v>
          </cell>
          <cell r="G1117" t="e">
            <v>#N/A</v>
          </cell>
          <cell r="O1117" t="e">
            <v>#N/A</v>
          </cell>
          <cell r="S1117">
            <v>0</v>
          </cell>
          <cell r="T1117">
            <v>3138400</v>
          </cell>
          <cell r="V1117">
            <v>0</v>
          </cell>
          <cell r="W1117">
            <v>0</v>
          </cell>
          <cell r="X1117">
            <v>0</v>
          </cell>
          <cell r="Z1117">
            <v>0</v>
          </cell>
          <cell r="AB1117">
            <v>0</v>
          </cell>
          <cell r="AD1117">
            <v>0</v>
          </cell>
          <cell r="AF1117">
            <v>0</v>
          </cell>
        </row>
        <row r="1118">
          <cell r="A1118">
            <v>1117</v>
          </cell>
          <cell r="C1118" t="e">
            <v>#N/A</v>
          </cell>
          <cell r="D1118" t="e">
            <v>#N/A</v>
          </cell>
          <cell r="E1118" t="e">
            <v>#N/A</v>
          </cell>
          <cell r="F1118" t="e">
            <v>#N/A</v>
          </cell>
          <cell r="G1118" t="e">
            <v>#N/A</v>
          </cell>
          <cell r="O1118" t="e">
            <v>#N/A</v>
          </cell>
          <cell r="S1118">
            <v>0</v>
          </cell>
          <cell r="T1118">
            <v>3138400</v>
          </cell>
          <cell r="V1118">
            <v>0</v>
          </cell>
          <cell r="W1118">
            <v>0</v>
          </cell>
          <cell r="X1118">
            <v>0</v>
          </cell>
          <cell r="Z1118">
            <v>0</v>
          </cell>
          <cell r="AB1118">
            <v>0</v>
          </cell>
          <cell r="AD1118">
            <v>0</v>
          </cell>
          <cell r="AF1118">
            <v>0</v>
          </cell>
        </row>
        <row r="1119">
          <cell r="A1119">
            <v>1118</v>
          </cell>
          <cell r="C1119" t="e">
            <v>#N/A</v>
          </cell>
          <cell r="D1119" t="e">
            <v>#N/A</v>
          </cell>
          <cell r="E1119" t="e">
            <v>#N/A</v>
          </cell>
          <cell r="F1119" t="e">
            <v>#N/A</v>
          </cell>
          <cell r="G1119" t="e">
            <v>#N/A</v>
          </cell>
          <cell r="O1119" t="e">
            <v>#N/A</v>
          </cell>
          <cell r="S1119">
            <v>0</v>
          </cell>
          <cell r="T1119">
            <v>3138400</v>
          </cell>
          <cell r="V1119">
            <v>0</v>
          </cell>
          <cell r="W1119">
            <v>0</v>
          </cell>
          <cell r="X1119">
            <v>0</v>
          </cell>
          <cell r="Z1119">
            <v>0</v>
          </cell>
          <cell r="AB1119">
            <v>0</v>
          </cell>
          <cell r="AD1119">
            <v>0</v>
          </cell>
          <cell r="AF1119">
            <v>0</v>
          </cell>
        </row>
        <row r="1120">
          <cell r="A1120">
            <v>1119</v>
          </cell>
          <cell r="C1120" t="e">
            <v>#N/A</v>
          </cell>
          <cell r="D1120" t="e">
            <v>#N/A</v>
          </cell>
          <cell r="E1120" t="e">
            <v>#N/A</v>
          </cell>
          <cell r="F1120" t="e">
            <v>#N/A</v>
          </cell>
          <cell r="G1120" t="e">
            <v>#N/A</v>
          </cell>
          <cell r="O1120" t="e">
            <v>#N/A</v>
          </cell>
          <cell r="S1120">
            <v>0</v>
          </cell>
          <cell r="T1120">
            <v>3138400</v>
          </cell>
          <cell r="U1120" t="str">
            <v>ya</v>
          </cell>
          <cell r="V1120" t="e">
            <v>#N/A</v>
          </cell>
          <cell r="W1120" t="e">
            <v>#N/A</v>
          </cell>
          <cell r="X1120" t="e">
            <v>#N/A</v>
          </cell>
          <cell r="Z1120">
            <v>0</v>
          </cell>
          <cell r="AB1120">
            <v>0</v>
          </cell>
          <cell r="AD1120">
            <v>0</v>
          </cell>
          <cell r="AF1120">
            <v>0</v>
          </cell>
        </row>
        <row r="1121">
          <cell r="A1121">
            <v>1120</v>
          </cell>
          <cell r="C1121" t="e">
            <v>#N/A</v>
          </cell>
          <cell r="D1121" t="e">
            <v>#N/A</v>
          </cell>
          <cell r="E1121" t="e">
            <v>#N/A</v>
          </cell>
          <cell r="F1121" t="e">
            <v>#N/A</v>
          </cell>
          <cell r="G1121" t="e">
            <v>#N/A</v>
          </cell>
          <cell r="O1121" t="e">
            <v>#N/A</v>
          </cell>
          <cell r="S1121">
            <v>0</v>
          </cell>
          <cell r="T1121">
            <v>3138400</v>
          </cell>
          <cell r="U1121" t="str">
            <v>ya</v>
          </cell>
          <cell r="V1121" t="e">
            <v>#N/A</v>
          </cell>
          <cell r="W1121" t="e">
            <v>#N/A</v>
          </cell>
          <cell r="X1121" t="e">
            <v>#N/A</v>
          </cell>
          <cell r="Z1121">
            <v>0</v>
          </cell>
          <cell r="AB1121">
            <v>0</v>
          </cell>
          <cell r="AD1121">
            <v>0</v>
          </cell>
          <cell r="AF1121">
            <v>0</v>
          </cell>
        </row>
        <row r="1122">
          <cell r="A1122">
            <v>1121</v>
          </cell>
          <cell r="C1122" t="e">
            <v>#N/A</v>
          </cell>
          <cell r="D1122" t="e">
            <v>#N/A</v>
          </cell>
          <cell r="E1122" t="e">
            <v>#N/A</v>
          </cell>
          <cell r="F1122" t="e">
            <v>#N/A</v>
          </cell>
          <cell r="G1122" t="e">
            <v>#N/A</v>
          </cell>
          <cell r="O1122" t="e">
            <v>#N/A</v>
          </cell>
          <cell r="S1122">
            <v>0</v>
          </cell>
          <cell r="T1122">
            <v>3138400</v>
          </cell>
          <cell r="V1122">
            <v>0</v>
          </cell>
          <cell r="W1122">
            <v>0</v>
          </cell>
          <cell r="X1122">
            <v>0</v>
          </cell>
          <cell r="Z1122">
            <v>0</v>
          </cell>
          <cell r="AB1122">
            <v>0</v>
          </cell>
          <cell r="AD1122">
            <v>0</v>
          </cell>
          <cell r="AF1122">
            <v>0</v>
          </cell>
        </row>
        <row r="1123">
          <cell r="A1123">
            <v>1122</v>
          </cell>
          <cell r="C1123" t="e">
            <v>#N/A</v>
          </cell>
          <cell r="D1123" t="e">
            <v>#N/A</v>
          </cell>
          <cell r="E1123" t="e">
            <v>#N/A</v>
          </cell>
          <cell r="F1123" t="e">
            <v>#N/A</v>
          </cell>
          <cell r="G1123" t="e">
            <v>#N/A</v>
          </cell>
          <cell r="O1123" t="e">
            <v>#N/A</v>
          </cell>
          <cell r="S1123">
            <v>0</v>
          </cell>
          <cell r="T1123">
            <v>3138400</v>
          </cell>
          <cell r="V1123">
            <v>0</v>
          </cell>
          <cell r="W1123">
            <v>0</v>
          </cell>
          <cell r="X1123">
            <v>0</v>
          </cell>
          <cell r="Z1123">
            <v>0</v>
          </cell>
          <cell r="AB1123">
            <v>0</v>
          </cell>
          <cell r="AD1123">
            <v>0</v>
          </cell>
          <cell r="AF1123">
            <v>0</v>
          </cell>
        </row>
        <row r="1124">
          <cell r="A1124">
            <v>1123</v>
          </cell>
          <cell r="C1124" t="e">
            <v>#N/A</v>
          </cell>
          <cell r="D1124" t="e">
            <v>#N/A</v>
          </cell>
          <cell r="E1124" t="e">
            <v>#N/A</v>
          </cell>
          <cell r="F1124" t="e">
            <v>#N/A</v>
          </cell>
          <cell r="G1124" t="e">
            <v>#N/A</v>
          </cell>
          <cell r="O1124" t="e">
            <v>#N/A</v>
          </cell>
          <cell r="S1124">
            <v>0</v>
          </cell>
          <cell r="T1124">
            <v>3138400</v>
          </cell>
          <cell r="U1124" t="str">
            <v>ya</v>
          </cell>
          <cell r="V1124" t="e">
            <v>#N/A</v>
          </cell>
          <cell r="W1124" t="e">
            <v>#N/A</v>
          </cell>
          <cell r="X1124" t="e">
            <v>#N/A</v>
          </cell>
          <cell r="Z1124">
            <v>0</v>
          </cell>
          <cell r="AB1124">
            <v>0</v>
          </cell>
          <cell r="AD1124">
            <v>0</v>
          </cell>
          <cell r="AF1124">
            <v>0</v>
          </cell>
        </row>
        <row r="1125">
          <cell r="A1125">
            <v>1124</v>
          </cell>
          <cell r="C1125" t="e">
            <v>#N/A</v>
          </cell>
          <cell r="D1125" t="e">
            <v>#N/A</v>
          </cell>
          <cell r="E1125" t="e">
            <v>#N/A</v>
          </cell>
          <cell r="F1125" t="e">
            <v>#N/A</v>
          </cell>
          <cell r="G1125" t="e">
            <v>#N/A</v>
          </cell>
          <cell r="O1125" t="e">
            <v>#N/A</v>
          </cell>
          <cell r="S1125">
            <v>0</v>
          </cell>
          <cell r="T1125">
            <v>3138400</v>
          </cell>
          <cell r="U1125" t="str">
            <v>ya</v>
          </cell>
          <cell r="V1125" t="e">
            <v>#N/A</v>
          </cell>
          <cell r="W1125" t="e">
            <v>#N/A</v>
          </cell>
          <cell r="X1125" t="e">
            <v>#N/A</v>
          </cell>
          <cell r="Z1125">
            <v>0</v>
          </cell>
          <cell r="AB1125">
            <v>0</v>
          </cell>
          <cell r="AD1125">
            <v>0</v>
          </cell>
          <cell r="AF1125">
            <v>0</v>
          </cell>
        </row>
        <row r="1126">
          <cell r="A1126">
            <v>1125</v>
          </cell>
          <cell r="C1126" t="e">
            <v>#N/A</v>
          </cell>
          <cell r="D1126" t="e">
            <v>#N/A</v>
          </cell>
          <cell r="E1126" t="e">
            <v>#N/A</v>
          </cell>
          <cell r="F1126" t="e">
            <v>#N/A</v>
          </cell>
          <cell r="G1126" t="e">
            <v>#N/A</v>
          </cell>
          <cell r="O1126" t="e">
            <v>#N/A</v>
          </cell>
          <cell r="S1126">
            <v>0</v>
          </cell>
          <cell r="T1126">
            <v>3138400</v>
          </cell>
          <cell r="V1126">
            <v>0</v>
          </cell>
          <cell r="W1126">
            <v>0</v>
          </cell>
          <cell r="X1126">
            <v>0</v>
          </cell>
          <cell r="Z1126">
            <v>0</v>
          </cell>
          <cell r="AB1126">
            <v>0</v>
          </cell>
          <cell r="AD1126">
            <v>0</v>
          </cell>
          <cell r="AF1126">
            <v>0</v>
          </cell>
        </row>
        <row r="1127">
          <cell r="A1127">
            <v>1126</v>
          </cell>
          <cell r="C1127" t="e">
            <v>#N/A</v>
          </cell>
          <cell r="D1127" t="e">
            <v>#N/A</v>
          </cell>
          <cell r="E1127" t="e">
            <v>#N/A</v>
          </cell>
          <cell r="F1127" t="e">
            <v>#N/A</v>
          </cell>
          <cell r="G1127" t="e">
            <v>#N/A</v>
          </cell>
          <cell r="O1127" t="e">
            <v>#N/A</v>
          </cell>
          <cell r="S1127">
            <v>0</v>
          </cell>
          <cell r="T1127">
            <v>3138400</v>
          </cell>
          <cell r="V1127">
            <v>0</v>
          </cell>
          <cell r="W1127">
            <v>0</v>
          </cell>
          <cell r="X1127">
            <v>0</v>
          </cell>
          <cell r="Z1127">
            <v>0</v>
          </cell>
          <cell r="AB1127">
            <v>0</v>
          </cell>
          <cell r="AD1127">
            <v>0</v>
          </cell>
          <cell r="AF1127">
            <v>0</v>
          </cell>
        </row>
        <row r="1128">
          <cell r="A1128">
            <v>1127</v>
          </cell>
          <cell r="C1128" t="e">
            <v>#N/A</v>
          </cell>
          <cell r="D1128" t="e">
            <v>#N/A</v>
          </cell>
          <cell r="E1128" t="e">
            <v>#N/A</v>
          </cell>
          <cell r="F1128" t="e">
            <v>#N/A</v>
          </cell>
          <cell r="G1128" t="e">
            <v>#N/A</v>
          </cell>
          <cell r="O1128" t="e">
            <v>#N/A</v>
          </cell>
          <cell r="S1128">
            <v>0</v>
          </cell>
          <cell r="T1128">
            <v>3138400</v>
          </cell>
          <cell r="V1128">
            <v>0</v>
          </cell>
          <cell r="W1128">
            <v>0</v>
          </cell>
          <cell r="X1128">
            <v>0</v>
          </cell>
          <cell r="Z1128">
            <v>0</v>
          </cell>
          <cell r="AB1128">
            <v>0</v>
          </cell>
          <cell r="AD1128">
            <v>0</v>
          </cell>
          <cell r="AF1128">
            <v>0</v>
          </cell>
        </row>
        <row r="1129">
          <cell r="A1129">
            <v>1128</v>
          </cell>
          <cell r="C1129" t="e">
            <v>#N/A</v>
          </cell>
          <cell r="D1129" t="e">
            <v>#N/A</v>
          </cell>
          <cell r="E1129" t="e">
            <v>#N/A</v>
          </cell>
          <cell r="F1129" t="e">
            <v>#N/A</v>
          </cell>
          <cell r="G1129" t="e">
            <v>#N/A</v>
          </cell>
          <cell r="O1129" t="e">
            <v>#N/A</v>
          </cell>
          <cell r="S1129">
            <v>0</v>
          </cell>
          <cell r="T1129">
            <v>3138400</v>
          </cell>
          <cell r="V1129">
            <v>0</v>
          </cell>
          <cell r="W1129">
            <v>0</v>
          </cell>
          <cell r="X1129">
            <v>0</v>
          </cell>
          <cell r="Z1129">
            <v>0</v>
          </cell>
          <cell r="AB1129">
            <v>0</v>
          </cell>
          <cell r="AD1129">
            <v>0</v>
          </cell>
          <cell r="AF1129">
            <v>0</v>
          </cell>
        </row>
        <row r="1130">
          <cell r="A1130">
            <v>1129</v>
          </cell>
          <cell r="C1130" t="e">
            <v>#N/A</v>
          </cell>
          <cell r="D1130" t="e">
            <v>#N/A</v>
          </cell>
          <cell r="E1130" t="e">
            <v>#N/A</v>
          </cell>
          <cell r="F1130" t="e">
            <v>#N/A</v>
          </cell>
          <cell r="G1130" t="e">
            <v>#N/A</v>
          </cell>
          <cell r="O1130" t="e">
            <v>#N/A</v>
          </cell>
          <cell r="S1130">
            <v>0</v>
          </cell>
          <cell r="T1130">
            <v>3138400</v>
          </cell>
          <cell r="V1130">
            <v>0</v>
          </cell>
          <cell r="W1130">
            <v>0</v>
          </cell>
          <cell r="X1130">
            <v>0</v>
          </cell>
          <cell r="Z1130">
            <v>0</v>
          </cell>
          <cell r="AB1130">
            <v>0</v>
          </cell>
          <cell r="AD1130">
            <v>0</v>
          </cell>
          <cell r="AF1130">
            <v>0</v>
          </cell>
        </row>
        <row r="1131">
          <cell r="A1131">
            <v>1130</v>
          </cell>
          <cell r="C1131" t="e">
            <v>#N/A</v>
          </cell>
          <cell r="D1131" t="e">
            <v>#N/A</v>
          </cell>
          <cell r="E1131" t="e">
            <v>#N/A</v>
          </cell>
          <cell r="F1131" t="e">
            <v>#N/A</v>
          </cell>
          <cell r="G1131" t="e">
            <v>#N/A</v>
          </cell>
          <cell r="O1131" t="e">
            <v>#N/A</v>
          </cell>
          <cell r="S1131">
            <v>0</v>
          </cell>
          <cell r="T1131">
            <v>3138400</v>
          </cell>
          <cell r="V1131">
            <v>0</v>
          </cell>
          <cell r="W1131">
            <v>0</v>
          </cell>
          <cell r="X1131">
            <v>0</v>
          </cell>
          <cell r="Z1131">
            <v>0</v>
          </cell>
          <cell r="AB1131">
            <v>0</v>
          </cell>
          <cell r="AD1131">
            <v>0</v>
          </cell>
          <cell r="AF1131">
            <v>0</v>
          </cell>
        </row>
        <row r="1132">
          <cell r="A1132">
            <v>1131</v>
          </cell>
          <cell r="C1132" t="e">
            <v>#N/A</v>
          </cell>
          <cell r="D1132" t="e">
            <v>#N/A</v>
          </cell>
          <cell r="E1132" t="e">
            <v>#N/A</v>
          </cell>
          <cell r="F1132" t="e">
            <v>#N/A</v>
          </cell>
          <cell r="G1132" t="e">
            <v>#N/A</v>
          </cell>
          <cell r="O1132" t="e">
            <v>#N/A</v>
          </cell>
          <cell r="S1132">
            <v>0</v>
          </cell>
          <cell r="T1132">
            <v>3138400</v>
          </cell>
          <cell r="V1132">
            <v>0</v>
          </cell>
          <cell r="W1132">
            <v>0</v>
          </cell>
          <cell r="X1132">
            <v>0</v>
          </cell>
          <cell r="Z1132">
            <v>0</v>
          </cell>
          <cell r="AB1132">
            <v>0</v>
          </cell>
          <cell r="AD1132">
            <v>0</v>
          </cell>
          <cell r="AF1132">
            <v>0</v>
          </cell>
        </row>
        <row r="1133">
          <cell r="A1133">
            <v>1132</v>
          </cell>
          <cell r="C1133" t="e">
            <v>#N/A</v>
          </cell>
          <cell r="D1133" t="e">
            <v>#N/A</v>
          </cell>
          <cell r="E1133" t="e">
            <v>#N/A</v>
          </cell>
          <cell r="F1133" t="e">
            <v>#N/A</v>
          </cell>
          <cell r="G1133" t="e">
            <v>#N/A</v>
          </cell>
          <cell r="O1133" t="e">
            <v>#N/A</v>
          </cell>
          <cell r="S1133">
            <v>0</v>
          </cell>
          <cell r="T1133">
            <v>3138400</v>
          </cell>
          <cell r="V1133">
            <v>0</v>
          </cell>
          <cell r="W1133">
            <v>0</v>
          </cell>
          <cell r="X1133">
            <v>0</v>
          </cell>
          <cell r="Z1133">
            <v>0</v>
          </cell>
          <cell r="AB1133">
            <v>0</v>
          </cell>
          <cell r="AD1133">
            <v>0</v>
          </cell>
          <cell r="AF1133">
            <v>0</v>
          </cell>
        </row>
        <row r="1134">
          <cell r="A1134">
            <v>1133</v>
          </cell>
          <cell r="C1134" t="e">
            <v>#N/A</v>
          </cell>
          <cell r="D1134" t="e">
            <v>#N/A</v>
          </cell>
          <cell r="E1134" t="e">
            <v>#N/A</v>
          </cell>
          <cell r="F1134" t="e">
            <v>#N/A</v>
          </cell>
          <cell r="G1134" t="e">
            <v>#N/A</v>
          </cell>
          <cell r="O1134" t="e">
            <v>#N/A</v>
          </cell>
          <cell r="S1134">
            <v>0</v>
          </cell>
          <cell r="T1134">
            <v>3138400</v>
          </cell>
          <cell r="V1134">
            <v>0</v>
          </cell>
          <cell r="W1134">
            <v>0</v>
          </cell>
          <cell r="X1134">
            <v>0</v>
          </cell>
          <cell r="Z1134">
            <v>0</v>
          </cell>
          <cell r="AB1134">
            <v>0</v>
          </cell>
          <cell r="AD1134">
            <v>0</v>
          </cell>
          <cell r="AF1134">
            <v>0</v>
          </cell>
        </row>
        <row r="1135">
          <cell r="A1135">
            <v>1134</v>
          </cell>
          <cell r="C1135" t="e">
            <v>#N/A</v>
          </cell>
          <cell r="D1135" t="e">
            <v>#N/A</v>
          </cell>
          <cell r="E1135" t="e">
            <v>#N/A</v>
          </cell>
          <cell r="F1135" t="e">
            <v>#N/A</v>
          </cell>
          <cell r="G1135" t="e">
            <v>#N/A</v>
          </cell>
          <cell r="O1135" t="e">
            <v>#N/A</v>
          </cell>
          <cell r="S1135">
            <v>0</v>
          </cell>
          <cell r="T1135">
            <v>3138400</v>
          </cell>
          <cell r="V1135">
            <v>0</v>
          </cell>
          <cell r="W1135">
            <v>0</v>
          </cell>
          <cell r="X1135">
            <v>0</v>
          </cell>
          <cell r="Z1135">
            <v>0</v>
          </cell>
          <cell r="AB1135">
            <v>0</v>
          </cell>
          <cell r="AD1135">
            <v>0</v>
          </cell>
          <cell r="AF1135">
            <v>0</v>
          </cell>
        </row>
        <row r="1136">
          <cell r="A1136">
            <v>1135</v>
          </cell>
          <cell r="C1136" t="e">
            <v>#N/A</v>
          </cell>
          <cell r="D1136" t="e">
            <v>#N/A</v>
          </cell>
          <cell r="E1136" t="e">
            <v>#N/A</v>
          </cell>
          <cell r="F1136" t="e">
            <v>#N/A</v>
          </cell>
          <cell r="G1136" t="e">
            <v>#N/A</v>
          </cell>
          <cell r="O1136" t="e">
            <v>#N/A</v>
          </cell>
          <cell r="S1136">
            <v>0</v>
          </cell>
          <cell r="T1136">
            <v>3138400</v>
          </cell>
          <cell r="V1136">
            <v>0</v>
          </cell>
          <cell r="W1136">
            <v>0</v>
          </cell>
          <cell r="X1136">
            <v>0</v>
          </cell>
          <cell r="Z1136">
            <v>0</v>
          </cell>
          <cell r="AB1136">
            <v>0</v>
          </cell>
          <cell r="AD1136">
            <v>0</v>
          </cell>
          <cell r="AF1136">
            <v>0</v>
          </cell>
        </row>
        <row r="1137">
          <cell r="A1137">
            <v>1136</v>
          </cell>
          <cell r="C1137" t="e">
            <v>#N/A</v>
          </cell>
          <cell r="D1137" t="e">
            <v>#N/A</v>
          </cell>
          <cell r="E1137" t="e">
            <v>#N/A</v>
          </cell>
          <cell r="F1137" t="e">
            <v>#N/A</v>
          </cell>
          <cell r="G1137" t="e">
            <v>#N/A</v>
          </cell>
          <cell r="O1137" t="e">
            <v>#N/A</v>
          </cell>
          <cell r="S1137">
            <v>0</v>
          </cell>
          <cell r="T1137">
            <v>3138400</v>
          </cell>
          <cell r="V1137">
            <v>0</v>
          </cell>
          <cell r="W1137">
            <v>0</v>
          </cell>
          <cell r="X1137">
            <v>0</v>
          </cell>
          <cell r="Z1137">
            <v>0</v>
          </cell>
          <cell r="AB1137">
            <v>0</v>
          </cell>
          <cell r="AD1137">
            <v>0</v>
          </cell>
          <cell r="AF1137">
            <v>0</v>
          </cell>
        </row>
        <row r="1138">
          <cell r="A1138">
            <v>1137</v>
          </cell>
          <cell r="C1138" t="e">
            <v>#N/A</v>
          </cell>
          <cell r="D1138" t="e">
            <v>#N/A</v>
          </cell>
          <cell r="E1138" t="e">
            <v>#N/A</v>
          </cell>
          <cell r="F1138" t="e">
            <v>#N/A</v>
          </cell>
          <cell r="G1138" t="e">
            <v>#N/A</v>
          </cell>
          <cell r="O1138" t="e">
            <v>#N/A</v>
          </cell>
          <cell r="S1138">
            <v>0</v>
          </cell>
          <cell r="T1138">
            <v>3138400</v>
          </cell>
          <cell r="V1138">
            <v>0</v>
          </cell>
          <cell r="W1138">
            <v>0</v>
          </cell>
          <cell r="X1138">
            <v>0</v>
          </cell>
          <cell r="Z1138">
            <v>0</v>
          </cell>
          <cell r="AB1138">
            <v>0</v>
          </cell>
          <cell r="AD1138">
            <v>0</v>
          </cell>
          <cell r="AF1138">
            <v>0</v>
          </cell>
        </row>
        <row r="1139">
          <cell r="A1139">
            <v>1138</v>
          </cell>
          <cell r="C1139" t="e">
            <v>#N/A</v>
          </cell>
          <cell r="D1139" t="e">
            <v>#N/A</v>
          </cell>
          <cell r="E1139" t="e">
            <v>#N/A</v>
          </cell>
          <cell r="F1139" t="e">
            <v>#N/A</v>
          </cell>
          <cell r="G1139" t="e">
            <v>#N/A</v>
          </cell>
          <cell r="O1139" t="e">
            <v>#N/A</v>
          </cell>
          <cell r="S1139">
            <v>0</v>
          </cell>
          <cell r="T1139">
            <v>3138400</v>
          </cell>
          <cell r="U1139" t="str">
            <v>ya</v>
          </cell>
          <cell r="V1139" t="e">
            <v>#N/A</v>
          </cell>
          <cell r="W1139" t="e">
            <v>#N/A</v>
          </cell>
          <cell r="X1139" t="e">
            <v>#N/A</v>
          </cell>
          <cell r="Z1139">
            <v>0</v>
          </cell>
          <cell r="AB1139">
            <v>0</v>
          </cell>
          <cell r="AD1139">
            <v>0</v>
          </cell>
          <cell r="AF1139">
            <v>0</v>
          </cell>
        </row>
        <row r="1140">
          <cell r="A1140">
            <v>1139</v>
          </cell>
          <cell r="C1140" t="e">
            <v>#N/A</v>
          </cell>
          <cell r="D1140" t="e">
            <v>#N/A</v>
          </cell>
          <cell r="E1140" t="e">
            <v>#N/A</v>
          </cell>
          <cell r="F1140" t="e">
            <v>#N/A</v>
          </cell>
          <cell r="G1140" t="e">
            <v>#N/A</v>
          </cell>
          <cell r="O1140" t="e">
            <v>#N/A</v>
          </cell>
          <cell r="S1140">
            <v>0</v>
          </cell>
          <cell r="T1140">
            <v>3138400</v>
          </cell>
          <cell r="U1140" t="str">
            <v>ya</v>
          </cell>
          <cell r="V1140" t="e">
            <v>#N/A</v>
          </cell>
          <cell r="W1140" t="e">
            <v>#N/A</v>
          </cell>
          <cell r="X1140" t="e">
            <v>#N/A</v>
          </cell>
          <cell r="Z1140">
            <v>0</v>
          </cell>
          <cell r="AB1140">
            <v>0</v>
          </cell>
          <cell r="AD1140">
            <v>0</v>
          </cell>
          <cell r="AF1140">
            <v>0</v>
          </cell>
        </row>
        <row r="1141">
          <cell r="A1141">
            <v>1140</v>
          </cell>
          <cell r="C1141" t="e">
            <v>#N/A</v>
          </cell>
          <cell r="D1141" t="e">
            <v>#N/A</v>
          </cell>
          <cell r="E1141" t="e">
            <v>#N/A</v>
          </cell>
          <cell r="F1141" t="e">
            <v>#N/A</v>
          </cell>
          <cell r="G1141" t="e">
            <v>#N/A</v>
          </cell>
          <cell r="O1141" t="e">
            <v>#N/A</v>
          </cell>
          <cell r="S1141">
            <v>0</v>
          </cell>
          <cell r="T1141">
            <v>3138400</v>
          </cell>
          <cell r="U1141" t="str">
            <v>ya</v>
          </cell>
          <cell r="V1141" t="e">
            <v>#N/A</v>
          </cell>
          <cell r="W1141" t="e">
            <v>#N/A</v>
          </cell>
          <cell r="X1141" t="e">
            <v>#N/A</v>
          </cell>
          <cell r="Z1141">
            <v>0</v>
          </cell>
          <cell r="AB1141">
            <v>0</v>
          </cell>
          <cell r="AD1141">
            <v>0</v>
          </cell>
          <cell r="AF1141">
            <v>0</v>
          </cell>
        </row>
        <row r="1142">
          <cell r="A1142">
            <v>1141</v>
          </cell>
          <cell r="C1142" t="e">
            <v>#N/A</v>
          </cell>
          <cell r="D1142" t="e">
            <v>#N/A</v>
          </cell>
          <cell r="E1142" t="e">
            <v>#N/A</v>
          </cell>
          <cell r="F1142" t="e">
            <v>#N/A</v>
          </cell>
          <cell r="G1142" t="e">
            <v>#N/A</v>
          </cell>
          <cell r="O1142" t="e">
            <v>#N/A</v>
          </cell>
          <cell r="S1142">
            <v>0</v>
          </cell>
          <cell r="T1142">
            <v>3138400</v>
          </cell>
          <cell r="U1142" t="str">
            <v>ya</v>
          </cell>
          <cell r="V1142" t="e">
            <v>#N/A</v>
          </cell>
          <cell r="W1142" t="e">
            <v>#N/A</v>
          </cell>
          <cell r="X1142" t="e">
            <v>#N/A</v>
          </cell>
          <cell r="Z1142">
            <v>0</v>
          </cell>
          <cell r="AB1142">
            <v>0</v>
          </cell>
          <cell r="AD1142">
            <v>0</v>
          </cell>
          <cell r="AF1142">
            <v>0</v>
          </cell>
        </row>
        <row r="1143">
          <cell r="A1143">
            <v>1142</v>
          </cell>
          <cell r="C1143" t="e">
            <v>#N/A</v>
          </cell>
          <cell r="D1143" t="e">
            <v>#N/A</v>
          </cell>
          <cell r="E1143" t="e">
            <v>#N/A</v>
          </cell>
          <cell r="F1143" t="e">
            <v>#N/A</v>
          </cell>
          <cell r="G1143" t="e">
            <v>#N/A</v>
          </cell>
          <cell r="O1143" t="e">
            <v>#N/A</v>
          </cell>
          <cell r="S1143">
            <v>0</v>
          </cell>
          <cell r="T1143">
            <v>3138400</v>
          </cell>
          <cell r="U1143" t="str">
            <v>ya</v>
          </cell>
          <cell r="V1143" t="e">
            <v>#N/A</v>
          </cell>
          <cell r="W1143" t="e">
            <v>#N/A</v>
          </cell>
          <cell r="X1143" t="e">
            <v>#N/A</v>
          </cell>
          <cell r="Z1143">
            <v>0</v>
          </cell>
          <cell r="AB1143">
            <v>0</v>
          </cell>
          <cell r="AD1143">
            <v>0</v>
          </cell>
          <cell r="AF1143">
            <v>0</v>
          </cell>
        </row>
        <row r="1144">
          <cell r="A1144">
            <v>1143</v>
          </cell>
          <cell r="C1144" t="e">
            <v>#N/A</v>
          </cell>
          <cell r="D1144" t="e">
            <v>#N/A</v>
          </cell>
          <cell r="E1144" t="e">
            <v>#N/A</v>
          </cell>
          <cell r="F1144" t="e">
            <v>#N/A</v>
          </cell>
          <cell r="G1144" t="e">
            <v>#N/A</v>
          </cell>
          <cell r="O1144" t="e">
            <v>#N/A</v>
          </cell>
          <cell r="S1144">
            <v>0</v>
          </cell>
          <cell r="T1144">
            <v>3138400</v>
          </cell>
          <cell r="U1144" t="str">
            <v>ya</v>
          </cell>
          <cell r="V1144" t="e">
            <v>#N/A</v>
          </cell>
          <cell r="W1144" t="e">
            <v>#N/A</v>
          </cell>
          <cell r="X1144" t="e">
            <v>#N/A</v>
          </cell>
          <cell r="Z1144">
            <v>0</v>
          </cell>
          <cell r="AB1144">
            <v>0</v>
          </cell>
          <cell r="AD1144">
            <v>0</v>
          </cell>
          <cell r="AF1144">
            <v>0</v>
          </cell>
        </row>
        <row r="1145">
          <cell r="A1145">
            <v>1144</v>
          </cell>
          <cell r="C1145" t="e">
            <v>#N/A</v>
          </cell>
          <cell r="D1145" t="e">
            <v>#N/A</v>
          </cell>
          <cell r="E1145" t="e">
            <v>#N/A</v>
          </cell>
          <cell r="F1145" t="e">
            <v>#N/A</v>
          </cell>
          <cell r="G1145" t="e">
            <v>#N/A</v>
          </cell>
          <cell r="O1145" t="e">
            <v>#N/A</v>
          </cell>
          <cell r="S1145">
            <v>0</v>
          </cell>
          <cell r="T1145">
            <v>3138400</v>
          </cell>
          <cell r="U1145" t="str">
            <v>ya</v>
          </cell>
          <cell r="V1145" t="e">
            <v>#N/A</v>
          </cell>
          <cell r="W1145" t="e">
            <v>#N/A</v>
          </cell>
          <cell r="X1145" t="e">
            <v>#N/A</v>
          </cell>
          <cell r="Z1145">
            <v>0</v>
          </cell>
          <cell r="AB1145">
            <v>0</v>
          </cell>
          <cell r="AD1145">
            <v>0</v>
          </cell>
          <cell r="AF1145">
            <v>0</v>
          </cell>
        </row>
        <row r="1146">
          <cell r="A1146">
            <v>1145</v>
          </cell>
          <cell r="C1146" t="e">
            <v>#N/A</v>
          </cell>
          <cell r="D1146" t="e">
            <v>#N/A</v>
          </cell>
          <cell r="E1146" t="e">
            <v>#N/A</v>
          </cell>
          <cell r="F1146" t="e">
            <v>#N/A</v>
          </cell>
          <cell r="G1146" t="e">
            <v>#N/A</v>
          </cell>
          <cell r="O1146" t="e">
            <v>#N/A</v>
          </cell>
          <cell r="S1146">
            <v>0</v>
          </cell>
          <cell r="T1146">
            <v>3138400</v>
          </cell>
          <cell r="U1146" t="str">
            <v>ya</v>
          </cell>
          <cell r="V1146" t="e">
            <v>#N/A</v>
          </cell>
          <cell r="W1146" t="e">
            <v>#N/A</v>
          </cell>
          <cell r="X1146" t="e">
            <v>#N/A</v>
          </cell>
          <cell r="Z1146">
            <v>0</v>
          </cell>
          <cell r="AB1146">
            <v>0</v>
          </cell>
          <cell r="AD1146">
            <v>0</v>
          </cell>
          <cell r="AF1146">
            <v>0</v>
          </cell>
        </row>
        <row r="1147">
          <cell r="A1147">
            <v>1146</v>
          </cell>
          <cell r="C1147" t="e">
            <v>#N/A</v>
          </cell>
          <cell r="D1147" t="e">
            <v>#N/A</v>
          </cell>
          <cell r="E1147" t="e">
            <v>#N/A</v>
          </cell>
          <cell r="F1147" t="e">
            <v>#N/A</v>
          </cell>
          <cell r="G1147" t="e">
            <v>#N/A</v>
          </cell>
          <cell r="O1147" t="e">
            <v>#N/A</v>
          </cell>
          <cell r="S1147">
            <v>0</v>
          </cell>
          <cell r="T1147">
            <v>3138400</v>
          </cell>
          <cell r="U1147" t="str">
            <v>ya</v>
          </cell>
          <cell r="V1147" t="e">
            <v>#N/A</v>
          </cell>
          <cell r="W1147" t="e">
            <v>#N/A</v>
          </cell>
          <cell r="X1147" t="e">
            <v>#N/A</v>
          </cell>
          <cell r="Z1147">
            <v>0</v>
          </cell>
          <cell r="AB1147">
            <v>0</v>
          </cell>
          <cell r="AD1147">
            <v>0</v>
          </cell>
          <cell r="AF1147">
            <v>0</v>
          </cell>
        </row>
        <row r="1148">
          <cell r="A1148">
            <v>1147</v>
          </cell>
          <cell r="C1148" t="e">
            <v>#N/A</v>
          </cell>
          <cell r="D1148" t="e">
            <v>#N/A</v>
          </cell>
          <cell r="E1148" t="e">
            <v>#N/A</v>
          </cell>
          <cell r="F1148" t="e">
            <v>#N/A</v>
          </cell>
          <cell r="G1148" t="e">
            <v>#N/A</v>
          </cell>
          <cell r="O1148" t="e">
            <v>#N/A</v>
          </cell>
          <cell r="S1148">
            <v>0</v>
          </cell>
          <cell r="T1148">
            <v>3138400</v>
          </cell>
          <cell r="U1148" t="str">
            <v>ya</v>
          </cell>
          <cell r="V1148" t="e">
            <v>#N/A</v>
          </cell>
          <cell r="W1148" t="e">
            <v>#N/A</v>
          </cell>
          <cell r="X1148" t="e">
            <v>#N/A</v>
          </cell>
          <cell r="Z1148">
            <v>0</v>
          </cell>
          <cell r="AB1148">
            <v>0</v>
          </cell>
          <cell r="AD1148">
            <v>0</v>
          </cell>
          <cell r="AF1148">
            <v>0</v>
          </cell>
        </row>
        <row r="1149">
          <cell r="A1149">
            <v>1148</v>
          </cell>
          <cell r="C1149" t="e">
            <v>#N/A</v>
          </cell>
          <cell r="D1149" t="e">
            <v>#N/A</v>
          </cell>
          <cell r="E1149" t="e">
            <v>#N/A</v>
          </cell>
          <cell r="F1149" t="e">
            <v>#N/A</v>
          </cell>
          <cell r="G1149" t="e">
            <v>#N/A</v>
          </cell>
          <cell r="O1149" t="e">
            <v>#N/A</v>
          </cell>
          <cell r="S1149">
            <v>0</v>
          </cell>
          <cell r="T1149">
            <v>3138400</v>
          </cell>
          <cell r="U1149" t="str">
            <v>ya</v>
          </cell>
          <cell r="V1149" t="e">
            <v>#N/A</v>
          </cell>
          <cell r="W1149" t="e">
            <v>#N/A</v>
          </cell>
          <cell r="X1149" t="e">
            <v>#N/A</v>
          </cell>
          <cell r="Z1149">
            <v>0</v>
          </cell>
          <cell r="AB1149">
            <v>0</v>
          </cell>
          <cell r="AD1149">
            <v>0</v>
          </cell>
          <cell r="AF1149">
            <v>0</v>
          </cell>
        </row>
        <row r="1150">
          <cell r="A1150">
            <v>1149</v>
          </cell>
          <cell r="C1150" t="e">
            <v>#N/A</v>
          </cell>
          <cell r="D1150" t="e">
            <v>#N/A</v>
          </cell>
          <cell r="E1150" t="e">
            <v>#N/A</v>
          </cell>
          <cell r="F1150" t="e">
            <v>#N/A</v>
          </cell>
          <cell r="G1150" t="e">
            <v>#N/A</v>
          </cell>
          <cell r="O1150" t="e">
            <v>#N/A</v>
          </cell>
          <cell r="S1150">
            <v>0</v>
          </cell>
          <cell r="T1150">
            <v>3138400</v>
          </cell>
          <cell r="U1150" t="str">
            <v>ya</v>
          </cell>
          <cell r="V1150" t="e">
            <v>#N/A</v>
          </cell>
          <cell r="W1150" t="e">
            <v>#N/A</v>
          </cell>
          <cell r="X1150" t="e">
            <v>#N/A</v>
          </cell>
          <cell r="Z1150">
            <v>0</v>
          </cell>
          <cell r="AB1150">
            <v>0</v>
          </cell>
          <cell r="AD1150">
            <v>0</v>
          </cell>
          <cell r="AF1150">
            <v>0</v>
          </cell>
        </row>
        <row r="1151">
          <cell r="A1151">
            <v>1150</v>
          </cell>
          <cell r="C1151" t="e">
            <v>#N/A</v>
          </cell>
          <cell r="D1151" t="e">
            <v>#N/A</v>
          </cell>
          <cell r="E1151" t="e">
            <v>#N/A</v>
          </cell>
          <cell r="F1151" t="e">
            <v>#N/A</v>
          </cell>
          <cell r="G1151" t="e">
            <v>#N/A</v>
          </cell>
          <cell r="O1151" t="e">
            <v>#N/A</v>
          </cell>
          <cell r="S1151">
            <v>0</v>
          </cell>
          <cell r="T1151">
            <v>3138400</v>
          </cell>
          <cell r="U1151" t="str">
            <v>ya</v>
          </cell>
          <cell r="V1151" t="e">
            <v>#N/A</v>
          </cell>
          <cell r="W1151" t="e">
            <v>#N/A</v>
          </cell>
          <cell r="X1151" t="e">
            <v>#N/A</v>
          </cell>
          <cell r="Z1151">
            <v>0</v>
          </cell>
          <cell r="AB1151">
            <v>0</v>
          </cell>
          <cell r="AD1151">
            <v>0</v>
          </cell>
          <cell r="AF1151">
            <v>0</v>
          </cell>
        </row>
        <row r="1152">
          <cell r="A1152">
            <v>1151</v>
          </cell>
          <cell r="C1152" t="e">
            <v>#N/A</v>
          </cell>
          <cell r="D1152" t="e">
            <v>#N/A</v>
          </cell>
          <cell r="E1152" t="e">
            <v>#N/A</v>
          </cell>
          <cell r="F1152" t="e">
            <v>#N/A</v>
          </cell>
          <cell r="G1152" t="e">
            <v>#N/A</v>
          </cell>
          <cell r="O1152" t="e">
            <v>#N/A</v>
          </cell>
          <cell r="S1152">
            <v>0</v>
          </cell>
          <cell r="T1152">
            <v>3138400</v>
          </cell>
          <cell r="U1152" t="str">
            <v>ya</v>
          </cell>
          <cell r="V1152" t="e">
            <v>#N/A</v>
          </cell>
          <cell r="W1152" t="e">
            <v>#N/A</v>
          </cell>
          <cell r="X1152" t="e">
            <v>#N/A</v>
          </cell>
          <cell r="Z1152">
            <v>0</v>
          </cell>
          <cell r="AB1152">
            <v>0</v>
          </cell>
          <cell r="AD1152">
            <v>0</v>
          </cell>
          <cell r="AF1152">
            <v>0</v>
          </cell>
        </row>
        <row r="1153">
          <cell r="A1153">
            <v>1152</v>
          </cell>
          <cell r="C1153" t="e">
            <v>#N/A</v>
          </cell>
          <cell r="D1153" t="e">
            <v>#N/A</v>
          </cell>
          <cell r="E1153" t="e">
            <v>#N/A</v>
          </cell>
          <cell r="F1153" t="e">
            <v>#N/A</v>
          </cell>
          <cell r="G1153" t="e">
            <v>#N/A</v>
          </cell>
          <cell r="O1153" t="e">
            <v>#N/A</v>
          </cell>
          <cell r="S1153">
            <v>0</v>
          </cell>
          <cell r="T1153">
            <v>3138400</v>
          </cell>
          <cell r="U1153" t="str">
            <v>ya</v>
          </cell>
          <cell r="V1153" t="e">
            <v>#N/A</v>
          </cell>
          <cell r="W1153" t="e">
            <v>#N/A</v>
          </cell>
          <cell r="X1153" t="e">
            <v>#N/A</v>
          </cell>
          <cell r="Z1153">
            <v>0</v>
          </cell>
          <cell r="AB1153">
            <v>0</v>
          </cell>
          <cell r="AD1153">
            <v>0</v>
          </cell>
          <cell r="AF1153">
            <v>0</v>
          </cell>
        </row>
        <row r="1154">
          <cell r="A1154">
            <v>1153</v>
          </cell>
          <cell r="C1154" t="e">
            <v>#N/A</v>
          </cell>
          <cell r="D1154" t="e">
            <v>#N/A</v>
          </cell>
          <cell r="E1154" t="e">
            <v>#N/A</v>
          </cell>
          <cell r="F1154" t="e">
            <v>#N/A</v>
          </cell>
          <cell r="G1154" t="e">
            <v>#N/A</v>
          </cell>
          <cell r="O1154" t="e">
            <v>#N/A</v>
          </cell>
          <cell r="S1154">
            <v>0</v>
          </cell>
          <cell r="T1154">
            <v>3138400</v>
          </cell>
          <cell r="U1154" t="str">
            <v>ya</v>
          </cell>
          <cell r="V1154" t="e">
            <v>#N/A</v>
          </cell>
          <cell r="W1154" t="e">
            <v>#N/A</v>
          </cell>
          <cell r="X1154" t="e">
            <v>#N/A</v>
          </cell>
          <cell r="Z1154">
            <v>0</v>
          </cell>
          <cell r="AB1154">
            <v>0</v>
          </cell>
          <cell r="AD1154">
            <v>0</v>
          </cell>
          <cell r="AF1154">
            <v>0</v>
          </cell>
        </row>
        <row r="1155">
          <cell r="A1155">
            <v>1154</v>
          </cell>
          <cell r="C1155" t="e">
            <v>#N/A</v>
          </cell>
          <cell r="D1155" t="e">
            <v>#N/A</v>
          </cell>
          <cell r="E1155" t="e">
            <v>#N/A</v>
          </cell>
          <cell r="F1155" t="e">
            <v>#N/A</v>
          </cell>
          <cell r="G1155" t="e">
            <v>#N/A</v>
          </cell>
          <cell r="O1155" t="e">
            <v>#N/A</v>
          </cell>
          <cell r="S1155">
            <v>0</v>
          </cell>
          <cell r="T1155">
            <v>3138400</v>
          </cell>
          <cell r="U1155" t="str">
            <v>ya</v>
          </cell>
          <cell r="V1155" t="e">
            <v>#N/A</v>
          </cell>
          <cell r="W1155" t="e">
            <v>#N/A</v>
          </cell>
          <cell r="X1155" t="e">
            <v>#N/A</v>
          </cell>
          <cell r="Z1155">
            <v>0</v>
          </cell>
          <cell r="AB1155">
            <v>0</v>
          </cell>
          <cell r="AD1155">
            <v>0</v>
          </cell>
          <cell r="AF1155">
            <v>0</v>
          </cell>
        </row>
        <row r="1156">
          <cell r="A1156">
            <v>1155</v>
          </cell>
          <cell r="C1156" t="e">
            <v>#N/A</v>
          </cell>
          <cell r="D1156" t="e">
            <v>#N/A</v>
          </cell>
          <cell r="E1156" t="e">
            <v>#N/A</v>
          </cell>
          <cell r="F1156" t="e">
            <v>#N/A</v>
          </cell>
          <cell r="G1156" t="e">
            <v>#N/A</v>
          </cell>
          <cell r="O1156" t="e">
            <v>#N/A</v>
          </cell>
          <cell r="S1156">
            <v>0</v>
          </cell>
          <cell r="T1156">
            <v>3138400</v>
          </cell>
          <cell r="U1156" t="str">
            <v>ya</v>
          </cell>
          <cell r="V1156" t="e">
            <v>#N/A</v>
          </cell>
          <cell r="W1156" t="e">
            <v>#N/A</v>
          </cell>
          <cell r="X1156" t="e">
            <v>#N/A</v>
          </cell>
          <cell r="Z1156">
            <v>0</v>
          </cell>
          <cell r="AB1156">
            <v>0</v>
          </cell>
          <cell r="AD1156">
            <v>0</v>
          </cell>
          <cell r="AF1156">
            <v>0</v>
          </cell>
        </row>
        <row r="1157">
          <cell r="A1157">
            <v>1156</v>
          </cell>
          <cell r="C1157" t="e">
            <v>#N/A</v>
          </cell>
          <cell r="D1157" t="e">
            <v>#N/A</v>
          </cell>
          <cell r="E1157" t="e">
            <v>#N/A</v>
          </cell>
          <cell r="F1157" t="e">
            <v>#N/A</v>
          </cell>
          <cell r="G1157" t="e">
            <v>#N/A</v>
          </cell>
          <cell r="O1157" t="e">
            <v>#N/A</v>
          </cell>
          <cell r="S1157">
            <v>0</v>
          </cell>
          <cell r="T1157">
            <v>3138400</v>
          </cell>
          <cell r="V1157">
            <v>0</v>
          </cell>
          <cell r="W1157">
            <v>0</v>
          </cell>
          <cell r="X1157">
            <v>0</v>
          </cell>
          <cell r="Z1157">
            <v>0</v>
          </cell>
          <cell r="AB1157">
            <v>0</v>
          </cell>
          <cell r="AD1157">
            <v>0</v>
          </cell>
          <cell r="AF1157">
            <v>0</v>
          </cell>
        </row>
        <row r="1158">
          <cell r="A1158">
            <v>1157</v>
          </cell>
          <cell r="C1158" t="e">
            <v>#N/A</v>
          </cell>
          <cell r="D1158" t="e">
            <v>#N/A</v>
          </cell>
          <cell r="E1158" t="e">
            <v>#N/A</v>
          </cell>
          <cell r="F1158" t="e">
            <v>#N/A</v>
          </cell>
          <cell r="G1158" t="e">
            <v>#N/A</v>
          </cell>
          <cell r="O1158" t="e">
            <v>#N/A</v>
          </cell>
          <cell r="S1158">
            <v>0</v>
          </cell>
          <cell r="T1158">
            <v>3138400</v>
          </cell>
          <cell r="V1158">
            <v>0</v>
          </cell>
          <cell r="W1158">
            <v>0</v>
          </cell>
          <cell r="X1158">
            <v>0</v>
          </cell>
          <cell r="Z1158">
            <v>0</v>
          </cell>
          <cell r="AB1158">
            <v>0</v>
          </cell>
          <cell r="AD1158">
            <v>0</v>
          </cell>
          <cell r="AF1158">
            <v>0</v>
          </cell>
        </row>
        <row r="1159">
          <cell r="A1159">
            <v>1158</v>
          </cell>
          <cell r="C1159" t="e">
            <v>#N/A</v>
          </cell>
          <cell r="D1159" t="e">
            <v>#N/A</v>
          </cell>
          <cell r="E1159" t="e">
            <v>#N/A</v>
          </cell>
          <cell r="F1159" t="e">
            <v>#N/A</v>
          </cell>
          <cell r="G1159" t="e">
            <v>#N/A</v>
          </cell>
          <cell r="O1159" t="e">
            <v>#N/A</v>
          </cell>
          <cell r="S1159">
            <v>0</v>
          </cell>
          <cell r="T1159">
            <v>3138400</v>
          </cell>
          <cell r="V1159">
            <v>0</v>
          </cell>
          <cell r="W1159">
            <v>0</v>
          </cell>
          <cell r="X1159">
            <v>0</v>
          </cell>
          <cell r="Z1159">
            <v>0</v>
          </cell>
          <cell r="AB1159">
            <v>0</v>
          </cell>
          <cell r="AD1159">
            <v>0</v>
          </cell>
          <cell r="AF1159">
            <v>0</v>
          </cell>
        </row>
        <row r="1160">
          <cell r="A1160">
            <v>1159</v>
          </cell>
          <cell r="C1160" t="e">
            <v>#N/A</v>
          </cell>
          <cell r="D1160" t="e">
            <v>#N/A</v>
          </cell>
          <cell r="E1160" t="e">
            <v>#N/A</v>
          </cell>
          <cell r="F1160" t="e">
            <v>#N/A</v>
          </cell>
          <cell r="G1160" t="e">
            <v>#N/A</v>
          </cell>
          <cell r="O1160" t="e">
            <v>#N/A</v>
          </cell>
          <cell r="S1160">
            <v>0</v>
          </cell>
          <cell r="T1160">
            <v>3138400</v>
          </cell>
          <cell r="V1160">
            <v>0</v>
          </cell>
          <cell r="W1160">
            <v>0</v>
          </cell>
          <cell r="X1160">
            <v>0</v>
          </cell>
          <cell r="Z1160">
            <v>0</v>
          </cell>
          <cell r="AB1160">
            <v>0</v>
          </cell>
          <cell r="AD1160">
            <v>0</v>
          </cell>
          <cell r="AF1160">
            <v>0</v>
          </cell>
        </row>
        <row r="1161">
          <cell r="A1161">
            <v>1160</v>
          </cell>
          <cell r="C1161" t="e">
            <v>#N/A</v>
          </cell>
          <cell r="D1161" t="e">
            <v>#N/A</v>
          </cell>
          <cell r="E1161" t="e">
            <v>#N/A</v>
          </cell>
          <cell r="F1161" t="e">
            <v>#N/A</v>
          </cell>
          <cell r="G1161" t="e">
            <v>#N/A</v>
          </cell>
          <cell r="O1161" t="e">
            <v>#N/A</v>
          </cell>
          <cell r="S1161">
            <v>0</v>
          </cell>
          <cell r="T1161">
            <v>3138400</v>
          </cell>
          <cell r="V1161">
            <v>0</v>
          </cell>
          <cell r="W1161">
            <v>0</v>
          </cell>
          <cell r="X1161">
            <v>0</v>
          </cell>
          <cell r="Z1161">
            <v>0</v>
          </cell>
          <cell r="AB1161">
            <v>0</v>
          </cell>
          <cell r="AD1161">
            <v>0</v>
          </cell>
          <cell r="AF1161">
            <v>0</v>
          </cell>
        </row>
        <row r="1162">
          <cell r="A1162">
            <v>1161</v>
          </cell>
          <cell r="C1162" t="e">
            <v>#N/A</v>
          </cell>
          <cell r="D1162" t="e">
            <v>#N/A</v>
          </cell>
          <cell r="E1162" t="e">
            <v>#N/A</v>
          </cell>
          <cell r="F1162" t="e">
            <v>#N/A</v>
          </cell>
          <cell r="G1162" t="e">
            <v>#N/A</v>
          </cell>
          <cell r="O1162" t="e">
            <v>#N/A</v>
          </cell>
          <cell r="S1162">
            <v>0</v>
          </cell>
          <cell r="T1162">
            <v>3138400</v>
          </cell>
          <cell r="V1162">
            <v>0</v>
          </cell>
          <cell r="W1162">
            <v>0</v>
          </cell>
          <cell r="X1162">
            <v>0</v>
          </cell>
          <cell r="Z1162">
            <v>0</v>
          </cell>
          <cell r="AB1162">
            <v>0</v>
          </cell>
          <cell r="AD1162">
            <v>0</v>
          </cell>
          <cell r="AF1162">
            <v>0</v>
          </cell>
        </row>
        <row r="1163">
          <cell r="A1163">
            <v>1162</v>
          </cell>
          <cell r="C1163" t="e">
            <v>#N/A</v>
          </cell>
          <cell r="D1163" t="e">
            <v>#N/A</v>
          </cell>
          <cell r="E1163" t="e">
            <v>#N/A</v>
          </cell>
          <cell r="F1163" t="e">
            <v>#N/A</v>
          </cell>
          <cell r="G1163" t="e">
            <v>#N/A</v>
          </cell>
          <cell r="O1163" t="e">
            <v>#N/A</v>
          </cell>
          <cell r="S1163">
            <v>0</v>
          </cell>
          <cell r="T1163">
            <v>3138400</v>
          </cell>
          <cell r="V1163">
            <v>0</v>
          </cell>
          <cell r="W1163">
            <v>0</v>
          </cell>
          <cell r="X1163">
            <v>0</v>
          </cell>
          <cell r="Z1163">
            <v>0</v>
          </cell>
          <cell r="AB1163">
            <v>0</v>
          </cell>
          <cell r="AD1163">
            <v>0</v>
          </cell>
          <cell r="AF1163">
            <v>0</v>
          </cell>
        </row>
        <row r="1164">
          <cell r="A1164">
            <v>1163</v>
          </cell>
          <cell r="C1164" t="e">
            <v>#N/A</v>
          </cell>
          <cell r="D1164" t="e">
            <v>#N/A</v>
          </cell>
          <cell r="E1164" t="e">
            <v>#N/A</v>
          </cell>
          <cell r="F1164" t="e">
            <v>#N/A</v>
          </cell>
          <cell r="G1164" t="e">
            <v>#N/A</v>
          </cell>
          <cell r="O1164" t="e">
            <v>#N/A</v>
          </cell>
          <cell r="S1164">
            <v>0</v>
          </cell>
          <cell r="T1164">
            <v>3138400</v>
          </cell>
          <cell r="V1164">
            <v>0</v>
          </cell>
          <cell r="W1164">
            <v>0</v>
          </cell>
          <cell r="X1164">
            <v>0</v>
          </cell>
          <cell r="Z1164">
            <v>0</v>
          </cell>
          <cell r="AB1164">
            <v>0</v>
          </cell>
          <cell r="AD1164">
            <v>0</v>
          </cell>
          <cell r="AF1164">
            <v>0</v>
          </cell>
        </row>
        <row r="1165">
          <cell r="A1165">
            <v>1164</v>
          </cell>
          <cell r="C1165" t="e">
            <v>#N/A</v>
          </cell>
          <cell r="D1165" t="e">
            <v>#N/A</v>
          </cell>
          <cell r="E1165" t="e">
            <v>#N/A</v>
          </cell>
          <cell r="F1165" t="e">
            <v>#N/A</v>
          </cell>
          <cell r="G1165" t="e">
            <v>#N/A</v>
          </cell>
          <cell r="O1165" t="e">
            <v>#N/A</v>
          </cell>
          <cell r="S1165">
            <v>0</v>
          </cell>
          <cell r="T1165">
            <v>3138400</v>
          </cell>
          <cell r="V1165">
            <v>0</v>
          </cell>
          <cell r="W1165">
            <v>0</v>
          </cell>
          <cell r="X1165">
            <v>0</v>
          </cell>
          <cell r="Z1165">
            <v>0</v>
          </cell>
          <cell r="AB1165">
            <v>0</v>
          </cell>
          <cell r="AD1165">
            <v>0</v>
          </cell>
          <cell r="AF1165">
            <v>0</v>
          </cell>
        </row>
        <row r="1166">
          <cell r="A1166">
            <v>1165</v>
          </cell>
          <cell r="C1166" t="e">
            <v>#N/A</v>
          </cell>
          <cell r="D1166" t="e">
            <v>#N/A</v>
          </cell>
          <cell r="E1166" t="e">
            <v>#N/A</v>
          </cell>
          <cell r="F1166" t="e">
            <v>#N/A</v>
          </cell>
          <cell r="G1166" t="e">
            <v>#N/A</v>
          </cell>
          <cell r="O1166" t="e">
            <v>#N/A</v>
          </cell>
          <cell r="S1166">
            <v>0</v>
          </cell>
          <cell r="T1166">
            <v>3138400</v>
          </cell>
          <cell r="V1166">
            <v>0</v>
          </cell>
          <cell r="W1166">
            <v>0</v>
          </cell>
          <cell r="X1166">
            <v>0</v>
          </cell>
          <cell r="Z1166">
            <v>0</v>
          </cell>
          <cell r="AB1166">
            <v>0</v>
          </cell>
          <cell r="AD1166">
            <v>0</v>
          </cell>
          <cell r="AF1166">
            <v>0</v>
          </cell>
        </row>
        <row r="1167">
          <cell r="A1167">
            <v>1166</v>
          </cell>
          <cell r="C1167" t="e">
            <v>#N/A</v>
          </cell>
          <cell r="D1167" t="e">
            <v>#N/A</v>
          </cell>
          <cell r="E1167" t="e">
            <v>#N/A</v>
          </cell>
          <cell r="F1167" t="e">
            <v>#N/A</v>
          </cell>
          <cell r="G1167" t="e">
            <v>#N/A</v>
          </cell>
          <cell r="O1167" t="e">
            <v>#N/A</v>
          </cell>
          <cell r="S1167">
            <v>0</v>
          </cell>
          <cell r="T1167">
            <v>3138400</v>
          </cell>
          <cell r="V1167">
            <v>0</v>
          </cell>
          <cell r="W1167">
            <v>0</v>
          </cell>
          <cell r="X1167">
            <v>0</v>
          </cell>
          <cell r="Z1167">
            <v>0</v>
          </cell>
          <cell r="AB1167">
            <v>0</v>
          </cell>
          <cell r="AD1167">
            <v>0</v>
          </cell>
          <cell r="AF1167">
            <v>0</v>
          </cell>
        </row>
        <row r="1168">
          <cell r="A1168">
            <v>1167</v>
          </cell>
          <cell r="C1168" t="e">
            <v>#N/A</v>
          </cell>
          <cell r="D1168" t="e">
            <v>#N/A</v>
          </cell>
          <cell r="E1168" t="e">
            <v>#N/A</v>
          </cell>
          <cell r="F1168" t="e">
            <v>#N/A</v>
          </cell>
          <cell r="G1168" t="e">
            <v>#N/A</v>
          </cell>
          <cell r="O1168" t="e">
            <v>#N/A</v>
          </cell>
          <cell r="S1168">
            <v>0</v>
          </cell>
          <cell r="T1168">
            <v>3138400</v>
          </cell>
          <cell r="V1168">
            <v>0</v>
          </cell>
          <cell r="W1168">
            <v>0</v>
          </cell>
          <cell r="X1168">
            <v>0</v>
          </cell>
          <cell r="Z1168">
            <v>0</v>
          </cell>
          <cell r="AB1168">
            <v>0</v>
          </cell>
          <cell r="AD1168">
            <v>0</v>
          </cell>
          <cell r="AF1168">
            <v>0</v>
          </cell>
        </row>
        <row r="1169">
          <cell r="A1169">
            <v>1168</v>
          </cell>
          <cell r="C1169" t="e">
            <v>#N/A</v>
          </cell>
          <cell r="D1169" t="e">
            <v>#N/A</v>
          </cell>
          <cell r="E1169" t="e">
            <v>#N/A</v>
          </cell>
          <cell r="F1169" t="e">
            <v>#N/A</v>
          </cell>
          <cell r="G1169" t="e">
            <v>#N/A</v>
          </cell>
          <cell r="O1169" t="e">
            <v>#N/A</v>
          </cell>
          <cell r="S1169">
            <v>0</v>
          </cell>
          <cell r="T1169">
            <v>3138400</v>
          </cell>
          <cell r="V1169">
            <v>0</v>
          </cell>
          <cell r="W1169">
            <v>0</v>
          </cell>
          <cell r="X1169">
            <v>0</v>
          </cell>
          <cell r="Z1169">
            <v>0</v>
          </cell>
          <cell r="AB1169">
            <v>0</v>
          </cell>
          <cell r="AD1169">
            <v>0</v>
          </cell>
          <cell r="AF1169">
            <v>0</v>
          </cell>
        </row>
        <row r="1170">
          <cell r="A1170">
            <v>1169</v>
          </cell>
          <cell r="C1170" t="e">
            <v>#N/A</v>
          </cell>
          <cell r="D1170" t="e">
            <v>#N/A</v>
          </cell>
          <cell r="E1170" t="e">
            <v>#N/A</v>
          </cell>
          <cell r="F1170" t="e">
            <v>#N/A</v>
          </cell>
          <cell r="G1170" t="e">
            <v>#N/A</v>
          </cell>
          <cell r="O1170" t="e">
            <v>#N/A</v>
          </cell>
          <cell r="S1170">
            <v>0</v>
          </cell>
          <cell r="T1170">
            <v>3138400</v>
          </cell>
          <cell r="V1170">
            <v>0</v>
          </cell>
          <cell r="W1170">
            <v>0</v>
          </cell>
          <cell r="X1170">
            <v>0</v>
          </cell>
          <cell r="Z1170">
            <v>0</v>
          </cell>
          <cell r="AB1170">
            <v>0</v>
          </cell>
          <cell r="AD1170">
            <v>0</v>
          </cell>
          <cell r="AF1170">
            <v>0</v>
          </cell>
        </row>
        <row r="1171">
          <cell r="A1171">
            <v>1170</v>
          </cell>
          <cell r="C1171" t="e">
            <v>#N/A</v>
          </cell>
          <cell r="D1171" t="e">
            <v>#N/A</v>
          </cell>
          <cell r="E1171" t="e">
            <v>#N/A</v>
          </cell>
          <cell r="F1171" t="e">
            <v>#N/A</v>
          </cell>
          <cell r="G1171" t="e">
            <v>#N/A</v>
          </cell>
          <cell r="O1171" t="e">
            <v>#N/A</v>
          </cell>
          <cell r="S1171">
            <v>0</v>
          </cell>
          <cell r="T1171">
            <v>3138400</v>
          </cell>
          <cell r="V1171">
            <v>0</v>
          </cell>
          <cell r="W1171">
            <v>0</v>
          </cell>
          <cell r="X1171">
            <v>0</v>
          </cell>
          <cell r="Z1171">
            <v>0</v>
          </cell>
          <cell r="AB1171">
            <v>0</v>
          </cell>
          <cell r="AD1171">
            <v>0</v>
          </cell>
          <cell r="AF1171">
            <v>0</v>
          </cell>
        </row>
        <row r="1172">
          <cell r="A1172">
            <v>1171</v>
          </cell>
          <cell r="C1172" t="e">
            <v>#N/A</v>
          </cell>
          <cell r="D1172" t="e">
            <v>#N/A</v>
          </cell>
          <cell r="E1172" t="e">
            <v>#N/A</v>
          </cell>
          <cell r="F1172" t="e">
            <v>#N/A</v>
          </cell>
          <cell r="G1172" t="e">
            <v>#N/A</v>
          </cell>
          <cell r="O1172" t="e">
            <v>#N/A</v>
          </cell>
          <cell r="S1172">
            <v>0</v>
          </cell>
          <cell r="T1172">
            <v>3138400</v>
          </cell>
          <cell r="V1172">
            <v>0</v>
          </cell>
          <cell r="W1172">
            <v>0</v>
          </cell>
          <cell r="X1172">
            <v>0</v>
          </cell>
          <cell r="Z1172">
            <v>0</v>
          </cell>
          <cell r="AB1172">
            <v>0</v>
          </cell>
          <cell r="AD1172">
            <v>0</v>
          </cell>
          <cell r="AF1172">
            <v>0</v>
          </cell>
        </row>
        <row r="1173">
          <cell r="A1173">
            <v>1172</v>
          </cell>
          <cell r="C1173" t="e">
            <v>#N/A</v>
          </cell>
          <cell r="D1173" t="e">
            <v>#N/A</v>
          </cell>
          <cell r="E1173" t="e">
            <v>#N/A</v>
          </cell>
          <cell r="F1173" t="e">
            <v>#N/A</v>
          </cell>
          <cell r="G1173" t="e">
            <v>#N/A</v>
          </cell>
          <cell r="O1173" t="e">
            <v>#N/A</v>
          </cell>
          <cell r="S1173">
            <v>0</v>
          </cell>
          <cell r="T1173">
            <v>3138400</v>
          </cell>
          <cell r="V1173">
            <v>0</v>
          </cell>
          <cell r="W1173">
            <v>0</v>
          </cell>
          <cell r="X1173">
            <v>0</v>
          </cell>
          <cell r="Z1173">
            <v>0</v>
          </cell>
          <cell r="AB1173">
            <v>0</v>
          </cell>
          <cell r="AD1173">
            <v>0</v>
          </cell>
          <cell r="AF1173">
            <v>0</v>
          </cell>
        </row>
        <row r="1174">
          <cell r="A1174">
            <v>1173</v>
          </cell>
          <cell r="C1174" t="e">
            <v>#N/A</v>
          </cell>
          <cell r="D1174" t="e">
            <v>#N/A</v>
          </cell>
          <cell r="E1174" t="e">
            <v>#N/A</v>
          </cell>
          <cell r="F1174" t="e">
            <v>#N/A</v>
          </cell>
          <cell r="G1174" t="e">
            <v>#N/A</v>
          </cell>
          <cell r="O1174" t="e">
            <v>#N/A</v>
          </cell>
          <cell r="S1174">
            <v>0</v>
          </cell>
          <cell r="T1174">
            <v>3138400</v>
          </cell>
          <cell r="V1174">
            <v>0</v>
          </cell>
          <cell r="W1174">
            <v>0</v>
          </cell>
          <cell r="X1174">
            <v>0</v>
          </cell>
          <cell r="Z1174">
            <v>0</v>
          </cell>
          <cell r="AB1174">
            <v>0</v>
          </cell>
          <cell r="AD1174">
            <v>0</v>
          </cell>
          <cell r="AF1174">
            <v>0</v>
          </cell>
        </row>
        <row r="1175">
          <cell r="A1175">
            <v>1174</v>
          </cell>
          <cell r="C1175" t="e">
            <v>#N/A</v>
          </cell>
          <cell r="D1175" t="e">
            <v>#N/A</v>
          </cell>
          <cell r="E1175" t="e">
            <v>#N/A</v>
          </cell>
          <cell r="F1175" t="e">
            <v>#N/A</v>
          </cell>
          <cell r="G1175" t="e">
            <v>#N/A</v>
          </cell>
          <cell r="O1175" t="e">
            <v>#N/A</v>
          </cell>
          <cell r="S1175">
            <v>0</v>
          </cell>
          <cell r="T1175">
            <v>3138400</v>
          </cell>
          <cell r="U1175" t="str">
            <v>ya</v>
          </cell>
          <cell r="V1175" t="e">
            <v>#N/A</v>
          </cell>
          <cell r="W1175" t="e">
            <v>#N/A</v>
          </cell>
          <cell r="X1175" t="e">
            <v>#N/A</v>
          </cell>
          <cell r="Z1175">
            <v>0</v>
          </cell>
          <cell r="AB1175">
            <v>0</v>
          </cell>
          <cell r="AD1175">
            <v>0</v>
          </cell>
          <cell r="AF1175">
            <v>0</v>
          </cell>
        </row>
        <row r="1176">
          <cell r="A1176">
            <v>1175</v>
          </cell>
          <cell r="C1176" t="e">
            <v>#N/A</v>
          </cell>
          <cell r="D1176" t="e">
            <v>#N/A</v>
          </cell>
          <cell r="E1176" t="e">
            <v>#N/A</v>
          </cell>
          <cell r="F1176" t="e">
            <v>#N/A</v>
          </cell>
          <cell r="G1176" t="e">
            <v>#N/A</v>
          </cell>
          <cell r="O1176" t="e">
            <v>#N/A</v>
          </cell>
          <cell r="S1176">
            <v>0</v>
          </cell>
          <cell r="T1176">
            <v>3138400</v>
          </cell>
          <cell r="U1176" t="str">
            <v>ya</v>
          </cell>
          <cell r="V1176" t="e">
            <v>#N/A</v>
          </cell>
          <cell r="W1176" t="e">
            <v>#N/A</v>
          </cell>
          <cell r="X1176" t="e">
            <v>#N/A</v>
          </cell>
          <cell r="Z1176">
            <v>0</v>
          </cell>
          <cell r="AB1176">
            <v>0</v>
          </cell>
          <cell r="AD1176">
            <v>0</v>
          </cell>
          <cell r="AF1176">
            <v>0</v>
          </cell>
        </row>
        <row r="1177">
          <cell r="A1177">
            <v>1176</v>
          </cell>
          <cell r="C1177" t="e">
            <v>#N/A</v>
          </cell>
          <cell r="D1177" t="e">
            <v>#N/A</v>
          </cell>
          <cell r="E1177" t="e">
            <v>#N/A</v>
          </cell>
          <cell r="F1177" t="e">
            <v>#N/A</v>
          </cell>
          <cell r="G1177" t="e">
            <v>#N/A</v>
          </cell>
          <cell r="O1177" t="e">
            <v>#N/A</v>
          </cell>
          <cell r="S1177">
            <v>0</v>
          </cell>
          <cell r="T1177">
            <v>3138400</v>
          </cell>
          <cell r="U1177" t="str">
            <v>ya</v>
          </cell>
          <cell r="V1177" t="e">
            <v>#N/A</v>
          </cell>
          <cell r="W1177" t="e">
            <v>#N/A</v>
          </cell>
          <cell r="X1177" t="e">
            <v>#N/A</v>
          </cell>
          <cell r="Z1177">
            <v>0</v>
          </cell>
          <cell r="AB1177">
            <v>0</v>
          </cell>
          <cell r="AD1177">
            <v>0</v>
          </cell>
          <cell r="AF1177">
            <v>0</v>
          </cell>
        </row>
        <row r="1178">
          <cell r="A1178">
            <v>1177</v>
          </cell>
          <cell r="C1178" t="e">
            <v>#N/A</v>
          </cell>
          <cell r="D1178" t="e">
            <v>#N/A</v>
          </cell>
          <cell r="E1178" t="e">
            <v>#N/A</v>
          </cell>
          <cell r="F1178" t="e">
            <v>#N/A</v>
          </cell>
          <cell r="G1178" t="e">
            <v>#N/A</v>
          </cell>
          <cell r="O1178" t="e">
            <v>#N/A</v>
          </cell>
          <cell r="S1178">
            <v>0</v>
          </cell>
          <cell r="T1178">
            <v>3138400</v>
          </cell>
          <cell r="U1178" t="str">
            <v>ya</v>
          </cell>
          <cell r="V1178" t="e">
            <v>#N/A</v>
          </cell>
          <cell r="W1178" t="e">
            <v>#N/A</v>
          </cell>
          <cell r="X1178" t="e">
            <v>#N/A</v>
          </cell>
          <cell r="Z1178">
            <v>0</v>
          </cell>
          <cell r="AB1178">
            <v>0</v>
          </cell>
          <cell r="AD1178">
            <v>0</v>
          </cell>
          <cell r="AF1178">
            <v>0</v>
          </cell>
        </row>
        <row r="1179">
          <cell r="A1179">
            <v>1178</v>
          </cell>
          <cell r="C1179" t="e">
            <v>#N/A</v>
          </cell>
          <cell r="D1179" t="e">
            <v>#N/A</v>
          </cell>
          <cell r="E1179" t="e">
            <v>#N/A</v>
          </cell>
          <cell r="F1179" t="e">
            <v>#N/A</v>
          </cell>
          <cell r="G1179" t="e">
            <v>#N/A</v>
          </cell>
          <cell r="O1179" t="e">
            <v>#N/A</v>
          </cell>
          <cell r="S1179">
            <v>0</v>
          </cell>
          <cell r="T1179">
            <v>3138400</v>
          </cell>
          <cell r="U1179" t="str">
            <v>ya</v>
          </cell>
          <cell r="V1179" t="e">
            <v>#N/A</v>
          </cell>
          <cell r="W1179" t="e">
            <v>#N/A</v>
          </cell>
          <cell r="X1179" t="e">
            <v>#N/A</v>
          </cell>
          <cell r="Z1179">
            <v>0</v>
          </cell>
          <cell r="AB1179">
            <v>0</v>
          </cell>
          <cell r="AD1179">
            <v>0</v>
          </cell>
          <cell r="AF1179">
            <v>0</v>
          </cell>
        </row>
        <row r="1180">
          <cell r="A1180">
            <v>1179</v>
          </cell>
          <cell r="C1180" t="e">
            <v>#N/A</v>
          </cell>
          <cell r="D1180" t="e">
            <v>#N/A</v>
          </cell>
          <cell r="E1180" t="e">
            <v>#N/A</v>
          </cell>
          <cell r="F1180" t="e">
            <v>#N/A</v>
          </cell>
          <cell r="G1180" t="e">
            <v>#N/A</v>
          </cell>
          <cell r="O1180" t="e">
            <v>#N/A</v>
          </cell>
          <cell r="S1180">
            <v>0</v>
          </cell>
          <cell r="T1180">
            <v>3138400</v>
          </cell>
          <cell r="U1180" t="str">
            <v>ya</v>
          </cell>
          <cell r="V1180" t="e">
            <v>#N/A</v>
          </cell>
          <cell r="W1180" t="e">
            <v>#N/A</v>
          </cell>
          <cell r="X1180" t="e">
            <v>#N/A</v>
          </cell>
          <cell r="Z1180">
            <v>0</v>
          </cell>
          <cell r="AB1180">
            <v>0</v>
          </cell>
          <cell r="AD1180">
            <v>0</v>
          </cell>
          <cell r="AF1180">
            <v>0</v>
          </cell>
        </row>
        <row r="1181">
          <cell r="A1181">
            <v>1180</v>
          </cell>
          <cell r="C1181" t="e">
            <v>#N/A</v>
          </cell>
          <cell r="D1181" t="e">
            <v>#N/A</v>
          </cell>
          <cell r="E1181" t="e">
            <v>#N/A</v>
          </cell>
          <cell r="F1181" t="e">
            <v>#N/A</v>
          </cell>
          <cell r="G1181" t="e">
            <v>#N/A</v>
          </cell>
          <cell r="O1181" t="e">
            <v>#N/A</v>
          </cell>
          <cell r="S1181">
            <v>0</v>
          </cell>
          <cell r="T1181">
            <v>3138400</v>
          </cell>
          <cell r="U1181" t="str">
            <v>ya</v>
          </cell>
          <cell r="V1181" t="e">
            <v>#N/A</v>
          </cell>
          <cell r="W1181" t="e">
            <v>#N/A</v>
          </cell>
          <cell r="X1181" t="e">
            <v>#N/A</v>
          </cell>
          <cell r="Z1181">
            <v>0</v>
          </cell>
          <cell r="AB1181">
            <v>0</v>
          </cell>
          <cell r="AD1181">
            <v>0</v>
          </cell>
          <cell r="AF1181">
            <v>0</v>
          </cell>
        </row>
        <row r="1182">
          <cell r="A1182">
            <v>1181</v>
          </cell>
          <cell r="C1182" t="e">
            <v>#N/A</v>
          </cell>
          <cell r="D1182" t="e">
            <v>#N/A</v>
          </cell>
          <cell r="E1182" t="e">
            <v>#N/A</v>
          </cell>
          <cell r="F1182" t="e">
            <v>#N/A</v>
          </cell>
          <cell r="G1182" t="e">
            <v>#N/A</v>
          </cell>
          <cell r="O1182" t="e">
            <v>#N/A</v>
          </cell>
          <cell r="S1182">
            <v>0</v>
          </cell>
          <cell r="T1182">
            <v>3138400</v>
          </cell>
          <cell r="V1182">
            <v>0</v>
          </cell>
          <cell r="W1182">
            <v>0</v>
          </cell>
          <cell r="X1182">
            <v>0</v>
          </cell>
          <cell r="Z1182">
            <v>0</v>
          </cell>
          <cell r="AB1182">
            <v>0</v>
          </cell>
          <cell r="AD1182">
            <v>0</v>
          </cell>
          <cell r="AF1182">
            <v>0</v>
          </cell>
        </row>
        <row r="1183">
          <cell r="A1183">
            <v>1182</v>
          </cell>
          <cell r="C1183" t="e">
            <v>#N/A</v>
          </cell>
          <cell r="D1183" t="e">
            <v>#N/A</v>
          </cell>
          <cell r="E1183" t="e">
            <v>#N/A</v>
          </cell>
          <cell r="F1183" t="e">
            <v>#N/A</v>
          </cell>
          <cell r="G1183" t="e">
            <v>#N/A</v>
          </cell>
          <cell r="O1183" t="e">
            <v>#N/A</v>
          </cell>
          <cell r="S1183">
            <v>0</v>
          </cell>
          <cell r="T1183">
            <v>3138400</v>
          </cell>
          <cell r="V1183">
            <v>0</v>
          </cell>
          <cell r="W1183">
            <v>0</v>
          </cell>
          <cell r="X1183">
            <v>0</v>
          </cell>
          <cell r="Z1183">
            <v>0</v>
          </cell>
          <cell r="AB1183">
            <v>0</v>
          </cell>
          <cell r="AD1183">
            <v>0</v>
          </cell>
          <cell r="AF1183">
            <v>0</v>
          </cell>
        </row>
        <row r="1184">
          <cell r="A1184">
            <v>1183</v>
          </cell>
          <cell r="C1184" t="e">
            <v>#N/A</v>
          </cell>
          <cell r="D1184" t="e">
            <v>#N/A</v>
          </cell>
          <cell r="E1184" t="e">
            <v>#N/A</v>
          </cell>
          <cell r="F1184" t="e">
            <v>#N/A</v>
          </cell>
          <cell r="G1184" t="e">
            <v>#N/A</v>
          </cell>
          <cell r="O1184" t="e">
            <v>#N/A</v>
          </cell>
          <cell r="S1184">
            <v>0</v>
          </cell>
          <cell r="T1184">
            <v>3138400</v>
          </cell>
          <cell r="U1184" t="str">
            <v>ya</v>
          </cell>
          <cell r="V1184" t="e">
            <v>#N/A</v>
          </cell>
          <cell r="W1184" t="e">
            <v>#N/A</v>
          </cell>
          <cell r="X1184" t="e">
            <v>#N/A</v>
          </cell>
          <cell r="Z1184">
            <v>0</v>
          </cell>
          <cell r="AB1184">
            <v>0</v>
          </cell>
          <cell r="AD1184">
            <v>0</v>
          </cell>
          <cell r="AF1184">
            <v>0</v>
          </cell>
        </row>
        <row r="1185">
          <cell r="A1185">
            <v>1184</v>
          </cell>
          <cell r="C1185" t="e">
            <v>#N/A</v>
          </cell>
          <cell r="D1185" t="e">
            <v>#N/A</v>
          </cell>
          <cell r="E1185" t="e">
            <v>#N/A</v>
          </cell>
          <cell r="F1185" t="e">
            <v>#N/A</v>
          </cell>
          <cell r="G1185" t="e">
            <v>#N/A</v>
          </cell>
          <cell r="O1185" t="e">
            <v>#N/A</v>
          </cell>
          <cell r="S1185">
            <v>0</v>
          </cell>
          <cell r="T1185">
            <v>3138400</v>
          </cell>
          <cell r="V1185">
            <v>0</v>
          </cell>
          <cell r="W1185">
            <v>0</v>
          </cell>
          <cell r="X1185">
            <v>0</v>
          </cell>
          <cell r="Z1185">
            <v>0</v>
          </cell>
          <cell r="AB1185">
            <v>0</v>
          </cell>
          <cell r="AD1185">
            <v>0</v>
          </cell>
          <cell r="AF1185">
            <v>0</v>
          </cell>
        </row>
        <row r="1186">
          <cell r="A1186">
            <v>1185</v>
          </cell>
          <cell r="C1186" t="e">
            <v>#N/A</v>
          </cell>
          <cell r="D1186" t="e">
            <v>#N/A</v>
          </cell>
          <cell r="E1186" t="e">
            <v>#N/A</v>
          </cell>
          <cell r="F1186" t="e">
            <v>#N/A</v>
          </cell>
          <cell r="G1186" t="e">
            <v>#N/A</v>
          </cell>
          <cell r="O1186" t="e">
            <v>#N/A</v>
          </cell>
          <cell r="S1186">
            <v>0</v>
          </cell>
          <cell r="T1186">
            <v>3138400</v>
          </cell>
          <cell r="V1186">
            <v>0</v>
          </cell>
          <cell r="W1186">
            <v>0</v>
          </cell>
          <cell r="X1186">
            <v>0</v>
          </cell>
          <cell r="Z1186">
            <v>0</v>
          </cell>
          <cell r="AB1186">
            <v>0</v>
          </cell>
          <cell r="AD1186">
            <v>0</v>
          </cell>
          <cell r="AF1186">
            <v>0</v>
          </cell>
        </row>
        <row r="1187">
          <cell r="A1187">
            <v>1186</v>
          </cell>
          <cell r="C1187" t="e">
            <v>#N/A</v>
          </cell>
          <cell r="D1187" t="e">
            <v>#N/A</v>
          </cell>
          <cell r="E1187" t="e">
            <v>#N/A</v>
          </cell>
          <cell r="F1187" t="e">
            <v>#N/A</v>
          </cell>
          <cell r="G1187" t="e">
            <v>#N/A</v>
          </cell>
          <cell r="O1187" t="e">
            <v>#N/A</v>
          </cell>
          <cell r="S1187">
            <v>0</v>
          </cell>
          <cell r="T1187">
            <v>3138400</v>
          </cell>
          <cell r="V1187">
            <v>0</v>
          </cell>
          <cell r="W1187">
            <v>0</v>
          </cell>
          <cell r="X1187">
            <v>0</v>
          </cell>
          <cell r="Z1187">
            <v>0</v>
          </cell>
          <cell r="AB1187">
            <v>0</v>
          </cell>
          <cell r="AD1187">
            <v>0</v>
          </cell>
          <cell r="AF1187">
            <v>0</v>
          </cell>
        </row>
        <row r="1188">
          <cell r="A1188">
            <v>1187</v>
          </cell>
          <cell r="C1188" t="e">
            <v>#N/A</v>
          </cell>
          <cell r="D1188" t="e">
            <v>#N/A</v>
          </cell>
          <cell r="E1188" t="e">
            <v>#N/A</v>
          </cell>
          <cell r="F1188" t="e">
            <v>#N/A</v>
          </cell>
          <cell r="G1188" t="e">
            <v>#N/A</v>
          </cell>
          <cell r="O1188" t="e">
            <v>#N/A</v>
          </cell>
          <cell r="S1188">
            <v>0</v>
          </cell>
          <cell r="T1188">
            <v>3138400</v>
          </cell>
          <cell r="V1188">
            <v>0</v>
          </cell>
          <cell r="W1188">
            <v>0</v>
          </cell>
          <cell r="X1188">
            <v>0</v>
          </cell>
          <cell r="Z1188">
            <v>0</v>
          </cell>
          <cell r="AB1188">
            <v>0</v>
          </cell>
          <cell r="AD1188">
            <v>0</v>
          </cell>
          <cell r="AF1188">
            <v>0</v>
          </cell>
        </row>
        <row r="1189">
          <cell r="A1189">
            <v>1188</v>
          </cell>
          <cell r="C1189" t="e">
            <v>#N/A</v>
          </cell>
          <cell r="D1189" t="e">
            <v>#N/A</v>
          </cell>
          <cell r="E1189" t="e">
            <v>#N/A</v>
          </cell>
          <cell r="F1189" t="e">
            <v>#N/A</v>
          </cell>
          <cell r="G1189" t="e">
            <v>#N/A</v>
          </cell>
          <cell r="O1189" t="e">
            <v>#N/A</v>
          </cell>
          <cell r="S1189">
            <v>0</v>
          </cell>
          <cell r="T1189">
            <v>3138400</v>
          </cell>
          <cell r="V1189">
            <v>0</v>
          </cell>
          <cell r="W1189">
            <v>0</v>
          </cell>
          <cell r="X1189">
            <v>0</v>
          </cell>
          <cell r="Z1189">
            <v>0</v>
          </cell>
          <cell r="AB1189">
            <v>0</v>
          </cell>
          <cell r="AD1189">
            <v>0</v>
          </cell>
          <cell r="AF1189">
            <v>0</v>
          </cell>
        </row>
        <row r="1190">
          <cell r="A1190">
            <v>1189</v>
          </cell>
          <cell r="C1190" t="e">
            <v>#N/A</v>
          </cell>
          <cell r="D1190" t="e">
            <v>#N/A</v>
          </cell>
          <cell r="E1190" t="e">
            <v>#N/A</v>
          </cell>
          <cell r="F1190" t="e">
            <v>#N/A</v>
          </cell>
          <cell r="G1190" t="e">
            <v>#N/A</v>
          </cell>
          <cell r="O1190" t="e">
            <v>#N/A</v>
          </cell>
          <cell r="S1190">
            <v>0</v>
          </cell>
          <cell r="T1190">
            <v>3138400</v>
          </cell>
          <cell r="V1190">
            <v>0</v>
          </cell>
          <cell r="W1190">
            <v>0</v>
          </cell>
          <cell r="X1190">
            <v>0</v>
          </cell>
          <cell r="Z1190">
            <v>0</v>
          </cell>
          <cell r="AB1190">
            <v>0</v>
          </cell>
          <cell r="AD1190">
            <v>0</v>
          </cell>
          <cell r="AF1190">
            <v>0</v>
          </cell>
        </row>
        <row r="1191">
          <cell r="A1191">
            <v>1190</v>
          </cell>
          <cell r="C1191" t="e">
            <v>#N/A</v>
          </cell>
          <cell r="D1191" t="e">
            <v>#N/A</v>
          </cell>
          <cell r="E1191" t="e">
            <v>#N/A</v>
          </cell>
          <cell r="F1191" t="e">
            <v>#N/A</v>
          </cell>
          <cell r="G1191" t="e">
            <v>#N/A</v>
          </cell>
          <cell r="O1191" t="e">
            <v>#N/A</v>
          </cell>
          <cell r="S1191">
            <v>0</v>
          </cell>
          <cell r="T1191">
            <v>3138400</v>
          </cell>
          <cell r="V1191">
            <v>0</v>
          </cell>
          <cell r="W1191">
            <v>0</v>
          </cell>
          <cell r="X1191">
            <v>0</v>
          </cell>
          <cell r="Z1191">
            <v>0</v>
          </cell>
          <cell r="AB1191">
            <v>0</v>
          </cell>
          <cell r="AD1191">
            <v>0</v>
          </cell>
          <cell r="AF1191">
            <v>0</v>
          </cell>
        </row>
        <row r="1192">
          <cell r="A1192">
            <v>1191</v>
          </cell>
          <cell r="C1192" t="e">
            <v>#N/A</v>
          </cell>
          <cell r="D1192" t="e">
            <v>#N/A</v>
          </cell>
          <cell r="E1192" t="e">
            <v>#N/A</v>
          </cell>
          <cell r="F1192" t="e">
            <v>#N/A</v>
          </cell>
          <cell r="G1192" t="e">
            <v>#N/A</v>
          </cell>
          <cell r="O1192" t="e">
            <v>#N/A</v>
          </cell>
          <cell r="S1192">
            <v>0</v>
          </cell>
          <cell r="T1192">
            <v>3138400</v>
          </cell>
          <cell r="V1192">
            <v>0</v>
          </cell>
          <cell r="W1192">
            <v>0</v>
          </cell>
          <cell r="X1192">
            <v>0</v>
          </cell>
          <cell r="Z1192">
            <v>0</v>
          </cell>
          <cell r="AB1192">
            <v>0</v>
          </cell>
          <cell r="AD1192">
            <v>0</v>
          </cell>
          <cell r="AF1192">
            <v>0</v>
          </cell>
        </row>
        <row r="1193">
          <cell r="A1193">
            <v>1192</v>
          </cell>
          <cell r="C1193" t="e">
            <v>#N/A</v>
          </cell>
          <cell r="D1193" t="e">
            <v>#N/A</v>
          </cell>
          <cell r="E1193" t="e">
            <v>#N/A</v>
          </cell>
          <cell r="F1193" t="e">
            <v>#N/A</v>
          </cell>
          <cell r="G1193" t="e">
            <v>#N/A</v>
          </cell>
          <cell r="O1193" t="e">
            <v>#N/A</v>
          </cell>
          <cell r="S1193">
            <v>0</v>
          </cell>
          <cell r="T1193">
            <v>3138400</v>
          </cell>
          <cell r="V1193">
            <v>0</v>
          </cell>
          <cell r="W1193">
            <v>0</v>
          </cell>
          <cell r="X1193">
            <v>0</v>
          </cell>
          <cell r="Z1193">
            <v>0</v>
          </cell>
          <cell r="AB1193">
            <v>0</v>
          </cell>
          <cell r="AD1193">
            <v>0</v>
          </cell>
          <cell r="AF1193">
            <v>0</v>
          </cell>
        </row>
        <row r="1194">
          <cell r="A1194">
            <v>1193</v>
          </cell>
          <cell r="C1194" t="e">
            <v>#N/A</v>
          </cell>
          <cell r="D1194" t="e">
            <v>#N/A</v>
          </cell>
          <cell r="E1194" t="e">
            <v>#N/A</v>
          </cell>
          <cell r="F1194" t="e">
            <v>#N/A</v>
          </cell>
          <cell r="G1194" t="e">
            <v>#N/A</v>
          </cell>
          <cell r="O1194" t="e">
            <v>#N/A</v>
          </cell>
          <cell r="S1194">
            <v>0</v>
          </cell>
          <cell r="T1194">
            <v>3138400</v>
          </cell>
          <cell r="V1194">
            <v>0</v>
          </cell>
          <cell r="W1194">
            <v>0</v>
          </cell>
          <cell r="X1194">
            <v>0</v>
          </cell>
          <cell r="Z1194">
            <v>0</v>
          </cell>
          <cell r="AB1194">
            <v>0</v>
          </cell>
          <cell r="AD1194">
            <v>0</v>
          </cell>
          <cell r="AF1194">
            <v>0</v>
          </cell>
        </row>
        <row r="1195">
          <cell r="A1195">
            <v>1194</v>
          </cell>
          <cell r="C1195" t="e">
            <v>#N/A</v>
          </cell>
          <cell r="D1195" t="e">
            <v>#N/A</v>
          </cell>
          <cell r="E1195" t="e">
            <v>#N/A</v>
          </cell>
          <cell r="F1195" t="e">
            <v>#N/A</v>
          </cell>
          <cell r="G1195" t="e">
            <v>#N/A</v>
          </cell>
          <cell r="O1195" t="e">
            <v>#N/A</v>
          </cell>
          <cell r="S1195">
            <v>0</v>
          </cell>
          <cell r="T1195">
            <v>3138400</v>
          </cell>
          <cell r="V1195">
            <v>0</v>
          </cell>
          <cell r="W1195">
            <v>0</v>
          </cell>
          <cell r="X1195">
            <v>0</v>
          </cell>
          <cell r="Z1195">
            <v>0</v>
          </cell>
          <cell r="AB1195">
            <v>0</v>
          </cell>
          <cell r="AD1195">
            <v>0</v>
          </cell>
          <cell r="AF1195">
            <v>0</v>
          </cell>
        </row>
        <row r="1196">
          <cell r="A1196">
            <v>1195</v>
          </cell>
          <cell r="C1196" t="e">
            <v>#N/A</v>
          </cell>
          <cell r="D1196" t="e">
            <v>#N/A</v>
          </cell>
          <cell r="E1196" t="e">
            <v>#N/A</v>
          </cell>
          <cell r="F1196" t="e">
            <v>#N/A</v>
          </cell>
          <cell r="G1196" t="e">
            <v>#N/A</v>
          </cell>
          <cell r="O1196" t="e">
            <v>#N/A</v>
          </cell>
          <cell r="S1196">
            <v>0</v>
          </cell>
          <cell r="T1196">
            <v>3138400</v>
          </cell>
          <cell r="V1196">
            <v>0</v>
          </cell>
          <cell r="W1196">
            <v>0</v>
          </cell>
          <cell r="X1196">
            <v>0</v>
          </cell>
          <cell r="Z1196">
            <v>0</v>
          </cell>
          <cell r="AB1196">
            <v>0</v>
          </cell>
          <cell r="AD1196">
            <v>0</v>
          </cell>
          <cell r="AF1196">
            <v>0</v>
          </cell>
        </row>
        <row r="1197">
          <cell r="A1197">
            <v>1196</v>
          </cell>
          <cell r="C1197" t="e">
            <v>#N/A</v>
          </cell>
          <cell r="D1197" t="e">
            <v>#N/A</v>
          </cell>
          <cell r="E1197" t="e">
            <v>#N/A</v>
          </cell>
          <cell r="F1197" t="e">
            <v>#N/A</v>
          </cell>
          <cell r="G1197" t="e">
            <v>#N/A</v>
          </cell>
          <cell r="O1197" t="e">
            <v>#N/A</v>
          </cell>
          <cell r="S1197">
            <v>0</v>
          </cell>
          <cell r="T1197">
            <v>3138400</v>
          </cell>
          <cell r="U1197" t="str">
            <v>ya</v>
          </cell>
          <cell r="V1197" t="e">
            <v>#N/A</v>
          </cell>
          <cell r="W1197" t="e">
            <v>#N/A</v>
          </cell>
          <cell r="X1197" t="e">
            <v>#N/A</v>
          </cell>
          <cell r="Z1197">
            <v>0</v>
          </cell>
          <cell r="AB1197">
            <v>0</v>
          </cell>
          <cell r="AD1197">
            <v>0</v>
          </cell>
          <cell r="AF1197">
            <v>0</v>
          </cell>
        </row>
        <row r="1198">
          <cell r="A1198">
            <v>1197</v>
          </cell>
          <cell r="C1198" t="e">
            <v>#N/A</v>
          </cell>
          <cell r="D1198" t="e">
            <v>#N/A</v>
          </cell>
          <cell r="E1198" t="e">
            <v>#N/A</v>
          </cell>
          <cell r="F1198" t="e">
            <v>#N/A</v>
          </cell>
          <cell r="G1198" t="e">
            <v>#N/A</v>
          </cell>
          <cell r="O1198" t="e">
            <v>#N/A</v>
          </cell>
          <cell r="S1198">
            <v>0</v>
          </cell>
          <cell r="T1198">
            <v>3138400</v>
          </cell>
          <cell r="U1198" t="str">
            <v>ya</v>
          </cell>
          <cell r="V1198" t="e">
            <v>#N/A</v>
          </cell>
          <cell r="W1198" t="e">
            <v>#N/A</v>
          </cell>
          <cell r="X1198" t="e">
            <v>#N/A</v>
          </cell>
          <cell r="Z1198">
            <v>0</v>
          </cell>
          <cell r="AB1198">
            <v>0</v>
          </cell>
          <cell r="AD1198">
            <v>0</v>
          </cell>
          <cell r="AF1198">
            <v>0</v>
          </cell>
        </row>
        <row r="1199">
          <cell r="A1199">
            <v>1198</v>
          </cell>
          <cell r="C1199" t="e">
            <v>#N/A</v>
          </cell>
          <cell r="D1199" t="e">
            <v>#N/A</v>
          </cell>
          <cell r="E1199" t="e">
            <v>#N/A</v>
          </cell>
          <cell r="F1199" t="e">
            <v>#N/A</v>
          </cell>
          <cell r="G1199" t="e">
            <v>#N/A</v>
          </cell>
          <cell r="O1199" t="e">
            <v>#N/A</v>
          </cell>
          <cell r="S1199">
            <v>0</v>
          </cell>
          <cell r="T1199">
            <v>3138400</v>
          </cell>
          <cell r="V1199">
            <v>0</v>
          </cell>
          <cell r="W1199">
            <v>0</v>
          </cell>
          <cell r="X1199">
            <v>0</v>
          </cell>
          <cell r="Z1199">
            <v>0</v>
          </cell>
          <cell r="AB1199">
            <v>0</v>
          </cell>
          <cell r="AD1199">
            <v>0</v>
          </cell>
          <cell r="AF1199">
            <v>0</v>
          </cell>
        </row>
        <row r="1200">
          <cell r="A1200">
            <v>1199</v>
          </cell>
          <cell r="C1200" t="e">
            <v>#N/A</v>
          </cell>
          <cell r="D1200" t="e">
            <v>#N/A</v>
          </cell>
          <cell r="E1200" t="e">
            <v>#N/A</v>
          </cell>
          <cell r="F1200" t="e">
            <v>#N/A</v>
          </cell>
          <cell r="G1200" t="e">
            <v>#N/A</v>
          </cell>
          <cell r="O1200" t="e">
            <v>#N/A</v>
          </cell>
          <cell r="S1200">
            <v>0</v>
          </cell>
          <cell r="T1200">
            <v>3138400</v>
          </cell>
          <cell r="V1200">
            <v>0</v>
          </cell>
          <cell r="W1200">
            <v>0</v>
          </cell>
          <cell r="X1200">
            <v>0</v>
          </cell>
          <cell r="Z1200">
            <v>0</v>
          </cell>
          <cell r="AB1200">
            <v>0</v>
          </cell>
          <cell r="AD1200">
            <v>0</v>
          </cell>
          <cell r="AF1200">
            <v>0</v>
          </cell>
        </row>
        <row r="1201">
          <cell r="A1201">
            <v>1200</v>
          </cell>
          <cell r="C1201" t="e">
            <v>#N/A</v>
          </cell>
          <cell r="D1201" t="e">
            <v>#N/A</v>
          </cell>
          <cell r="E1201" t="e">
            <v>#N/A</v>
          </cell>
          <cell r="F1201" t="e">
            <v>#N/A</v>
          </cell>
          <cell r="G1201" t="e">
            <v>#N/A</v>
          </cell>
          <cell r="O1201" t="e">
            <v>#N/A</v>
          </cell>
          <cell r="S1201">
            <v>0</v>
          </cell>
          <cell r="T1201">
            <v>3138400</v>
          </cell>
          <cell r="V1201">
            <v>0</v>
          </cell>
          <cell r="W1201">
            <v>0</v>
          </cell>
          <cell r="X1201">
            <v>0</v>
          </cell>
          <cell r="Z1201">
            <v>0</v>
          </cell>
          <cell r="AB1201">
            <v>0</v>
          </cell>
          <cell r="AD1201">
            <v>0</v>
          </cell>
          <cell r="AF1201">
            <v>0</v>
          </cell>
        </row>
        <row r="1202">
          <cell r="A1202">
            <v>1201</v>
          </cell>
          <cell r="C1202" t="e">
            <v>#N/A</v>
          </cell>
          <cell r="D1202" t="e">
            <v>#N/A</v>
          </cell>
          <cell r="E1202" t="e">
            <v>#N/A</v>
          </cell>
          <cell r="F1202" t="e">
            <v>#N/A</v>
          </cell>
          <cell r="G1202" t="e">
            <v>#N/A</v>
          </cell>
          <cell r="O1202" t="e">
            <v>#N/A</v>
          </cell>
          <cell r="S1202">
            <v>0</v>
          </cell>
          <cell r="T1202">
            <v>3138400</v>
          </cell>
          <cell r="V1202">
            <v>0</v>
          </cell>
          <cell r="W1202">
            <v>0</v>
          </cell>
          <cell r="X1202">
            <v>0</v>
          </cell>
          <cell r="Z1202">
            <v>0</v>
          </cell>
          <cell r="AB1202">
            <v>0</v>
          </cell>
          <cell r="AD1202">
            <v>0</v>
          </cell>
          <cell r="AF1202">
            <v>0</v>
          </cell>
        </row>
        <row r="1203">
          <cell r="A1203">
            <v>1202</v>
          </cell>
          <cell r="C1203" t="e">
            <v>#N/A</v>
          </cell>
          <cell r="D1203" t="e">
            <v>#N/A</v>
          </cell>
          <cell r="E1203" t="e">
            <v>#N/A</v>
          </cell>
          <cell r="F1203" t="e">
            <v>#N/A</v>
          </cell>
          <cell r="G1203" t="e">
            <v>#N/A</v>
          </cell>
          <cell r="O1203" t="e">
            <v>#N/A</v>
          </cell>
          <cell r="S1203">
            <v>0</v>
          </cell>
          <cell r="T1203">
            <v>3138400</v>
          </cell>
          <cell r="V1203">
            <v>0</v>
          </cell>
          <cell r="W1203">
            <v>0</v>
          </cell>
          <cell r="X1203">
            <v>0</v>
          </cell>
          <cell r="Z1203">
            <v>0</v>
          </cell>
          <cell r="AB1203">
            <v>0</v>
          </cell>
          <cell r="AD1203">
            <v>0</v>
          </cell>
          <cell r="AF1203">
            <v>0</v>
          </cell>
        </row>
        <row r="1204">
          <cell r="A1204">
            <v>1203</v>
          </cell>
          <cell r="C1204" t="e">
            <v>#N/A</v>
          </cell>
          <cell r="D1204" t="e">
            <v>#N/A</v>
          </cell>
          <cell r="E1204" t="e">
            <v>#N/A</v>
          </cell>
          <cell r="F1204" t="e">
            <v>#N/A</v>
          </cell>
          <cell r="G1204" t="e">
            <v>#N/A</v>
          </cell>
          <cell r="O1204" t="e">
            <v>#N/A</v>
          </cell>
          <cell r="S1204">
            <v>0</v>
          </cell>
          <cell r="T1204">
            <v>3138400</v>
          </cell>
          <cell r="V1204">
            <v>0</v>
          </cell>
          <cell r="W1204">
            <v>0</v>
          </cell>
          <cell r="X1204">
            <v>0</v>
          </cell>
          <cell r="Z1204">
            <v>0</v>
          </cell>
          <cell r="AB1204">
            <v>0</v>
          </cell>
          <cell r="AD1204">
            <v>0</v>
          </cell>
          <cell r="AF1204">
            <v>0</v>
          </cell>
        </row>
        <row r="1205">
          <cell r="A1205">
            <v>1204</v>
          </cell>
          <cell r="C1205" t="e">
            <v>#N/A</v>
          </cell>
          <cell r="D1205" t="e">
            <v>#N/A</v>
          </cell>
          <cell r="E1205" t="e">
            <v>#N/A</v>
          </cell>
          <cell r="F1205" t="e">
            <v>#N/A</v>
          </cell>
          <cell r="G1205" t="e">
            <v>#N/A</v>
          </cell>
          <cell r="O1205" t="e">
            <v>#N/A</v>
          </cell>
          <cell r="S1205">
            <v>0</v>
          </cell>
          <cell r="T1205">
            <v>3138400</v>
          </cell>
          <cell r="V1205">
            <v>0</v>
          </cell>
          <cell r="W1205">
            <v>0</v>
          </cell>
          <cell r="X1205">
            <v>0</v>
          </cell>
          <cell r="Z1205">
            <v>0</v>
          </cell>
          <cell r="AB1205">
            <v>0</v>
          </cell>
          <cell r="AD1205">
            <v>0</v>
          </cell>
          <cell r="AF1205">
            <v>0</v>
          </cell>
        </row>
        <row r="1206">
          <cell r="A1206">
            <v>1205</v>
          </cell>
          <cell r="C1206" t="e">
            <v>#N/A</v>
          </cell>
          <cell r="D1206" t="e">
            <v>#N/A</v>
          </cell>
          <cell r="E1206" t="e">
            <v>#N/A</v>
          </cell>
          <cell r="F1206" t="e">
            <v>#N/A</v>
          </cell>
          <cell r="G1206" t="e">
            <v>#N/A</v>
          </cell>
          <cell r="O1206" t="e">
            <v>#N/A</v>
          </cell>
          <cell r="S1206">
            <v>0</v>
          </cell>
          <cell r="T1206">
            <v>3138400</v>
          </cell>
          <cell r="V1206">
            <v>0</v>
          </cell>
          <cell r="W1206">
            <v>0</v>
          </cell>
          <cell r="X1206">
            <v>0</v>
          </cell>
          <cell r="Z1206">
            <v>0</v>
          </cell>
          <cell r="AB1206">
            <v>0</v>
          </cell>
          <cell r="AD1206">
            <v>0</v>
          </cell>
          <cell r="AF1206">
            <v>0</v>
          </cell>
        </row>
        <row r="1207">
          <cell r="A1207">
            <v>1206</v>
          </cell>
          <cell r="C1207" t="e">
            <v>#N/A</v>
          </cell>
          <cell r="D1207" t="e">
            <v>#N/A</v>
          </cell>
          <cell r="E1207" t="e">
            <v>#N/A</v>
          </cell>
          <cell r="F1207" t="e">
            <v>#N/A</v>
          </cell>
          <cell r="G1207" t="e">
            <v>#N/A</v>
          </cell>
          <cell r="O1207" t="e">
            <v>#N/A</v>
          </cell>
          <cell r="S1207">
            <v>0</v>
          </cell>
          <cell r="T1207">
            <v>3138400</v>
          </cell>
          <cell r="V1207">
            <v>0</v>
          </cell>
          <cell r="W1207">
            <v>0</v>
          </cell>
          <cell r="X1207">
            <v>0</v>
          </cell>
          <cell r="Z1207">
            <v>0</v>
          </cell>
          <cell r="AB1207">
            <v>0</v>
          </cell>
          <cell r="AD1207">
            <v>0</v>
          </cell>
          <cell r="AF1207">
            <v>0</v>
          </cell>
        </row>
        <row r="1208">
          <cell r="A1208">
            <v>1207</v>
          </cell>
          <cell r="C1208" t="e">
            <v>#N/A</v>
          </cell>
          <cell r="D1208" t="e">
            <v>#N/A</v>
          </cell>
          <cell r="E1208" t="e">
            <v>#N/A</v>
          </cell>
          <cell r="F1208" t="e">
            <v>#N/A</v>
          </cell>
          <cell r="G1208" t="e">
            <v>#N/A</v>
          </cell>
          <cell r="O1208" t="e">
            <v>#N/A</v>
          </cell>
          <cell r="S1208">
            <v>0</v>
          </cell>
          <cell r="T1208">
            <v>3138400</v>
          </cell>
          <cell r="V1208">
            <v>0</v>
          </cell>
          <cell r="W1208">
            <v>0</v>
          </cell>
          <cell r="X1208">
            <v>0</v>
          </cell>
          <cell r="Z1208">
            <v>0</v>
          </cell>
          <cell r="AB1208">
            <v>0</v>
          </cell>
          <cell r="AD1208">
            <v>0</v>
          </cell>
          <cell r="AF1208">
            <v>0</v>
          </cell>
        </row>
        <row r="1209">
          <cell r="A1209">
            <v>1208</v>
          </cell>
          <cell r="C1209" t="e">
            <v>#N/A</v>
          </cell>
          <cell r="D1209" t="e">
            <v>#N/A</v>
          </cell>
          <cell r="E1209" t="e">
            <v>#N/A</v>
          </cell>
          <cell r="F1209" t="e">
            <v>#N/A</v>
          </cell>
          <cell r="G1209" t="e">
            <v>#N/A</v>
          </cell>
          <cell r="O1209" t="e">
            <v>#N/A</v>
          </cell>
          <cell r="S1209">
            <v>0</v>
          </cell>
          <cell r="T1209">
            <v>3138400</v>
          </cell>
          <cell r="V1209">
            <v>0</v>
          </cell>
          <cell r="W1209">
            <v>0</v>
          </cell>
          <cell r="X1209">
            <v>0</v>
          </cell>
          <cell r="Z1209">
            <v>0</v>
          </cell>
          <cell r="AB1209">
            <v>0</v>
          </cell>
          <cell r="AD1209">
            <v>0</v>
          </cell>
          <cell r="AF1209">
            <v>0</v>
          </cell>
        </row>
        <row r="1210">
          <cell r="A1210">
            <v>1209</v>
          </cell>
          <cell r="C1210" t="e">
            <v>#N/A</v>
          </cell>
          <cell r="D1210" t="e">
            <v>#N/A</v>
          </cell>
          <cell r="E1210" t="e">
            <v>#N/A</v>
          </cell>
          <cell r="F1210" t="e">
            <v>#N/A</v>
          </cell>
          <cell r="G1210" t="e">
            <v>#N/A</v>
          </cell>
          <cell r="O1210" t="e">
            <v>#N/A</v>
          </cell>
          <cell r="S1210">
            <v>0</v>
          </cell>
          <cell r="T1210">
            <v>3138400</v>
          </cell>
          <cell r="U1210" t="str">
            <v>ya</v>
          </cell>
          <cell r="V1210" t="e">
            <v>#N/A</v>
          </cell>
          <cell r="W1210" t="e">
            <v>#N/A</v>
          </cell>
          <cell r="X1210" t="e">
            <v>#N/A</v>
          </cell>
          <cell r="Z1210">
            <v>0</v>
          </cell>
          <cell r="AB1210">
            <v>0</v>
          </cell>
          <cell r="AD1210">
            <v>0</v>
          </cell>
          <cell r="AF1210">
            <v>0</v>
          </cell>
        </row>
        <row r="1211">
          <cell r="A1211">
            <v>1210</v>
          </cell>
          <cell r="C1211" t="e">
            <v>#N/A</v>
          </cell>
          <cell r="D1211" t="e">
            <v>#N/A</v>
          </cell>
          <cell r="E1211" t="e">
            <v>#N/A</v>
          </cell>
          <cell r="F1211" t="e">
            <v>#N/A</v>
          </cell>
          <cell r="G1211" t="e">
            <v>#N/A</v>
          </cell>
          <cell r="O1211" t="e">
            <v>#N/A</v>
          </cell>
          <cell r="S1211">
            <v>0</v>
          </cell>
          <cell r="T1211">
            <v>3138400</v>
          </cell>
          <cell r="U1211" t="str">
            <v>ya</v>
          </cell>
          <cell r="V1211" t="e">
            <v>#N/A</v>
          </cell>
          <cell r="W1211" t="e">
            <v>#N/A</v>
          </cell>
          <cell r="X1211" t="e">
            <v>#N/A</v>
          </cell>
          <cell r="Z1211">
            <v>0</v>
          </cell>
          <cell r="AB1211">
            <v>0</v>
          </cell>
          <cell r="AD1211">
            <v>0</v>
          </cell>
          <cell r="AF1211">
            <v>0</v>
          </cell>
        </row>
        <row r="1212">
          <cell r="A1212">
            <v>1211</v>
          </cell>
          <cell r="C1212" t="e">
            <v>#N/A</v>
          </cell>
          <cell r="D1212" t="e">
            <v>#N/A</v>
          </cell>
          <cell r="E1212" t="e">
            <v>#N/A</v>
          </cell>
          <cell r="F1212" t="e">
            <v>#N/A</v>
          </cell>
          <cell r="G1212" t="e">
            <v>#N/A</v>
          </cell>
          <cell r="O1212" t="e">
            <v>#N/A</v>
          </cell>
          <cell r="S1212">
            <v>0</v>
          </cell>
          <cell r="T1212">
            <v>3138400</v>
          </cell>
          <cell r="V1212">
            <v>0</v>
          </cell>
          <cell r="W1212">
            <v>0</v>
          </cell>
          <cell r="X1212">
            <v>0</v>
          </cell>
          <cell r="Z1212">
            <v>0</v>
          </cell>
          <cell r="AB1212">
            <v>0</v>
          </cell>
          <cell r="AD1212">
            <v>0</v>
          </cell>
          <cell r="AF1212">
            <v>0</v>
          </cell>
        </row>
        <row r="1213">
          <cell r="A1213">
            <v>1212</v>
          </cell>
          <cell r="C1213" t="e">
            <v>#N/A</v>
          </cell>
          <cell r="D1213" t="e">
            <v>#N/A</v>
          </cell>
          <cell r="E1213" t="e">
            <v>#N/A</v>
          </cell>
          <cell r="F1213" t="e">
            <v>#N/A</v>
          </cell>
          <cell r="G1213" t="e">
            <v>#N/A</v>
          </cell>
          <cell r="O1213" t="e">
            <v>#N/A</v>
          </cell>
          <cell r="S1213">
            <v>0</v>
          </cell>
          <cell r="T1213">
            <v>3138400</v>
          </cell>
          <cell r="V1213">
            <v>0</v>
          </cell>
          <cell r="W1213">
            <v>0</v>
          </cell>
          <cell r="X1213">
            <v>0</v>
          </cell>
          <cell r="Z1213">
            <v>0</v>
          </cell>
          <cell r="AB1213">
            <v>0</v>
          </cell>
          <cell r="AD1213">
            <v>0</v>
          </cell>
          <cell r="AF1213">
            <v>0</v>
          </cell>
        </row>
        <row r="1214">
          <cell r="A1214">
            <v>1213</v>
          </cell>
          <cell r="C1214" t="e">
            <v>#N/A</v>
          </cell>
          <cell r="D1214" t="e">
            <v>#N/A</v>
          </cell>
          <cell r="E1214" t="e">
            <v>#N/A</v>
          </cell>
          <cell r="F1214" t="e">
            <v>#N/A</v>
          </cell>
          <cell r="G1214" t="e">
            <v>#N/A</v>
          </cell>
          <cell r="O1214" t="e">
            <v>#N/A</v>
          </cell>
          <cell r="S1214">
            <v>0</v>
          </cell>
          <cell r="T1214">
            <v>3138400</v>
          </cell>
          <cell r="V1214">
            <v>0</v>
          </cell>
          <cell r="W1214">
            <v>0</v>
          </cell>
          <cell r="X1214">
            <v>0</v>
          </cell>
          <cell r="Z1214">
            <v>0</v>
          </cell>
          <cell r="AB1214">
            <v>0</v>
          </cell>
          <cell r="AD1214">
            <v>0</v>
          </cell>
          <cell r="AF1214">
            <v>0</v>
          </cell>
        </row>
        <row r="1215">
          <cell r="A1215">
            <v>1214</v>
          </cell>
          <cell r="C1215" t="e">
            <v>#N/A</v>
          </cell>
          <cell r="D1215" t="e">
            <v>#N/A</v>
          </cell>
          <cell r="E1215" t="e">
            <v>#N/A</v>
          </cell>
          <cell r="F1215" t="e">
            <v>#N/A</v>
          </cell>
          <cell r="G1215" t="e">
            <v>#N/A</v>
          </cell>
          <cell r="O1215" t="e">
            <v>#N/A</v>
          </cell>
          <cell r="S1215">
            <v>0</v>
          </cell>
          <cell r="T1215">
            <v>3138400</v>
          </cell>
          <cell r="V1215">
            <v>0</v>
          </cell>
          <cell r="W1215">
            <v>0</v>
          </cell>
          <cell r="X1215">
            <v>0</v>
          </cell>
          <cell r="Z1215">
            <v>0</v>
          </cell>
          <cell r="AB1215">
            <v>0</v>
          </cell>
          <cell r="AD1215">
            <v>0</v>
          </cell>
          <cell r="AF1215">
            <v>0</v>
          </cell>
        </row>
        <row r="1216">
          <cell r="A1216">
            <v>1215</v>
          </cell>
          <cell r="C1216" t="e">
            <v>#N/A</v>
          </cell>
          <cell r="D1216" t="e">
            <v>#N/A</v>
          </cell>
          <cell r="E1216" t="e">
            <v>#N/A</v>
          </cell>
          <cell r="F1216" t="e">
            <v>#N/A</v>
          </cell>
          <cell r="G1216" t="e">
            <v>#N/A</v>
          </cell>
          <cell r="O1216" t="e">
            <v>#N/A</v>
          </cell>
          <cell r="S1216">
            <v>0</v>
          </cell>
          <cell r="T1216">
            <v>3138400</v>
          </cell>
          <cell r="V1216">
            <v>0</v>
          </cell>
          <cell r="W1216">
            <v>0</v>
          </cell>
          <cell r="X1216">
            <v>0</v>
          </cell>
          <cell r="Z1216">
            <v>0</v>
          </cell>
          <cell r="AB1216">
            <v>0</v>
          </cell>
          <cell r="AD1216">
            <v>0</v>
          </cell>
          <cell r="AF1216">
            <v>0</v>
          </cell>
        </row>
        <row r="1217">
          <cell r="A1217">
            <v>1216</v>
          </cell>
          <cell r="C1217" t="e">
            <v>#N/A</v>
          </cell>
          <cell r="D1217" t="e">
            <v>#N/A</v>
          </cell>
          <cell r="E1217" t="e">
            <v>#N/A</v>
          </cell>
          <cell r="F1217" t="e">
            <v>#N/A</v>
          </cell>
          <cell r="G1217" t="e">
            <v>#N/A</v>
          </cell>
          <cell r="O1217" t="e">
            <v>#N/A</v>
          </cell>
          <cell r="S1217">
            <v>0</v>
          </cell>
          <cell r="T1217">
            <v>3138400</v>
          </cell>
          <cell r="V1217">
            <v>0</v>
          </cell>
          <cell r="W1217">
            <v>0</v>
          </cell>
          <cell r="X1217">
            <v>0</v>
          </cell>
          <cell r="Z1217">
            <v>0</v>
          </cell>
          <cell r="AB1217">
            <v>0</v>
          </cell>
          <cell r="AD1217">
            <v>0</v>
          </cell>
          <cell r="AF1217">
            <v>0</v>
          </cell>
        </row>
        <row r="1218">
          <cell r="A1218">
            <v>1217</v>
          </cell>
          <cell r="C1218" t="e">
            <v>#N/A</v>
          </cell>
          <cell r="D1218" t="e">
            <v>#N/A</v>
          </cell>
          <cell r="E1218" t="e">
            <v>#N/A</v>
          </cell>
          <cell r="F1218" t="e">
            <v>#N/A</v>
          </cell>
          <cell r="G1218" t="e">
            <v>#N/A</v>
          </cell>
          <cell r="O1218" t="e">
            <v>#N/A</v>
          </cell>
          <cell r="S1218">
            <v>0</v>
          </cell>
          <cell r="T1218">
            <v>3138400</v>
          </cell>
          <cell r="V1218">
            <v>0</v>
          </cell>
          <cell r="W1218">
            <v>0</v>
          </cell>
          <cell r="X1218">
            <v>0</v>
          </cell>
          <cell r="Z1218">
            <v>0</v>
          </cell>
          <cell r="AB1218">
            <v>0</v>
          </cell>
          <cell r="AD1218">
            <v>0</v>
          </cell>
          <cell r="AF1218">
            <v>0</v>
          </cell>
        </row>
        <row r="1219">
          <cell r="A1219">
            <v>1218</v>
          </cell>
          <cell r="C1219" t="e">
            <v>#N/A</v>
          </cell>
          <cell r="D1219" t="e">
            <v>#N/A</v>
          </cell>
          <cell r="E1219" t="e">
            <v>#N/A</v>
          </cell>
          <cell r="F1219" t="e">
            <v>#N/A</v>
          </cell>
          <cell r="G1219" t="e">
            <v>#N/A</v>
          </cell>
          <cell r="O1219" t="e">
            <v>#N/A</v>
          </cell>
          <cell r="S1219">
            <v>0</v>
          </cell>
          <cell r="T1219">
            <v>3138400</v>
          </cell>
          <cell r="V1219">
            <v>0</v>
          </cell>
          <cell r="W1219">
            <v>0</v>
          </cell>
          <cell r="X1219">
            <v>0</v>
          </cell>
          <cell r="Z1219">
            <v>0</v>
          </cell>
          <cell r="AB1219">
            <v>0</v>
          </cell>
          <cell r="AD1219">
            <v>0</v>
          </cell>
          <cell r="AF1219">
            <v>0</v>
          </cell>
        </row>
        <row r="1220">
          <cell r="A1220">
            <v>1219</v>
          </cell>
          <cell r="C1220" t="e">
            <v>#N/A</v>
          </cell>
          <cell r="D1220" t="e">
            <v>#N/A</v>
          </cell>
          <cell r="E1220" t="e">
            <v>#N/A</v>
          </cell>
          <cell r="F1220" t="e">
            <v>#N/A</v>
          </cell>
          <cell r="G1220" t="e">
            <v>#N/A</v>
          </cell>
          <cell r="O1220" t="e">
            <v>#N/A</v>
          </cell>
          <cell r="S1220">
            <v>0</v>
          </cell>
          <cell r="T1220">
            <v>3138400</v>
          </cell>
          <cell r="V1220">
            <v>0</v>
          </cell>
          <cell r="W1220">
            <v>0</v>
          </cell>
          <cell r="X1220">
            <v>0</v>
          </cell>
          <cell r="Z1220">
            <v>0</v>
          </cell>
          <cell r="AB1220">
            <v>0</v>
          </cell>
          <cell r="AD1220">
            <v>0</v>
          </cell>
          <cell r="AF1220">
            <v>0</v>
          </cell>
        </row>
        <row r="1221">
          <cell r="A1221">
            <v>1220</v>
          </cell>
          <cell r="C1221" t="e">
            <v>#N/A</v>
          </cell>
          <cell r="D1221" t="e">
            <v>#N/A</v>
          </cell>
          <cell r="E1221" t="e">
            <v>#N/A</v>
          </cell>
          <cell r="F1221" t="e">
            <v>#N/A</v>
          </cell>
          <cell r="G1221" t="e">
            <v>#N/A</v>
          </cell>
          <cell r="O1221" t="e">
            <v>#N/A</v>
          </cell>
          <cell r="S1221">
            <v>0</v>
          </cell>
          <cell r="T1221">
            <v>3138400</v>
          </cell>
          <cell r="V1221">
            <v>0</v>
          </cell>
          <cell r="W1221">
            <v>0</v>
          </cell>
          <cell r="X1221">
            <v>0</v>
          </cell>
          <cell r="Z1221">
            <v>0</v>
          </cell>
          <cell r="AB1221">
            <v>0</v>
          </cell>
          <cell r="AD1221">
            <v>0</v>
          </cell>
          <cell r="AF1221">
            <v>0</v>
          </cell>
        </row>
        <row r="1222">
          <cell r="A1222">
            <v>1221</v>
          </cell>
          <cell r="C1222" t="e">
            <v>#N/A</v>
          </cell>
          <cell r="D1222" t="e">
            <v>#N/A</v>
          </cell>
          <cell r="E1222" t="e">
            <v>#N/A</v>
          </cell>
          <cell r="F1222" t="e">
            <v>#N/A</v>
          </cell>
          <cell r="G1222" t="e">
            <v>#N/A</v>
          </cell>
          <cell r="O1222" t="e">
            <v>#N/A</v>
          </cell>
          <cell r="S1222">
            <v>0</v>
          </cell>
          <cell r="T1222">
            <v>3138400</v>
          </cell>
          <cell r="V1222">
            <v>0</v>
          </cell>
          <cell r="W1222">
            <v>0</v>
          </cell>
          <cell r="X1222">
            <v>0</v>
          </cell>
          <cell r="Z1222">
            <v>0</v>
          </cell>
          <cell r="AB1222">
            <v>0</v>
          </cell>
          <cell r="AD1222">
            <v>0</v>
          </cell>
          <cell r="AF1222">
            <v>0</v>
          </cell>
        </row>
        <row r="1223">
          <cell r="A1223">
            <v>1222</v>
          </cell>
          <cell r="C1223" t="e">
            <v>#N/A</v>
          </cell>
          <cell r="D1223" t="e">
            <v>#N/A</v>
          </cell>
          <cell r="E1223" t="e">
            <v>#N/A</v>
          </cell>
          <cell r="F1223" t="e">
            <v>#N/A</v>
          </cell>
          <cell r="G1223" t="e">
            <v>#N/A</v>
          </cell>
          <cell r="O1223" t="e">
            <v>#N/A</v>
          </cell>
          <cell r="S1223">
            <v>0</v>
          </cell>
          <cell r="T1223">
            <v>3138400</v>
          </cell>
          <cell r="V1223">
            <v>0</v>
          </cell>
          <cell r="W1223">
            <v>0</v>
          </cell>
          <cell r="X1223">
            <v>0</v>
          </cell>
          <cell r="Z1223">
            <v>0</v>
          </cell>
          <cell r="AB1223">
            <v>0</v>
          </cell>
          <cell r="AD1223">
            <v>0</v>
          </cell>
          <cell r="AF1223">
            <v>0</v>
          </cell>
        </row>
        <row r="1224">
          <cell r="A1224">
            <v>1223</v>
          </cell>
          <cell r="C1224" t="e">
            <v>#N/A</v>
          </cell>
          <cell r="D1224" t="e">
            <v>#N/A</v>
          </cell>
          <cell r="E1224" t="e">
            <v>#N/A</v>
          </cell>
          <cell r="F1224" t="e">
            <v>#N/A</v>
          </cell>
          <cell r="G1224" t="e">
            <v>#N/A</v>
          </cell>
          <cell r="O1224" t="e">
            <v>#N/A</v>
          </cell>
          <cell r="S1224">
            <v>0</v>
          </cell>
          <cell r="T1224">
            <v>3138400</v>
          </cell>
          <cell r="V1224">
            <v>0</v>
          </cell>
          <cell r="W1224">
            <v>0</v>
          </cell>
          <cell r="X1224">
            <v>0</v>
          </cell>
          <cell r="Z1224">
            <v>0</v>
          </cell>
          <cell r="AB1224">
            <v>0</v>
          </cell>
          <cell r="AD1224">
            <v>0</v>
          </cell>
          <cell r="AF1224">
            <v>0</v>
          </cell>
        </row>
        <row r="1225">
          <cell r="A1225">
            <v>1224</v>
          </cell>
          <cell r="C1225" t="e">
            <v>#N/A</v>
          </cell>
          <cell r="D1225" t="e">
            <v>#N/A</v>
          </cell>
          <cell r="E1225" t="e">
            <v>#N/A</v>
          </cell>
          <cell r="F1225" t="e">
            <v>#N/A</v>
          </cell>
          <cell r="G1225" t="e">
            <v>#N/A</v>
          </cell>
          <cell r="O1225" t="e">
            <v>#N/A</v>
          </cell>
          <cell r="S1225">
            <v>0</v>
          </cell>
          <cell r="T1225">
            <v>3138400</v>
          </cell>
          <cell r="V1225">
            <v>0</v>
          </cell>
          <cell r="W1225">
            <v>0</v>
          </cell>
          <cell r="X1225">
            <v>0</v>
          </cell>
          <cell r="Z1225">
            <v>0</v>
          </cell>
          <cell r="AB1225">
            <v>0</v>
          </cell>
          <cell r="AD1225">
            <v>0</v>
          </cell>
          <cell r="AF1225">
            <v>0</v>
          </cell>
        </row>
        <row r="1226">
          <cell r="A1226">
            <v>1225</v>
          </cell>
          <cell r="C1226" t="e">
            <v>#N/A</v>
          </cell>
          <cell r="D1226" t="e">
            <v>#N/A</v>
          </cell>
          <cell r="E1226" t="e">
            <v>#N/A</v>
          </cell>
          <cell r="F1226" t="e">
            <v>#N/A</v>
          </cell>
          <cell r="G1226" t="e">
            <v>#N/A</v>
          </cell>
          <cell r="O1226" t="e">
            <v>#N/A</v>
          </cell>
          <cell r="S1226">
            <v>0</v>
          </cell>
          <cell r="T1226">
            <v>3138400</v>
          </cell>
          <cell r="V1226">
            <v>0</v>
          </cell>
          <cell r="W1226">
            <v>0</v>
          </cell>
          <cell r="X1226">
            <v>0</v>
          </cell>
          <cell r="Z1226">
            <v>0</v>
          </cell>
          <cell r="AB1226">
            <v>0</v>
          </cell>
          <cell r="AD1226">
            <v>0</v>
          </cell>
          <cell r="AF1226">
            <v>0</v>
          </cell>
        </row>
        <row r="1227">
          <cell r="A1227">
            <v>1226</v>
          </cell>
          <cell r="C1227" t="e">
            <v>#N/A</v>
          </cell>
          <cell r="D1227" t="e">
            <v>#N/A</v>
          </cell>
          <cell r="E1227" t="e">
            <v>#N/A</v>
          </cell>
          <cell r="F1227" t="e">
            <v>#N/A</v>
          </cell>
          <cell r="G1227" t="e">
            <v>#N/A</v>
          </cell>
          <cell r="O1227" t="e">
            <v>#N/A</v>
          </cell>
          <cell r="S1227">
            <v>0</v>
          </cell>
          <cell r="T1227">
            <v>3138400</v>
          </cell>
          <cell r="V1227">
            <v>0</v>
          </cell>
          <cell r="W1227">
            <v>0</v>
          </cell>
          <cell r="X1227">
            <v>0</v>
          </cell>
          <cell r="Z1227">
            <v>0</v>
          </cell>
          <cell r="AB1227">
            <v>0</v>
          </cell>
          <cell r="AD1227">
            <v>0</v>
          </cell>
          <cell r="AF1227">
            <v>0</v>
          </cell>
        </row>
        <row r="1228">
          <cell r="A1228">
            <v>1227</v>
          </cell>
          <cell r="C1228" t="e">
            <v>#N/A</v>
          </cell>
          <cell r="D1228" t="e">
            <v>#N/A</v>
          </cell>
          <cell r="E1228" t="e">
            <v>#N/A</v>
          </cell>
          <cell r="F1228" t="e">
            <v>#N/A</v>
          </cell>
          <cell r="G1228" t="e">
            <v>#N/A</v>
          </cell>
          <cell r="O1228" t="e">
            <v>#N/A</v>
          </cell>
          <cell r="S1228">
            <v>0</v>
          </cell>
          <cell r="T1228">
            <v>3138400</v>
          </cell>
          <cell r="V1228">
            <v>0</v>
          </cell>
          <cell r="W1228">
            <v>0</v>
          </cell>
          <cell r="X1228">
            <v>0</v>
          </cell>
          <cell r="Z1228">
            <v>0</v>
          </cell>
          <cell r="AB1228">
            <v>0</v>
          </cell>
          <cell r="AD1228">
            <v>0</v>
          </cell>
          <cell r="AF1228">
            <v>0</v>
          </cell>
        </row>
        <row r="1229">
          <cell r="A1229">
            <v>1228</v>
          </cell>
          <cell r="C1229" t="e">
            <v>#N/A</v>
          </cell>
          <cell r="D1229" t="e">
            <v>#N/A</v>
          </cell>
          <cell r="E1229" t="e">
            <v>#N/A</v>
          </cell>
          <cell r="F1229" t="e">
            <v>#N/A</v>
          </cell>
          <cell r="G1229" t="e">
            <v>#N/A</v>
          </cell>
          <cell r="O1229" t="e">
            <v>#N/A</v>
          </cell>
          <cell r="S1229">
            <v>0</v>
          </cell>
          <cell r="T1229">
            <v>3138400</v>
          </cell>
          <cell r="V1229">
            <v>0</v>
          </cell>
          <cell r="W1229">
            <v>0</v>
          </cell>
          <cell r="X1229">
            <v>0</v>
          </cell>
          <cell r="Z1229">
            <v>0</v>
          </cell>
          <cell r="AB1229">
            <v>0</v>
          </cell>
          <cell r="AD1229">
            <v>0</v>
          </cell>
          <cell r="AF1229">
            <v>0</v>
          </cell>
        </row>
        <row r="1230">
          <cell r="A1230">
            <v>1229</v>
          </cell>
          <cell r="C1230" t="e">
            <v>#N/A</v>
          </cell>
          <cell r="D1230" t="e">
            <v>#N/A</v>
          </cell>
          <cell r="E1230" t="e">
            <v>#N/A</v>
          </cell>
          <cell r="F1230" t="e">
            <v>#N/A</v>
          </cell>
          <cell r="G1230" t="e">
            <v>#N/A</v>
          </cell>
          <cell r="O1230" t="e">
            <v>#N/A</v>
          </cell>
          <cell r="S1230">
            <v>0</v>
          </cell>
          <cell r="T1230">
            <v>3138400</v>
          </cell>
          <cell r="V1230">
            <v>0</v>
          </cell>
          <cell r="W1230">
            <v>0</v>
          </cell>
          <cell r="X1230">
            <v>0</v>
          </cell>
          <cell r="Z1230">
            <v>0</v>
          </cell>
          <cell r="AB1230">
            <v>0</v>
          </cell>
          <cell r="AD1230">
            <v>0</v>
          </cell>
          <cell r="AF1230">
            <v>0</v>
          </cell>
        </row>
        <row r="1231">
          <cell r="A1231">
            <v>1230</v>
          </cell>
          <cell r="C1231" t="e">
            <v>#N/A</v>
          </cell>
          <cell r="D1231" t="e">
            <v>#N/A</v>
          </cell>
          <cell r="E1231" t="e">
            <v>#N/A</v>
          </cell>
          <cell r="F1231" t="e">
            <v>#N/A</v>
          </cell>
          <cell r="G1231" t="e">
            <v>#N/A</v>
          </cell>
          <cell r="O1231" t="e">
            <v>#N/A</v>
          </cell>
          <cell r="S1231">
            <v>0</v>
          </cell>
          <cell r="T1231">
            <v>3138400</v>
          </cell>
          <cell r="V1231">
            <v>0</v>
          </cell>
          <cell r="W1231">
            <v>0</v>
          </cell>
          <cell r="X1231">
            <v>0</v>
          </cell>
          <cell r="Z1231">
            <v>0</v>
          </cell>
          <cell r="AB1231">
            <v>0</v>
          </cell>
          <cell r="AD1231">
            <v>0</v>
          </cell>
          <cell r="AF1231">
            <v>0</v>
          </cell>
        </row>
        <row r="1232">
          <cell r="A1232">
            <v>1231</v>
          </cell>
          <cell r="C1232" t="e">
            <v>#N/A</v>
          </cell>
          <cell r="D1232" t="e">
            <v>#N/A</v>
          </cell>
          <cell r="E1232" t="e">
            <v>#N/A</v>
          </cell>
          <cell r="F1232" t="e">
            <v>#N/A</v>
          </cell>
          <cell r="G1232" t="e">
            <v>#N/A</v>
          </cell>
          <cell r="O1232" t="e">
            <v>#N/A</v>
          </cell>
          <cell r="S1232">
            <v>0</v>
          </cell>
          <cell r="T1232">
            <v>3138400</v>
          </cell>
          <cell r="V1232">
            <v>0</v>
          </cell>
          <cell r="W1232">
            <v>0</v>
          </cell>
          <cell r="X1232">
            <v>0</v>
          </cell>
          <cell r="Z1232">
            <v>0</v>
          </cell>
          <cell r="AB1232">
            <v>0</v>
          </cell>
          <cell r="AD1232">
            <v>0</v>
          </cell>
          <cell r="AF1232">
            <v>0</v>
          </cell>
        </row>
        <row r="1233">
          <cell r="A1233">
            <v>1232</v>
          </cell>
          <cell r="C1233" t="e">
            <v>#N/A</v>
          </cell>
          <cell r="D1233" t="e">
            <v>#N/A</v>
          </cell>
          <cell r="E1233" t="e">
            <v>#N/A</v>
          </cell>
          <cell r="F1233" t="e">
            <v>#N/A</v>
          </cell>
          <cell r="G1233" t="e">
            <v>#N/A</v>
          </cell>
          <cell r="O1233" t="e">
            <v>#N/A</v>
          </cell>
          <cell r="S1233">
            <v>0</v>
          </cell>
          <cell r="T1233">
            <v>3138400</v>
          </cell>
          <cell r="V1233">
            <v>0</v>
          </cell>
          <cell r="W1233">
            <v>0</v>
          </cell>
          <cell r="X1233">
            <v>0</v>
          </cell>
          <cell r="Z1233">
            <v>0</v>
          </cell>
          <cell r="AB1233">
            <v>0</v>
          </cell>
          <cell r="AD1233">
            <v>0</v>
          </cell>
          <cell r="AF1233">
            <v>0</v>
          </cell>
        </row>
        <row r="1234">
          <cell r="A1234">
            <v>1233</v>
          </cell>
          <cell r="C1234" t="e">
            <v>#N/A</v>
          </cell>
          <cell r="D1234" t="e">
            <v>#N/A</v>
          </cell>
          <cell r="E1234" t="e">
            <v>#N/A</v>
          </cell>
          <cell r="F1234" t="e">
            <v>#N/A</v>
          </cell>
          <cell r="G1234" t="e">
            <v>#N/A</v>
          </cell>
          <cell r="O1234" t="e">
            <v>#N/A</v>
          </cell>
          <cell r="S1234">
            <v>0</v>
          </cell>
          <cell r="T1234">
            <v>3138400</v>
          </cell>
          <cell r="V1234">
            <v>0</v>
          </cell>
          <cell r="W1234">
            <v>0</v>
          </cell>
          <cell r="X1234">
            <v>0</v>
          </cell>
          <cell r="Z1234">
            <v>0</v>
          </cell>
          <cell r="AB1234">
            <v>0</v>
          </cell>
          <cell r="AD1234">
            <v>0</v>
          </cell>
          <cell r="AF1234">
            <v>0</v>
          </cell>
        </row>
        <row r="1235">
          <cell r="A1235">
            <v>1234</v>
          </cell>
          <cell r="C1235" t="e">
            <v>#N/A</v>
          </cell>
          <cell r="D1235" t="e">
            <v>#N/A</v>
          </cell>
          <cell r="E1235" t="e">
            <v>#N/A</v>
          </cell>
          <cell r="F1235" t="e">
            <v>#N/A</v>
          </cell>
          <cell r="G1235" t="e">
            <v>#N/A</v>
          </cell>
          <cell r="O1235" t="e">
            <v>#N/A</v>
          </cell>
          <cell r="S1235">
            <v>0</v>
          </cell>
          <cell r="T1235">
            <v>3138400</v>
          </cell>
          <cell r="V1235">
            <v>0</v>
          </cell>
          <cell r="W1235">
            <v>0</v>
          </cell>
          <cell r="X1235">
            <v>0</v>
          </cell>
          <cell r="Z1235">
            <v>0</v>
          </cell>
          <cell r="AB1235">
            <v>0</v>
          </cell>
          <cell r="AD1235">
            <v>0</v>
          </cell>
          <cell r="AF1235">
            <v>0</v>
          </cell>
        </row>
        <row r="1236">
          <cell r="A1236">
            <v>1235</v>
          </cell>
          <cell r="C1236" t="e">
            <v>#N/A</v>
          </cell>
          <cell r="D1236" t="e">
            <v>#N/A</v>
          </cell>
          <cell r="E1236" t="e">
            <v>#N/A</v>
          </cell>
          <cell r="F1236" t="e">
            <v>#N/A</v>
          </cell>
          <cell r="G1236" t="e">
            <v>#N/A</v>
          </cell>
          <cell r="O1236" t="e">
            <v>#N/A</v>
          </cell>
          <cell r="S1236">
            <v>0</v>
          </cell>
          <cell r="T1236">
            <v>3138400</v>
          </cell>
          <cell r="V1236">
            <v>0</v>
          </cell>
          <cell r="W1236">
            <v>0</v>
          </cell>
          <cell r="X1236">
            <v>0</v>
          </cell>
          <cell r="Z1236">
            <v>0</v>
          </cell>
          <cell r="AB1236">
            <v>0</v>
          </cell>
          <cell r="AD1236">
            <v>0</v>
          </cell>
          <cell r="AF1236">
            <v>0</v>
          </cell>
        </row>
        <row r="1237">
          <cell r="A1237">
            <v>1236</v>
          </cell>
          <cell r="C1237" t="e">
            <v>#N/A</v>
          </cell>
          <cell r="D1237" t="e">
            <v>#N/A</v>
          </cell>
          <cell r="E1237" t="e">
            <v>#N/A</v>
          </cell>
          <cell r="F1237" t="e">
            <v>#N/A</v>
          </cell>
          <cell r="G1237" t="e">
            <v>#N/A</v>
          </cell>
          <cell r="O1237" t="e">
            <v>#N/A</v>
          </cell>
          <cell r="S1237">
            <v>0</v>
          </cell>
          <cell r="T1237">
            <v>3138400</v>
          </cell>
          <cell r="V1237">
            <v>0</v>
          </cell>
          <cell r="W1237">
            <v>0</v>
          </cell>
          <cell r="X1237">
            <v>0</v>
          </cell>
          <cell r="Z1237">
            <v>0</v>
          </cell>
          <cell r="AB1237">
            <v>0</v>
          </cell>
          <cell r="AD1237">
            <v>0</v>
          </cell>
          <cell r="AF1237">
            <v>0</v>
          </cell>
        </row>
        <row r="1238">
          <cell r="A1238">
            <v>1237</v>
          </cell>
          <cell r="C1238" t="e">
            <v>#N/A</v>
          </cell>
          <cell r="D1238" t="e">
            <v>#N/A</v>
          </cell>
          <cell r="E1238" t="e">
            <v>#N/A</v>
          </cell>
          <cell r="F1238" t="e">
            <v>#N/A</v>
          </cell>
          <cell r="G1238" t="e">
            <v>#N/A</v>
          </cell>
          <cell r="O1238" t="e">
            <v>#N/A</v>
          </cell>
          <cell r="S1238">
            <v>0</v>
          </cell>
          <cell r="T1238">
            <v>3138400</v>
          </cell>
          <cell r="V1238">
            <v>0</v>
          </cell>
          <cell r="W1238">
            <v>0</v>
          </cell>
          <cell r="X1238">
            <v>0</v>
          </cell>
          <cell r="Z1238">
            <v>0</v>
          </cell>
          <cell r="AB1238">
            <v>0</v>
          </cell>
          <cell r="AD1238">
            <v>0</v>
          </cell>
          <cell r="AF1238">
            <v>0</v>
          </cell>
        </row>
        <row r="1239">
          <cell r="A1239">
            <v>1238</v>
          </cell>
          <cell r="C1239" t="e">
            <v>#N/A</v>
          </cell>
          <cell r="D1239" t="e">
            <v>#N/A</v>
          </cell>
          <cell r="E1239" t="e">
            <v>#N/A</v>
          </cell>
          <cell r="F1239" t="e">
            <v>#N/A</v>
          </cell>
          <cell r="G1239" t="e">
            <v>#N/A</v>
          </cell>
          <cell r="O1239" t="e">
            <v>#N/A</v>
          </cell>
          <cell r="S1239">
            <v>0</v>
          </cell>
          <cell r="T1239">
            <v>3138400</v>
          </cell>
          <cell r="V1239">
            <v>0</v>
          </cell>
          <cell r="W1239">
            <v>0</v>
          </cell>
          <cell r="X1239">
            <v>0</v>
          </cell>
          <cell r="Z1239">
            <v>0</v>
          </cell>
          <cell r="AB1239">
            <v>0</v>
          </cell>
          <cell r="AD1239">
            <v>0</v>
          </cell>
          <cell r="AF1239">
            <v>0</v>
          </cell>
        </row>
        <row r="1240">
          <cell r="A1240">
            <v>1239</v>
          </cell>
          <cell r="C1240" t="e">
            <v>#N/A</v>
          </cell>
          <cell r="D1240" t="e">
            <v>#N/A</v>
          </cell>
          <cell r="E1240" t="e">
            <v>#N/A</v>
          </cell>
          <cell r="F1240" t="e">
            <v>#N/A</v>
          </cell>
          <cell r="G1240" t="e">
            <v>#N/A</v>
          </cell>
          <cell r="O1240" t="e">
            <v>#N/A</v>
          </cell>
          <cell r="S1240">
            <v>0</v>
          </cell>
          <cell r="T1240">
            <v>3138400</v>
          </cell>
          <cell r="U1240" t="str">
            <v>ya</v>
          </cell>
          <cell r="V1240" t="e">
            <v>#N/A</v>
          </cell>
          <cell r="W1240" t="e">
            <v>#N/A</v>
          </cell>
          <cell r="X1240" t="e">
            <v>#N/A</v>
          </cell>
          <cell r="Z1240">
            <v>0</v>
          </cell>
          <cell r="AB1240">
            <v>0</v>
          </cell>
          <cell r="AD1240">
            <v>0</v>
          </cell>
          <cell r="AF1240">
            <v>0</v>
          </cell>
        </row>
        <row r="1241">
          <cell r="A1241">
            <v>1240</v>
          </cell>
          <cell r="C1241" t="e">
            <v>#N/A</v>
          </cell>
          <cell r="D1241" t="e">
            <v>#N/A</v>
          </cell>
          <cell r="E1241" t="e">
            <v>#N/A</v>
          </cell>
          <cell r="F1241" t="e">
            <v>#N/A</v>
          </cell>
          <cell r="G1241" t="e">
            <v>#N/A</v>
          </cell>
          <cell r="O1241" t="e">
            <v>#N/A</v>
          </cell>
          <cell r="S1241">
            <v>0</v>
          </cell>
          <cell r="T1241">
            <v>3138400</v>
          </cell>
          <cell r="U1241" t="str">
            <v>ya</v>
          </cell>
          <cell r="V1241" t="e">
            <v>#N/A</v>
          </cell>
          <cell r="W1241" t="e">
            <v>#N/A</v>
          </cell>
          <cell r="X1241" t="e">
            <v>#N/A</v>
          </cell>
          <cell r="Z1241">
            <v>0</v>
          </cell>
          <cell r="AB1241">
            <v>0</v>
          </cell>
          <cell r="AD1241">
            <v>0</v>
          </cell>
          <cell r="AF1241">
            <v>0</v>
          </cell>
        </row>
        <row r="1242">
          <cell r="A1242">
            <v>1241</v>
          </cell>
          <cell r="C1242" t="e">
            <v>#N/A</v>
          </cell>
          <cell r="D1242" t="e">
            <v>#N/A</v>
          </cell>
          <cell r="E1242" t="e">
            <v>#N/A</v>
          </cell>
          <cell r="F1242" t="e">
            <v>#N/A</v>
          </cell>
          <cell r="G1242" t="e">
            <v>#N/A</v>
          </cell>
          <cell r="O1242" t="e">
            <v>#N/A</v>
          </cell>
          <cell r="S1242">
            <v>0</v>
          </cell>
          <cell r="T1242">
            <v>3138400</v>
          </cell>
          <cell r="V1242">
            <v>0</v>
          </cell>
          <cell r="W1242">
            <v>0</v>
          </cell>
          <cell r="X1242">
            <v>0</v>
          </cell>
          <cell r="Z1242">
            <v>0</v>
          </cell>
          <cell r="AB1242">
            <v>0</v>
          </cell>
          <cell r="AD1242">
            <v>0</v>
          </cell>
          <cell r="AF1242">
            <v>0</v>
          </cell>
        </row>
        <row r="1243">
          <cell r="A1243">
            <v>1242</v>
          </cell>
          <cell r="C1243" t="e">
            <v>#N/A</v>
          </cell>
          <cell r="D1243" t="e">
            <v>#N/A</v>
          </cell>
          <cell r="E1243" t="e">
            <v>#N/A</v>
          </cell>
          <cell r="F1243" t="e">
            <v>#N/A</v>
          </cell>
          <cell r="G1243" t="e">
            <v>#N/A</v>
          </cell>
          <cell r="O1243" t="e">
            <v>#N/A</v>
          </cell>
          <cell r="S1243">
            <v>0</v>
          </cell>
          <cell r="T1243">
            <v>3138400</v>
          </cell>
          <cell r="U1243" t="str">
            <v>ya</v>
          </cell>
          <cell r="V1243" t="e">
            <v>#N/A</v>
          </cell>
          <cell r="W1243" t="e">
            <v>#N/A</v>
          </cell>
          <cell r="X1243" t="e">
            <v>#N/A</v>
          </cell>
          <cell r="Z1243">
            <v>0</v>
          </cell>
          <cell r="AB1243">
            <v>0</v>
          </cell>
          <cell r="AD1243">
            <v>0</v>
          </cell>
          <cell r="AF1243">
            <v>0</v>
          </cell>
        </row>
        <row r="1244">
          <cell r="A1244">
            <v>1243</v>
          </cell>
          <cell r="C1244" t="e">
            <v>#N/A</v>
          </cell>
          <cell r="D1244" t="e">
            <v>#N/A</v>
          </cell>
          <cell r="E1244" t="e">
            <v>#N/A</v>
          </cell>
          <cell r="F1244" t="e">
            <v>#N/A</v>
          </cell>
          <cell r="G1244" t="e">
            <v>#N/A</v>
          </cell>
          <cell r="O1244" t="e">
            <v>#N/A</v>
          </cell>
          <cell r="S1244">
            <v>0</v>
          </cell>
          <cell r="T1244">
            <v>3138400</v>
          </cell>
          <cell r="U1244" t="str">
            <v>ya</v>
          </cell>
          <cell r="V1244" t="e">
            <v>#N/A</v>
          </cell>
          <cell r="W1244" t="e">
            <v>#N/A</v>
          </cell>
          <cell r="X1244" t="e">
            <v>#N/A</v>
          </cell>
          <cell r="Z1244">
            <v>0</v>
          </cell>
          <cell r="AB1244">
            <v>0</v>
          </cell>
          <cell r="AD1244">
            <v>0</v>
          </cell>
          <cell r="AF1244">
            <v>0</v>
          </cell>
        </row>
        <row r="1245">
          <cell r="A1245">
            <v>1244</v>
          </cell>
          <cell r="C1245" t="e">
            <v>#N/A</v>
          </cell>
          <cell r="D1245" t="e">
            <v>#N/A</v>
          </cell>
          <cell r="E1245" t="e">
            <v>#N/A</v>
          </cell>
          <cell r="F1245" t="e">
            <v>#N/A</v>
          </cell>
          <cell r="G1245" t="e">
            <v>#N/A</v>
          </cell>
          <cell r="O1245" t="e">
            <v>#N/A</v>
          </cell>
          <cell r="S1245">
            <v>0</v>
          </cell>
          <cell r="T1245">
            <v>3138400</v>
          </cell>
          <cell r="U1245" t="str">
            <v>ya</v>
          </cell>
          <cell r="V1245" t="e">
            <v>#N/A</v>
          </cell>
          <cell r="W1245" t="e">
            <v>#N/A</v>
          </cell>
          <cell r="X1245" t="e">
            <v>#N/A</v>
          </cell>
          <cell r="Z1245">
            <v>0</v>
          </cell>
          <cell r="AB1245">
            <v>0</v>
          </cell>
          <cell r="AD1245">
            <v>0</v>
          </cell>
          <cell r="AF1245">
            <v>0</v>
          </cell>
        </row>
        <row r="1246">
          <cell r="A1246">
            <v>1245</v>
          </cell>
          <cell r="C1246" t="e">
            <v>#N/A</v>
          </cell>
          <cell r="D1246" t="e">
            <v>#N/A</v>
          </cell>
          <cell r="E1246" t="e">
            <v>#N/A</v>
          </cell>
          <cell r="F1246" t="e">
            <v>#N/A</v>
          </cell>
          <cell r="G1246" t="e">
            <v>#N/A</v>
          </cell>
          <cell r="O1246" t="e">
            <v>#N/A</v>
          </cell>
          <cell r="S1246">
            <v>0</v>
          </cell>
          <cell r="T1246">
            <v>3138400</v>
          </cell>
          <cell r="U1246" t="str">
            <v>ya</v>
          </cell>
          <cell r="V1246" t="e">
            <v>#N/A</v>
          </cell>
          <cell r="W1246" t="e">
            <v>#N/A</v>
          </cell>
          <cell r="X1246" t="e">
            <v>#N/A</v>
          </cell>
          <cell r="Z1246">
            <v>0</v>
          </cell>
          <cell r="AB1246">
            <v>0</v>
          </cell>
          <cell r="AD1246">
            <v>0</v>
          </cell>
          <cell r="AF1246">
            <v>0</v>
          </cell>
        </row>
        <row r="1247">
          <cell r="A1247">
            <v>1246</v>
          </cell>
          <cell r="C1247" t="e">
            <v>#N/A</v>
          </cell>
          <cell r="D1247" t="e">
            <v>#N/A</v>
          </cell>
          <cell r="E1247" t="e">
            <v>#N/A</v>
          </cell>
          <cell r="F1247" t="e">
            <v>#N/A</v>
          </cell>
          <cell r="G1247" t="e">
            <v>#N/A</v>
          </cell>
          <cell r="O1247" t="e">
            <v>#N/A</v>
          </cell>
          <cell r="S1247">
            <v>0</v>
          </cell>
          <cell r="T1247">
            <v>3138400</v>
          </cell>
          <cell r="U1247" t="str">
            <v>ya</v>
          </cell>
          <cell r="V1247" t="e">
            <v>#N/A</v>
          </cell>
          <cell r="W1247" t="e">
            <v>#N/A</v>
          </cell>
          <cell r="X1247" t="e">
            <v>#N/A</v>
          </cell>
          <cell r="Z1247">
            <v>0</v>
          </cell>
          <cell r="AB1247">
            <v>0</v>
          </cell>
          <cell r="AD1247">
            <v>0</v>
          </cell>
          <cell r="AF1247">
            <v>0</v>
          </cell>
        </row>
        <row r="1248">
          <cell r="A1248">
            <v>1247</v>
          </cell>
          <cell r="C1248" t="e">
            <v>#N/A</v>
          </cell>
          <cell r="D1248" t="e">
            <v>#N/A</v>
          </cell>
          <cell r="E1248" t="e">
            <v>#N/A</v>
          </cell>
          <cell r="F1248" t="e">
            <v>#N/A</v>
          </cell>
          <cell r="G1248" t="e">
            <v>#N/A</v>
          </cell>
          <cell r="O1248" t="e">
            <v>#N/A</v>
          </cell>
          <cell r="S1248">
            <v>0</v>
          </cell>
          <cell r="T1248">
            <v>3138400</v>
          </cell>
          <cell r="U1248" t="str">
            <v>ya</v>
          </cell>
          <cell r="V1248" t="e">
            <v>#N/A</v>
          </cell>
          <cell r="W1248" t="e">
            <v>#N/A</v>
          </cell>
          <cell r="X1248" t="e">
            <v>#N/A</v>
          </cell>
          <cell r="Z1248">
            <v>0</v>
          </cell>
          <cell r="AB1248">
            <v>0</v>
          </cell>
          <cell r="AD1248">
            <v>0</v>
          </cell>
          <cell r="AF1248">
            <v>0</v>
          </cell>
        </row>
        <row r="1249">
          <cell r="A1249">
            <v>1248</v>
          </cell>
          <cell r="C1249" t="e">
            <v>#N/A</v>
          </cell>
          <cell r="D1249" t="e">
            <v>#N/A</v>
          </cell>
          <cell r="E1249" t="e">
            <v>#N/A</v>
          </cell>
          <cell r="F1249" t="e">
            <v>#N/A</v>
          </cell>
          <cell r="G1249" t="e">
            <v>#N/A</v>
          </cell>
          <cell r="O1249" t="e">
            <v>#N/A</v>
          </cell>
          <cell r="S1249">
            <v>0</v>
          </cell>
          <cell r="T1249">
            <v>3138400</v>
          </cell>
          <cell r="U1249" t="str">
            <v>ya</v>
          </cell>
          <cell r="V1249" t="e">
            <v>#N/A</v>
          </cell>
          <cell r="W1249" t="e">
            <v>#N/A</v>
          </cell>
          <cell r="X1249" t="e">
            <v>#N/A</v>
          </cell>
          <cell r="Z1249">
            <v>0</v>
          </cell>
          <cell r="AB1249">
            <v>0</v>
          </cell>
          <cell r="AD1249">
            <v>0</v>
          </cell>
          <cell r="AF1249">
            <v>0</v>
          </cell>
        </row>
        <row r="1250">
          <cell r="A1250">
            <v>1249</v>
          </cell>
          <cell r="C1250" t="e">
            <v>#N/A</v>
          </cell>
          <cell r="D1250" t="e">
            <v>#N/A</v>
          </cell>
          <cell r="E1250" t="e">
            <v>#N/A</v>
          </cell>
          <cell r="F1250" t="e">
            <v>#N/A</v>
          </cell>
          <cell r="G1250" t="e">
            <v>#N/A</v>
          </cell>
          <cell r="O1250" t="e">
            <v>#N/A</v>
          </cell>
          <cell r="S1250">
            <v>0</v>
          </cell>
          <cell r="T1250">
            <v>3138400</v>
          </cell>
          <cell r="V1250">
            <v>0</v>
          </cell>
          <cell r="W1250">
            <v>0</v>
          </cell>
          <cell r="X1250">
            <v>0</v>
          </cell>
          <cell r="Z1250">
            <v>0</v>
          </cell>
          <cell r="AB1250">
            <v>0</v>
          </cell>
          <cell r="AD1250">
            <v>0</v>
          </cell>
          <cell r="AF1250">
            <v>0</v>
          </cell>
        </row>
        <row r="1251">
          <cell r="A1251">
            <v>1250</v>
          </cell>
          <cell r="C1251" t="e">
            <v>#N/A</v>
          </cell>
          <cell r="D1251" t="e">
            <v>#N/A</v>
          </cell>
          <cell r="E1251" t="e">
            <v>#N/A</v>
          </cell>
          <cell r="F1251" t="e">
            <v>#N/A</v>
          </cell>
          <cell r="G1251" t="e">
            <v>#N/A</v>
          </cell>
          <cell r="O1251" t="e">
            <v>#N/A</v>
          </cell>
          <cell r="S1251">
            <v>0</v>
          </cell>
          <cell r="T1251">
            <v>3138400</v>
          </cell>
          <cell r="V1251">
            <v>0</v>
          </cell>
          <cell r="W1251">
            <v>0</v>
          </cell>
          <cell r="X1251">
            <v>0</v>
          </cell>
          <cell r="Z1251">
            <v>0</v>
          </cell>
          <cell r="AB1251">
            <v>0</v>
          </cell>
          <cell r="AD1251">
            <v>0</v>
          </cell>
          <cell r="AF1251">
            <v>0</v>
          </cell>
        </row>
        <row r="1252">
          <cell r="A1252">
            <v>1251</v>
          </cell>
          <cell r="C1252" t="e">
            <v>#N/A</v>
          </cell>
          <cell r="D1252" t="e">
            <v>#N/A</v>
          </cell>
          <cell r="E1252" t="e">
            <v>#N/A</v>
          </cell>
          <cell r="F1252" t="e">
            <v>#N/A</v>
          </cell>
          <cell r="G1252" t="e">
            <v>#N/A</v>
          </cell>
          <cell r="O1252" t="e">
            <v>#N/A</v>
          </cell>
          <cell r="S1252">
            <v>0</v>
          </cell>
          <cell r="T1252">
            <v>3138400</v>
          </cell>
          <cell r="V1252">
            <v>0</v>
          </cell>
          <cell r="W1252">
            <v>0</v>
          </cell>
          <cell r="X1252">
            <v>0</v>
          </cell>
          <cell r="Z1252">
            <v>0</v>
          </cell>
          <cell r="AB1252">
            <v>0</v>
          </cell>
          <cell r="AD1252">
            <v>0</v>
          </cell>
          <cell r="AF1252">
            <v>0</v>
          </cell>
        </row>
        <row r="1253">
          <cell r="A1253">
            <v>1252</v>
          </cell>
          <cell r="C1253" t="e">
            <v>#N/A</v>
          </cell>
          <cell r="D1253" t="e">
            <v>#N/A</v>
          </cell>
          <cell r="E1253" t="e">
            <v>#N/A</v>
          </cell>
          <cell r="F1253" t="e">
            <v>#N/A</v>
          </cell>
          <cell r="G1253" t="e">
            <v>#N/A</v>
          </cell>
          <cell r="O1253" t="e">
            <v>#N/A</v>
          </cell>
          <cell r="S1253">
            <v>0</v>
          </cell>
          <cell r="T1253">
            <v>3138400</v>
          </cell>
          <cell r="V1253">
            <v>0</v>
          </cell>
          <cell r="W1253">
            <v>0</v>
          </cell>
          <cell r="X1253">
            <v>0</v>
          </cell>
          <cell r="Z1253">
            <v>0</v>
          </cell>
          <cell r="AB1253">
            <v>0</v>
          </cell>
          <cell r="AD1253">
            <v>0</v>
          </cell>
          <cell r="AF1253">
            <v>0</v>
          </cell>
        </row>
        <row r="1254">
          <cell r="A1254">
            <v>1253</v>
          </cell>
          <cell r="C1254" t="e">
            <v>#N/A</v>
          </cell>
          <cell r="D1254" t="e">
            <v>#N/A</v>
          </cell>
          <cell r="E1254" t="e">
            <v>#N/A</v>
          </cell>
          <cell r="F1254" t="e">
            <v>#N/A</v>
          </cell>
          <cell r="G1254" t="e">
            <v>#N/A</v>
          </cell>
          <cell r="O1254" t="e">
            <v>#N/A</v>
          </cell>
          <cell r="S1254">
            <v>0</v>
          </cell>
          <cell r="T1254">
            <v>3138400</v>
          </cell>
          <cell r="V1254">
            <v>0</v>
          </cell>
          <cell r="W1254">
            <v>0</v>
          </cell>
          <cell r="X1254">
            <v>0</v>
          </cell>
          <cell r="Z1254">
            <v>0</v>
          </cell>
          <cell r="AB1254">
            <v>0</v>
          </cell>
          <cell r="AD1254">
            <v>0</v>
          </cell>
          <cell r="AF1254">
            <v>0</v>
          </cell>
        </row>
        <row r="1255">
          <cell r="A1255">
            <v>1254</v>
          </cell>
          <cell r="C1255" t="e">
            <v>#N/A</v>
          </cell>
          <cell r="D1255" t="e">
            <v>#N/A</v>
          </cell>
          <cell r="E1255" t="e">
            <v>#N/A</v>
          </cell>
          <cell r="F1255" t="e">
            <v>#N/A</v>
          </cell>
          <cell r="G1255" t="e">
            <v>#N/A</v>
          </cell>
          <cell r="O1255" t="e">
            <v>#N/A</v>
          </cell>
          <cell r="S1255">
            <v>0</v>
          </cell>
          <cell r="T1255">
            <v>3138400</v>
          </cell>
          <cell r="V1255">
            <v>0</v>
          </cell>
          <cell r="W1255">
            <v>0</v>
          </cell>
          <cell r="X1255">
            <v>0</v>
          </cell>
          <cell r="Z1255">
            <v>0</v>
          </cell>
          <cell r="AB1255">
            <v>0</v>
          </cell>
          <cell r="AD1255">
            <v>0</v>
          </cell>
          <cell r="AF1255">
            <v>0</v>
          </cell>
        </row>
        <row r="1256">
          <cell r="A1256">
            <v>1255</v>
          </cell>
          <cell r="C1256" t="e">
            <v>#N/A</v>
          </cell>
          <cell r="D1256" t="e">
            <v>#N/A</v>
          </cell>
          <cell r="E1256" t="e">
            <v>#N/A</v>
          </cell>
          <cell r="F1256" t="e">
            <v>#N/A</v>
          </cell>
          <cell r="G1256" t="e">
            <v>#N/A</v>
          </cell>
          <cell r="O1256" t="e">
            <v>#N/A</v>
          </cell>
          <cell r="S1256">
            <v>0</v>
          </cell>
          <cell r="T1256">
            <v>3138400</v>
          </cell>
          <cell r="V1256">
            <v>0</v>
          </cell>
          <cell r="W1256">
            <v>0</v>
          </cell>
          <cell r="X1256">
            <v>0</v>
          </cell>
          <cell r="Z1256">
            <v>0</v>
          </cell>
          <cell r="AB1256">
            <v>0</v>
          </cell>
          <cell r="AD1256">
            <v>0</v>
          </cell>
          <cell r="AF1256">
            <v>0</v>
          </cell>
        </row>
        <row r="1257">
          <cell r="A1257">
            <v>1256</v>
          </cell>
          <cell r="C1257" t="e">
            <v>#N/A</v>
          </cell>
          <cell r="D1257" t="e">
            <v>#N/A</v>
          </cell>
          <cell r="E1257" t="e">
            <v>#N/A</v>
          </cell>
          <cell r="F1257" t="e">
            <v>#N/A</v>
          </cell>
          <cell r="G1257" t="e">
            <v>#N/A</v>
          </cell>
          <cell r="O1257" t="e">
            <v>#N/A</v>
          </cell>
          <cell r="S1257">
            <v>0</v>
          </cell>
          <cell r="T1257">
            <v>3138400</v>
          </cell>
          <cell r="V1257">
            <v>0</v>
          </cell>
          <cell r="W1257">
            <v>0</v>
          </cell>
          <cell r="X1257">
            <v>0</v>
          </cell>
          <cell r="Z1257">
            <v>0</v>
          </cell>
          <cell r="AB1257">
            <v>0</v>
          </cell>
          <cell r="AD1257">
            <v>0</v>
          </cell>
          <cell r="AF1257">
            <v>0</v>
          </cell>
        </row>
        <row r="1258">
          <cell r="A1258">
            <v>1257</v>
          </cell>
          <cell r="C1258" t="e">
            <v>#N/A</v>
          </cell>
          <cell r="D1258" t="e">
            <v>#N/A</v>
          </cell>
          <cell r="E1258" t="e">
            <v>#N/A</v>
          </cell>
          <cell r="F1258" t="e">
            <v>#N/A</v>
          </cell>
          <cell r="G1258" t="e">
            <v>#N/A</v>
          </cell>
          <cell r="O1258" t="e">
            <v>#N/A</v>
          </cell>
          <cell r="S1258">
            <v>0</v>
          </cell>
          <cell r="T1258">
            <v>3138400</v>
          </cell>
          <cell r="V1258">
            <v>0</v>
          </cell>
          <cell r="W1258">
            <v>0</v>
          </cell>
          <cell r="X1258">
            <v>0</v>
          </cell>
          <cell r="Z1258">
            <v>0</v>
          </cell>
          <cell r="AB1258">
            <v>0</v>
          </cell>
          <cell r="AD1258">
            <v>0</v>
          </cell>
          <cell r="AF1258">
            <v>0</v>
          </cell>
        </row>
        <row r="1259">
          <cell r="A1259">
            <v>1258</v>
          </cell>
          <cell r="C1259" t="e">
            <v>#N/A</v>
          </cell>
          <cell r="D1259" t="e">
            <v>#N/A</v>
          </cell>
          <cell r="E1259" t="e">
            <v>#N/A</v>
          </cell>
          <cell r="F1259" t="e">
            <v>#N/A</v>
          </cell>
          <cell r="G1259" t="e">
            <v>#N/A</v>
          </cell>
          <cell r="O1259" t="e">
            <v>#N/A</v>
          </cell>
          <cell r="S1259">
            <v>0</v>
          </cell>
          <cell r="T1259">
            <v>3138400</v>
          </cell>
          <cell r="V1259">
            <v>0</v>
          </cell>
          <cell r="W1259">
            <v>0</v>
          </cell>
          <cell r="X1259">
            <v>0</v>
          </cell>
          <cell r="Z1259">
            <v>0</v>
          </cell>
          <cell r="AB1259">
            <v>0</v>
          </cell>
          <cell r="AD1259">
            <v>0</v>
          </cell>
          <cell r="AF1259">
            <v>0</v>
          </cell>
        </row>
        <row r="1260">
          <cell r="A1260">
            <v>1259</v>
          </cell>
          <cell r="C1260" t="e">
            <v>#N/A</v>
          </cell>
          <cell r="D1260" t="e">
            <v>#N/A</v>
          </cell>
          <cell r="E1260" t="e">
            <v>#N/A</v>
          </cell>
          <cell r="F1260" t="e">
            <v>#N/A</v>
          </cell>
          <cell r="G1260" t="e">
            <v>#N/A</v>
          </cell>
          <cell r="O1260" t="e">
            <v>#N/A</v>
          </cell>
          <cell r="S1260">
            <v>0</v>
          </cell>
          <cell r="T1260">
            <v>3138400</v>
          </cell>
          <cell r="V1260">
            <v>0</v>
          </cell>
          <cell r="W1260">
            <v>0</v>
          </cell>
          <cell r="X1260">
            <v>0</v>
          </cell>
          <cell r="Z1260">
            <v>0</v>
          </cell>
          <cell r="AB1260">
            <v>0</v>
          </cell>
          <cell r="AD1260">
            <v>0</v>
          </cell>
          <cell r="AF1260">
            <v>0</v>
          </cell>
        </row>
        <row r="1261">
          <cell r="A1261">
            <v>1260</v>
          </cell>
          <cell r="C1261" t="e">
            <v>#N/A</v>
          </cell>
          <cell r="D1261" t="e">
            <v>#N/A</v>
          </cell>
          <cell r="E1261" t="e">
            <v>#N/A</v>
          </cell>
          <cell r="F1261" t="e">
            <v>#N/A</v>
          </cell>
          <cell r="G1261" t="e">
            <v>#N/A</v>
          </cell>
          <cell r="O1261" t="e">
            <v>#N/A</v>
          </cell>
          <cell r="S1261">
            <v>0</v>
          </cell>
          <cell r="T1261">
            <v>3138400</v>
          </cell>
          <cell r="V1261">
            <v>0</v>
          </cell>
          <cell r="W1261">
            <v>0</v>
          </cell>
          <cell r="X1261">
            <v>0</v>
          </cell>
          <cell r="Z1261">
            <v>0</v>
          </cell>
          <cell r="AB1261">
            <v>0</v>
          </cell>
          <cell r="AD1261">
            <v>0</v>
          </cell>
          <cell r="AF1261">
            <v>0</v>
          </cell>
        </row>
        <row r="1262">
          <cell r="A1262">
            <v>1261</v>
          </cell>
          <cell r="C1262" t="e">
            <v>#N/A</v>
          </cell>
          <cell r="D1262" t="e">
            <v>#N/A</v>
          </cell>
          <cell r="E1262" t="e">
            <v>#N/A</v>
          </cell>
          <cell r="F1262" t="e">
            <v>#N/A</v>
          </cell>
          <cell r="G1262" t="e">
            <v>#N/A</v>
          </cell>
          <cell r="O1262" t="e">
            <v>#N/A</v>
          </cell>
          <cell r="S1262">
            <v>0</v>
          </cell>
          <cell r="T1262">
            <v>3138400</v>
          </cell>
          <cell r="V1262">
            <v>0</v>
          </cell>
          <cell r="W1262">
            <v>0</v>
          </cell>
          <cell r="X1262">
            <v>0</v>
          </cell>
          <cell r="Z1262">
            <v>0</v>
          </cell>
          <cell r="AB1262">
            <v>0</v>
          </cell>
          <cell r="AD1262">
            <v>0</v>
          </cell>
          <cell r="AF1262">
            <v>0</v>
          </cell>
        </row>
        <row r="1263">
          <cell r="A1263">
            <v>1262</v>
          </cell>
          <cell r="C1263" t="e">
            <v>#N/A</v>
          </cell>
          <cell r="D1263" t="e">
            <v>#N/A</v>
          </cell>
          <cell r="E1263" t="e">
            <v>#N/A</v>
          </cell>
          <cell r="F1263" t="e">
            <v>#N/A</v>
          </cell>
          <cell r="G1263" t="e">
            <v>#N/A</v>
          </cell>
          <cell r="O1263" t="e">
            <v>#N/A</v>
          </cell>
          <cell r="S1263">
            <v>0</v>
          </cell>
          <cell r="T1263">
            <v>3138400</v>
          </cell>
          <cell r="V1263">
            <v>0</v>
          </cell>
          <cell r="W1263">
            <v>0</v>
          </cell>
          <cell r="X1263">
            <v>0</v>
          </cell>
          <cell r="Z1263">
            <v>0</v>
          </cell>
          <cell r="AB1263">
            <v>0</v>
          </cell>
          <cell r="AD1263">
            <v>0</v>
          </cell>
          <cell r="AF1263">
            <v>0</v>
          </cell>
        </row>
        <row r="1264">
          <cell r="A1264">
            <v>1263</v>
          </cell>
          <cell r="C1264" t="e">
            <v>#N/A</v>
          </cell>
          <cell r="D1264" t="e">
            <v>#N/A</v>
          </cell>
          <cell r="E1264" t="e">
            <v>#N/A</v>
          </cell>
          <cell r="F1264" t="e">
            <v>#N/A</v>
          </cell>
          <cell r="G1264" t="e">
            <v>#N/A</v>
          </cell>
          <cell r="O1264" t="e">
            <v>#N/A</v>
          </cell>
          <cell r="S1264">
            <v>0</v>
          </cell>
          <cell r="T1264">
            <v>3138400</v>
          </cell>
          <cell r="V1264">
            <v>0</v>
          </cell>
          <cell r="W1264">
            <v>0</v>
          </cell>
          <cell r="X1264">
            <v>0</v>
          </cell>
          <cell r="Z1264">
            <v>0</v>
          </cell>
          <cell r="AB1264">
            <v>0</v>
          </cell>
          <cell r="AD1264">
            <v>0</v>
          </cell>
          <cell r="AF1264">
            <v>0</v>
          </cell>
        </row>
        <row r="1265">
          <cell r="A1265">
            <v>1264</v>
          </cell>
          <cell r="C1265" t="e">
            <v>#N/A</v>
          </cell>
          <cell r="D1265" t="e">
            <v>#N/A</v>
          </cell>
          <cell r="E1265" t="e">
            <v>#N/A</v>
          </cell>
          <cell r="F1265" t="e">
            <v>#N/A</v>
          </cell>
          <cell r="G1265" t="e">
            <v>#N/A</v>
          </cell>
          <cell r="O1265" t="e">
            <v>#N/A</v>
          </cell>
          <cell r="S1265">
            <v>0</v>
          </cell>
          <cell r="T1265">
            <v>3138400</v>
          </cell>
          <cell r="V1265">
            <v>0</v>
          </cell>
          <cell r="W1265">
            <v>0</v>
          </cell>
          <cell r="X1265">
            <v>0</v>
          </cell>
          <cell r="Z1265">
            <v>0</v>
          </cell>
          <cell r="AB1265">
            <v>0</v>
          </cell>
          <cell r="AD1265">
            <v>0</v>
          </cell>
          <cell r="AF1265">
            <v>0</v>
          </cell>
        </row>
        <row r="1266">
          <cell r="A1266">
            <v>1265</v>
          </cell>
          <cell r="C1266" t="e">
            <v>#N/A</v>
          </cell>
          <cell r="D1266" t="e">
            <v>#N/A</v>
          </cell>
          <cell r="E1266" t="e">
            <v>#N/A</v>
          </cell>
          <cell r="F1266" t="e">
            <v>#N/A</v>
          </cell>
          <cell r="G1266" t="e">
            <v>#N/A</v>
          </cell>
          <cell r="O1266" t="e">
            <v>#N/A</v>
          </cell>
          <cell r="S1266">
            <v>0</v>
          </cell>
          <cell r="T1266">
            <v>3138400</v>
          </cell>
          <cell r="V1266">
            <v>0</v>
          </cell>
          <cell r="W1266">
            <v>0</v>
          </cell>
          <cell r="X1266">
            <v>0</v>
          </cell>
          <cell r="Z1266">
            <v>0</v>
          </cell>
          <cell r="AB1266">
            <v>0</v>
          </cell>
          <cell r="AD1266">
            <v>0</v>
          </cell>
          <cell r="AF1266">
            <v>0</v>
          </cell>
        </row>
        <row r="1267">
          <cell r="A1267">
            <v>1266</v>
          </cell>
          <cell r="C1267" t="e">
            <v>#N/A</v>
          </cell>
          <cell r="D1267" t="e">
            <v>#N/A</v>
          </cell>
          <cell r="E1267" t="e">
            <v>#N/A</v>
          </cell>
          <cell r="F1267" t="e">
            <v>#N/A</v>
          </cell>
          <cell r="G1267" t="e">
            <v>#N/A</v>
          </cell>
          <cell r="O1267" t="e">
            <v>#N/A</v>
          </cell>
          <cell r="S1267">
            <v>0</v>
          </cell>
          <cell r="T1267">
            <v>3138400</v>
          </cell>
          <cell r="V1267">
            <v>0</v>
          </cell>
          <cell r="W1267">
            <v>0</v>
          </cell>
          <cell r="X1267">
            <v>0</v>
          </cell>
          <cell r="Z1267">
            <v>0</v>
          </cell>
          <cell r="AB1267">
            <v>0</v>
          </cell>
          <cell r="AD1267">
            <v>0</v>
          </cell>
          <cell r="AF1267">
            <v>0</v>
          </cell>
        </row>
        <row r="1268">
          <cell r="A1268">
            <v>1267</v>
          </cell>
          <cell r="C1268" t="e">
            <v>#N/A</v>
          </cell>
          <cell r="D1268" t="e">
            <v>#N/A</v>
          </cell>
          <cell r="E1268" t="e">
            <v>#N/A</v>
          </cell>
          <cell r="F1268" t="e">
            <v>#N/A</v>
          </cell>
          <cell r="G1268" t="e">
            <v>#N/A</v>
          </cell>
          <cell r="O1268" t="e">
            <v>#N/A</v>
          </cell>
          <cell r="S1268">
            <v>0</v>
          </cell>
          <cell r="T1268">
            <v>3138400</v>
          </cell>
          <cell r="U1268" t="str">
            <v>ya</v>
          </cell>
          <cell r="V1268" t="e">
            <v>#N/A</v>
          </cell>
          <cell r="W1268" t="e">
            <v>#N/A</v>
          </cell>
          <cell r="X1268" t="e">
            <v>#N/A</v>
          </cell>
          <cell r="Z1268">
            <v>0</v>
          </cell>
          <cell r="AB1268">
            <v>0</v>
          </cell>
          <cell r="AD1268">
            <v>0</v>
          </cell>
          <cell r="AF1268">
            <v>0</v>
          </cell>
        </row>
        <row r="1269">
          <cell r="A1269">
            <v>1268</v>
          </cell>
          <cell r="C1269" t="e">
            <v>#N/A</v>
          </cell>
          <cell r="D1269" t="e">
            <v>#N/A</v>
          </cell>
          <cell r="E1269" t="e">
            <v>#N/A</v>
          </cell>
          <cell r="F1269" t="e">
            <v>#N/A</v>
          </cell>
          <cell r="G1269" t="e">
            <v>#N/A</v>
          </cell>
          <cell r="O1269" t="e">
            <v>#N/A</v>
          </cell>
          <cell r="S1269">
            <v>0</v>
          </cell>
          <cell r="T1269">
            <v>3138400</v>
          </cell>
          <cell r="U1269" t="str">
            <v>ya</v>
          </cell>
          <cell r="V1269" t="e">
            <v>#N/A</v>
          </cell>
          <cell r="W1269" t="e">
            <v>#N/A</v>
          </cell>
          <cell r="X1269" t="e">
            <v>#N/A</v>
          </cell>
          <cell r="Z1269">
            <v>0</v>
          </cell>
          <cell r="AB1269">
            <v>0</v>
          </cell>
          <cell r="AD1269">
            <v>0</v>
          </cell>
          <cell r="AF1269">
            <v>0</v>
          </cell>
        </row>
        <row r="1270">
          <cell r="A1270">
            <v>1269</v>
          </cell>
          <cell r="C1270" t="e">
            <v>#N/A</v>
          </cell>
          <cell r="D1270" t="e">
            <v>#N/A</v>
          </cell>
          <cell r="E1270" t="e">
            <v>#N/A</v>
          </cell>
          <cell r="F1270" t="e">
            <v>#N/A</v>
          </cell>
          <cell r="G1270" t="e">
            <v>#N/A</v>
          </cell>
          <cell r="O1270" t="e">
            <v>#N/A</v>
          </cell>
          <cell r="S1270">
            <v>0</v>
          </cell>
          <cell r="T1270">
            <v>3138400</v>
          </cell>
          <cell r="U1270" t="str">
            <v>ya</v>
          </cell>
          <cell r="V1270" t="e">
            <v>#N/A</v>
          </cell>
          <cell r="W1270" t="e">
            <v>#N/A</v>
          </cell>
          <cell r="X1270" t="e">
            <v>#N/A</v>
          </cell>
          <cell r="Z1270">
            <v>0</v>
          </cell>
          <cell r="AB1270">
            <v>0</v>
          </cell>
          <cell r="AD1270">
            <v>0</v>
          </cell>
          <cell r="AF1270">
            <v>0</v>
          </cell>
        </row>
        <row r="1271">
          <cell r="A1271">
            <v>1270</v>
          </cell>
          <cell r="C1271" t="e">
            <v>#N/A</v>
          </cell>
          <cell r="D1271" t="e">
            <v>#N/A</v>
          </cell>
          <cell r="E1271" t="e">
            <v>#N/A</v>
          </cell>
          <cell r="F1271" t="e">
            <v>#N/A</v>
          </cell>
          <cell r="G1271" t="e">
            <v>#N/A</v>
          </cell>
          <cell r="O1271" t="e">
            <v>#N/A</v>
          </cell>
          <cell r="S1271">
            <v>0</v>
          </cell>
          <cell r="T1271">
            <v>3138400</v>
          </cell>
          <cell r="U1271" t="str">
            <v>ya</v>
          </cell>
          <cell r="V1271" t="e">
            <v>#N/A</v>
          </cell>
          <cell r="W1271" t="e">
            <v>#N/A</v>
          </cell>
          <cell r="X1271" t="e">
            <v>#N/A</v>
          </cell>
          <cell r="Z1271">
            <v>0</v>
          </cell>
          <cell r="AB1271">
            <v>0</v>
          </cell>
          <cell r="AD1271">
            <v>0</v>
          </cell>
          <cell r="AF1271">
            <v>0</v>
          </cell>
        </row>
        <row r="1272">
          <cell r="A1272">
            <v>1271</v>
          </cell>
          <cell r="C1272" t="e">
            <v>#N/A</v>
          </cell>
          <cell r="D1272" t="e">
            <v>#N/A</v>
          </cell>
          <cell r="E1272" t="e">
            <v>#N/A</v>
          </cell>
          <cell r="F1272" t="e">
            <v>#N/A</v>
          </cell>
          <cell r="G1272" t="e">
            <v>#N/A</v>
          </cell>
          <cell r="O1272" t="e">
            <v>#N/A</v>
          </cell>
          <cell r="S1272">
            <v>0</v>
          </cell>
          <cell r="T1272">
            <v>3138400</v>
          </cell>
          <cell r="U1272" t="str">
            <v>ya</v>
          </cell>
          <cell r="V1272" t="e">
            <v>#N/A</v>
          </cell>
          <cell r="W1272" t="e">
            <v>#N/A</v>
          </cell>
          <cell r="X1272" t="e">
            <v>#N/A</v>
          </cell>
          <cell r="Z1272">
            <v>0</v>
          </cell>
          <cell r="AB1272">
            <v>0</v>
          </cell>
          <cell r="AD1272">
            <v>0</v>
          </cell>
          <cell r="AF1272">
            <v>0</v>
          </cell>
        </row>
        <row r="1273">
          <cell r="A1273">
            <v>1272</v>
          </cell>
          <cell r="C1273" t="e">
            <v>#N/A</v>
          </cell>
          <cell r="D1273" t="e">
            <v>#N/A</v>
          </cell>
          <cell r="E1273" t="e">
            <v>#N/A</v>
          </cell>
          <cell r="F1273" t="e">
            <v>#N/A</v>
          </cell>
          <cell r="G1273" t="e">
            <v>#N/A</v>
          </cell>
          <cell r="O1273" t="e">
            <v>#N/A</v>
          </cell>
          <cell r="S1273">
            <v>0</v>
          </cell>
          <cell r="T1273">
            <v>3138400</v>
          </cell>
          <cell r="V1273">
            <v>0</v>
          </cell>
          <cell r="W1273">
            <v>0</v>
          </cell>
          <cell r="X1273">
            <v>0</v>
          </cell>
          <cell r="Z1273">
            <v>0</v>
          </cell>
          <cell r="AB1273">
            <v>0</v>
          </cell>
          <cell r="AD1273">
            <v>0</v>
          </cell>
          <cell r="AF1273">
            <v>0</v>
          </cell>
        </row>
        <row r="1274">
          <cell r="A1274">
            <v>1273</v>
          </cell>
          <cell r="C1274" t="e">
            <v>#N/A</v>
          </cell>
          <cell r="D1274" t="e">
            <v>#N/A</v>
          </cell>
          <cell r="E1274" t="e">
            <v>#N/A</v>
          </cell>
          <cell r="F1274" t="e">
            <v>#N/A</v>
          </cell>
          <cell r="G1274" t="e">
            <v>#N/A</v>
          </cell>
          <cell r="O1274" t="e">
            <v>#N/A</v>
          </cell>
          <cell r="S1274">
            <v>0</v>
          </cell>
          <cell r="T1274">
            <v>3138400</v>
          </cell>
          <cell r="V1274">
            <v>0</v>
          </cell>
          <cell r="W1274">
            <v>0</v>
          </cell>
          <cell r="X1274">
            <v>0</v>
          </cell>
          <cell r="Z1274">
            <v>0</v>
          </cell>
          <cell r="AB1274">
            <v>0</v>
          </cell>
          <cell r="AD1274">
            <v>0</v>
          </cell>
          <cell r="AF1274">
            <v>0</v>
          </cell>
        </row>
        <row r="1275">
          <cell r="A1275">
            <v>1274</v>
          </cell>
          <cell r="C1275" t="e">
            <v>#N/A</v>
          </cell>
          <cell r="D1275" t="e">
            <v>#N/A</v>
          </cell>
          <cell r="E1275" t="e">
            <v>#N/A</v>
          </cell>
          <cell r="F1275" t="e">
            <v>#N/A</v>
          </cell>
          <cell r="G1275" t="e">
            <v>#N/A</v>
          </cell>
          <cell r="O1275" t="e">
            <v>#N/A</v>
          </cell>
          <cell r="S1275">
            <v>0</v>
          </cell>
          <cell r="T1275">
            <v>3138400</v>
          </cell>
          <cell r="V1275">
            <v>0</v>
          </cell>
          <cell r="W1275">
            <v>0</v>
          </cell>
          <cell r="X1275">
            <v>0</v>
          </cell>
          <cell r="Z1275">
            <v>0</v>
          </cell>
          <cell r="AB1275">
            <v>0</v>
          </cell>
          <cell r="AD1275">
            <v>0</v>
          </cell>
          <cell r="AF1275">
            <v>0</v>
          </cell>
        </row>
        <row r="1276">
          <cell r="A1276">
            <v>1275</v>
          </cell>
          <cell r="C1276" t="e">
            <v>#N/A</v>
          </cell>
          <cell r="D1276" t="e">
            <v>#N/A</v>
          </cell>
          <cell r="E1276" t="e">
            <v>#N/A</v>
          </cell>
          <cell r="F1276" t="e">
            <v>#N/A</v>
          </cell>
          <cell r="G1276" t="e">
            <v>#N/A</v>
          </cell>
          <cell r="O1276" t="e">
            <v>#N/A</v>
          </cell>
          <cell r="S1276">
            <v>0</v>
          </cell>
          <cell r="T1276">
            <v>3138400</v>
          </cell>
          <cell r="V1276">
            <v>0</v>
          </cell>
          <cell r="W1276">
            <v>0</v>
          </cell>
          <cell r="X1276">
            <v>0</v>
          </cell>
          <cell r="Z1276">
            <v>0</v>
          </cell>
          <cell r="AB1276">
            <v>0</v>
          </cell>
          <cell r="AD1276">
            <v>0</v>
          </cell>
          <cell r="AF1276">
            <v>0</v>
          </cell>
        </row>
        <row r="1277">
          <cell r="A1277">
            <v>1276</v>
          </cell>
          <cell r="C1277" t="e">
            <v>#N/A</v>
          </cell>
          <cell r="D1277" t="e">
            <v>#N/A</v>
          </cell>
          <cell r="E1277" t="e">
            <v>#N/A</v>
          </cell>
          <cell r="F1277" t="e">
            <v>#N/A</v>
          </cell>
          <cell r="G1277" t="e">
            <v>#N/A</v>
          </cell>
          <cell r="O1277" t="e">
            <v>#N/A</v>
          </cell>
          <cell r="S1277">
            <v>0</v>
          </cell>
          <cell r="T1277">
            <v>3138400</v>
          </cell>
          <cell r="U1277" t="str">
            <v>ya</v>
          </cell>
          <cell r="V1277" t="e">
            <v>#N/A</v>
          </cell>
          <cell r="W1277" t="e">
            <v>#N/A</v>
          </cell>
          <cell r="X1277" t="e">
            <v>#N/A</v>
          </cell>
          <cell r="Z1277">
            <v>0</v>
          </cell>
          <cell r="AB1277">
            <v>0</v>
          </cell>
          <cell r="AD1277">
            <v>0</v>
          </cell>
          <cell r="AF1277">
            <v>0</v>
          </cell>
        </row>
        <row r="1278">
          <cell r="A1278">
            <v>1277</v>
          </cell>
          <cell r="C1278" t="e">
            <v>#N/A</v>
          </cell>
          <cell r="D1278" t="e">
            <v>#N/A</v>
          </cell>
          <cell r="E1278" t="e">
            <v>#N/A</v>
          </cell>
          <cell r="F1278" t="e">
            <v>#N/A</v>
          </cell>
          <cell r="G1278" t="e">
            <v>#N/A</v>
          </cell>
          <cell r="O1278" t="e">
            <v>#N/A</v>
          </cell>
          <cell r="S1278">
            <v>0</v>
          </cell>
          <cell r="T1278">
            <v>3138400</v>
          </cell>
          <cell r="U1278" t="str">
            <v>ya</v>
          </cell>
          <cell r="V1278" t="e">
            <v>#N/A</v>
          </cell>
          <cell r="W1278" t="e">
            <v>#N/A</v>
          </cell>
          <cell r="X1278" t="e">
            <v>#N/A</v>
          </cell>
          <cell r="Z1278">
            <v>0</v>
          </cell>
          <cell r="AB1278">
            <v>0</v>
          </cell>
          <cell r="AD1278">
            <v>0</v>
          </cell>
          <cell r="AF1278">
            <v>0</v>
          </cell>
        </row>
        <row r="1279">
          <cell r="A1279">
            <v>1278</v>
          </cell>
          <cell r="C1279" t="e">
            <v>#N/A</v>
          </cell>
          <cell r="D1279" t="e">
            <v>#N/A</v>
          </cell>
          <cell r="E1279" t="e">
            <v>#N/A</v>
          </cell>
          <cell r="F1279" t="e">
            <v>#N/A</v>
          </cell>
          <cell r="G1279" t="e">
            <v>#N/A</v>
          </cell>
          <cell r="O1279" t="e">
            <v>#N/A</v>
          </cell>
          <cell r="S1279">
            <v>0</v>
          </cell>
          <cell r="T1279">
            <v>3138400</v>
          </cell>
          <cell r="U1279" t="str">
            <v>ya</v>
          </cell>
          <cell r="V1279" t="e">
            <v>#N/A</v>
          </cell>
          <cell r="W1279" t="e">
            <v>#N/A</v>
          </cell>
          <cell r="X1279" t="e">
            <v>#N/A</v>
          </cell>
          <cell r="Z1279">
            <v>0</v>
          </cell>
          <cell r="AB1279">
            <v>0</v>
          </cell>
          <cell r="AD1279">
            <v>0</v>
          </cell>
          <cell r="AF1279">
            <v>0</v>
          </cell>
        </row>
        <row r="1280">
          <cell r="A1280">
            <v>1279</v>
          </cell>
          <cell r="C1280" t="e">
            <v>#N/A</v>
          </cell>
          <cell r="D1280" t="e">
            <v>#N/A</v>
          </cell>
          <cell r="E1280" t="e">
            <v>#N/A</v>
          </cell>
          <cell r="F1280" t="e">
            <v>#N/A</v>
          </cell>
          <cell r="G1280" t="e">
            <v>#N/A</v>
          </cell>
          <cell r="O1280" t="e">
            <v>#N/A</v>
          </cell>
          <cell r="S1280">
            <v>0</v>
          </cell>
          <cell r="T1280">
            <v>3138400</v>
          </cell>
          <cell r="U1280" t="str">
            <v>ya</v>
          </cell>
          <cell r="V1280" t="e">
            <v>#N/A</v>
          </cell>
          <cell r="W1280" t="e">
            <v>#N/A</v>
          </cell>
          <cell r="X1280" t="e">
            <v>#N/A</v>
          </cell>
          <cell r="Z1280">
            <v>0</v>
          </cell>
          <cell r="AB1280">
            <v>0</v>
          </cell>
          <cell r="AD1280">
            <v>0</v>
          </cell>
          <cell r="AF1280">
            <v>0</v>
          </cell>
        </row>
        <row r="1281">
          <cell r="A1281">
            <v>1280</v>
          </cell>
          <cell r="C1281" t="e">
            <v>#N/A</v>
          </cell>
          <cell r="D1281" t="e">
            <v>#N/A</v>
          </cell>
          <cell r="E1281" t="e">
            <v>#N/A</v>
          </cell>
          <cell r="F1281" t="e">
            <v>#N/A</v>
          </cell>
          <cell r="G1281" t="e">
            <v>#N/A</v>
          </cell>
          <cell r="O1281" t="e">
            <v>#N/A</v>
          </cell>
          <cell r="S1281">
            <v>0</v>
          </cell>
          <cell r="T1281">
            <v>3138400</v>
          </cell>
          <cell r="U1281" t="str">
            <v>ya</v>
          </cell>
          <cell r="V1281" t="e">
            <v>#N/A</v>
          </cell>
          <cell r="W1281" t="e">
            <v>#N/A</v>
          </cell>
          <cell r="X1281" t="e">
            <v>#N/A</v>
          </cell>
          <cell r="Z1281">
            <v>0</v>
          </cell>
          <cell r="AB1281">
            <v>0</v>
          </cell>
          <cell r="AD1281">
            <v>0</v>
          </cell>
          <cell r="AF1281">
            <v>0</v>
          </cell>
        </row>
        <row r="1282">
          <cell r="A1282">
            <v>1281</v>
          </cell>
          <cell r="C1282" t="e">
            <v>#N/A</v>
          </cell>
          <cell r="D1282" t="e">
            <v>#N/A</v>
          </cell>
          <cell r="E1282" t="e">
            <v>#N/A</v>
          </cell>
          <cell r="F1282" t="e">
            <v>#N/A</v>
          </cell>
          <cell r="G1282" t="e">
            <v>#N/A</v>
          </cell>
          <cell r="O1282" t="e">
            <v>#N/A</v>
          </cell>
          <cell r="S1282">
            <v>0</v>
          </cell>
          <cell r="T1282">
            <v>3138400</v>
          </cell>
          <cell r="V1282">
            <v>0</v>
          </cell>
          <cell r="W1282">
            <v>0</v>
          </cell>
          <cell r="X1282">
            <v>0</v>
          </cell>
          <cell r="Z1282">
            <v>0</v>
          </cell>
          <cell r="AB1282">
            <v>0</v>
          </cell>
          <cell r="AD1282">
            <v>0</v>
          </cell>
          <cell r="AF1282">
            <v>0</v>
          </cell>
        </row>
        <row r="1283">
          <cell r="A1283">
            <v>1282</v>
          </cell>
          <cell r="C1283" t="e">
            <v>#N/A</v>
          </cell>
          <cell r="D1283" t="e">
            <v>#N/A</v>
          </cell>
          <cell r="E1283" t="e">
            <v>#N/A</v>
          </cell>
          <cell r="F1283" t="e">
            <v>#N/A</v>
          </cell>
          <cell r="G1283" t="e">
            <v>#N/A</v>
          </cell>
          <cell r="O1283" t="e">
            <v>#N/A</v>
          </cell>
          <cell r="S1283">
            <v>0</v>
          </cell>
          <cell r="T1283">
            <v>3138400</v>
          </cell>
          <cell r="V1283">
            <v>0</v>
          </cell>
          <cell r="W1283">
            <v>0</v>
          </cell>
          <cell r="X1283">
            <v>0</v>
          </cell>
          <cell r="Z1283">
            <v>0</v>
          </cell>
          <cell r="AB1283">
            <v>0</v>
          </cell>
          <cell r="AD1283">
            <v>0</v>
          </cell>
          <cell r="AF1283">
            <v>0</v>
          </cell>
        </row>
        <row r="1284">
          <cell r="A1284">
            <v>1283</v>
          </cell>
          <cell r="C1284" t="e">
            <v>#N/A</v>
          </cell>
          <cell r="D1284" t="e">
            <v>#N/A</v>
          </cell>
          <cell r="E1284" t="e">
            <v>#N/A</v>
          </cell>
          <cell r="F1284" t="e">
            <v>#N/A</v>
          </cell>
          <cell r="G1284" t="e">
            <v>#N/A</v>
          </cell>
          <cell r="O1284" t="e">
            <v>#N/A</v>
          </cell>
          <cell r="S1284">
            <v>0</v>
          </cell>
          <cell r="T1284">
            <v>3138400</v>
          </cell>
          <cell r="V1284">
            <v>0</v>
          </cell>
          <cell r="W1284">
            <v>0</v>
          </cell>
          <cell r="X1284">
            <v>0</v>
          </cell>
          <cell r="Z1284">
            <v>0</v>
          </cell>
          <cell r="AB1284">
            <v>0</v>
          </cell>
          <cell r="AD1284">
            <v>0</v>
          </cell>
          <cell r="AF1284">
            <v>0</v>
          </cell>
        </row>
        <row r="1285">
          <cell r="A1285">
            <v>1284</v>
          </cell>
          <cell r="C1285" t="e">
            <v>#N/A</v>
          </cell>
          <cell r="D1285" t="e">
            <v>#N/A</v>
          </cell>
          <cell r="E1285" t="e">
            <v>#N/A</v>
          </cell>
          <cell r="F1285" t="e">
            <v>#N/A</v>
          </cell>
          <cell r="G1285" t="e">
            <v>#N/A</v>
          </cell>
          <cell r="O1285" t="e">
            <v>#N/A</v>
          </cell>
          <cell r="S1285">
            <v>0</v>
          </cell>
          <cell r="T1285">
            <v>3138400</v>
          </cell>
          <cell r="V1285">
            <v>0</v>
          </cell>
          <cell r="W1285">
            <v>0</v>
          </cell>
          <cell r="X1285">
            <v>0</v>
          </cell>
          <cell r="Z1285">
            <v>0</v>
          </cell>
          <cell r="AB1285">
            <v>0</v>
          </cell>
          <cell r="AD1285">
            <v>0</v>
          </cell>
          <cell r="AF1285">
            <v>0</v>
          </cell>
        </row>
        <row r="1286">
          <cell r="A1286">
            <v>1285</v>
          </cell>
          <cell r="C1286" t="e">
            <v>#N/A</v>
          </cell>
          <cell r="D1286" t="e">
            <v>#N/A</v>
          </cell>
          <cell r="E1286" t="e">
            <v>#N/A</v>
          </cell>
          <cell r="F1286" t="e">
            <v>#N/A</v>
          </cell>
          <cell r="G1286" t="e">
            <v>#N/A</v>
          </cell>
          <cell r="O1286" t="e">
            <v>#N/A</v>
          </cell>
          <cell r="S1286">
            <v>0</v>
          </cell>
          <cell r="T1286">
            <v>3138400</v>
          </cell>
          <cell r="V1286">
            <v>0</v>
          </cell>
          <cell r="W1286">
            <v>0</v>
          </cell>
          <cell r="X1286">
            <v>0</v>
          </cell>
          <cell r="Z1286">
            <v>0</v>
          </cell>
          <cell r="AB1286">
            <v>0</v>
          </cell>
          <cell r="AD1286">
            <v>0</v>
          </cell>
          <cell r="AF1286">
            <v>0</v>
          </cell>
        </row>
        <row r="1287">
          <cell r="A1287">
            <v>1286</v>
          </cell>
          <cell r="C1287" t="e">
            <v>#N/A</v>
          </cell>
          <cell r="D1287" t="e">
            <v>#N/A</v>
          </cell>
          <cell r="E1287" t="e">
            <v>#N/A</v>
          </cell>
          <cell r="F1287" t="e">
            <v>#N/A</v>
          </cell>
          <cell r="G1287" t="e">
            <v>#N/A</v>
          </cell>
          <cell r="O1287" t="e">
            <v>#N/A</v>
          </cell>
          <cell r="S1287">
            <v>0</v>
          </cell>
          <cell r="T1287">
            <v>3138400</v>
          </cell>
          <cell r="V1287">
            <v>0</v>
          </cell>
          <cell r="W1287">
            <v>0</v>
          </cell>
          <cell r="X1287">
            <v>0</v>
          </cell>
          <cell r="Z1287">
            <v>0</v>
          </cell>
          <cell r="AB1287">
            <v>0</v>
          </cell>
          <cell r="AD1287">
            <v>0</v>
          </cell>
          <cell r="AF1287">
            <v>0</v>
          </cell>
        </row>
        <row r="1288">
          <cell r="A1288">
            <v>1287</v>
          </cell>
          <cell r="C1288" t="e">
            <v>#N/A</v>
          </cell>
          <cell r="D1288" t="e">
            <v>#N/A</v>
          </cell>
          <cell r="E1288" t="e">
            <v>#N/A</v>
          </cell>
          <cell r="F1288" t="e">
            <v>#N/A</v>
          </cell>
          <cell r="G1288" t="e">
            <v>#N/A</v>
          </cell>
          <cell r="O1288" t="e">
            <v>#N/A</v>
          </cell>
          <cell r="S1288">
            <v>0</v>
          </cell>
          <cell r="T1288">
            <v>3138400</v>
          </cell>
          <cell r="V1288">
            <v>0</v>
          </cell>
          <cell r="W1288">
            <v>0</v>
          </cell>
          <cell r="X1288">
            <v>0</v>
          </cell>
          <cell r="Z1288">
            <v>0</v>
          </cell>
          <cell r="AB1288">
            <v>0</v>
          </cell>
          <cell r="AD1288">
            <v>0</v>
          </cell>
          <cell r="AF1288">
            <v>0</v>
          </cell>
        </row>
        <row r="1289">
          <cell r="A1289">
            <v>1288</v>
          </cell>
          <cell r="C1289" t="e">
            <v>#N/A</v>
          </cell>
          <cell r="D1289" t="e">
            <v>#N/A</v>
          </cell>
          <cell r="E1289" t="e">
            <v>#N/A</v>
          </cell>
          <cell r="F1289" t="e">
            <v>#N/A</v>
          </cell>
          <cell r="G1289" t="e">
            <v>#N/A</v>
          </cell>
          <cell r="O1289" t="e">
            <v>#N/A</v>
          </cell>
          <cell r="S1289">
            <v>0</v>
          </cell>
          <cell r="T1289">
            <v>3138400</v>
          </cell>
          <cell r="V1289">
            <v>0</v>
          </cell>
          <cell r="W1289">
            <v>0</v>
          </cell>
          <cell r="X1289">
            <v>0</v>
          </cell>
          <cell r="Z1289">
            <v>0</v>
          </cell>
          <cell r="AB1289">
            <v>0</v>
          </cell>
          <cell r="AD1289">
            <v>0</v>
          </cell>
          <cell r="AF1289">
            <v>0</v>
          </cell>
        </row>
        <row r="1290">
          <cell r="A1290">
            <v>1289</v>
          </cell>
          <cell r="C1290" t="e">
            <v>#N/A</v>
          </cell>
          <cell r="D1290" t="e">
            <v>#N/A</v>
          </cell>
          <cell r="E1290" t="e">
            <v>#N/A</v>
          </cell>
          <cell r="F1290" t="e">
            <v>#N/A</v>
          </cell>
          <cell r="G1290" t="e">
            <v>#N/A</v>
          </cell>
          <cell r="O1290" t="e">
            <v>#N/A</v>
          </cell>
          <cell r="S1290">
            <v>0</v>
          </cell>
          <cell r="T1290">
            <v>3138400</v>
          </cell>
          <cell r="V1290">
            <v>0</v>
          </cell>
          <cell r="W1290">
            <v>0</v>
          </cell>
          <cell r="X1290">
            <v>0</v>
          </cell>
          <cell r="Z1290">
            <v>0</v>
          </cell>
          <cell r="AB1290">
            <v>0</v>
          </cell>
          <cell r="AD1290">
            <v>0</v>
          </cell>
          <cell r="AF1290">
            <v>0</v>
          </cell>
        </row>
        <row r="1291">
          <cell r="A1291">
            <v>1290</v>
          </cell>
          <cell r="C1291" t="e">
            <v>#N/A</v>
          </cell>
          <cell r="D1291" t="e">
            <v>#N/A</v>
          </cell>
          <cell r="E1291" t="e">
            <v>#N/A</v>
          </cell>
          <cell r="F1291" t="e">
            <v>#N/A</v>
          </cell>
          <cell r="G1291" t="e">
            <v>#N/A</v>
          </cell>
          <cell r="O1291" t="e">
            <v>#N/A</v>
          </cell>
          <cell r="S1291">
            <v>0</v>
          </cell>
          <cell r="T1291">
            <v>3138400</v>
          </cell>
          <cell r="V1291">
            <v>0</v>
          </cell>
          <cell r="W1291">
            <v>0</v>
          </cell>
          <cell r="X1291">
            <v>0</v>
          </cell>
          <cell r="Z1291">
            <v>0</v>
          </cell>
          <cell r="AB1291">
            <v>0</v>
          </cell>
          <cell r="AD1291">
            <v>0</v>
          </cell>
          <cell r="AF1291">
            <v>0</v>
          </cell>
        </row>
        <row r="1292">
          <cell r="A1292">
            <v>1291</v>
          </cell>
          <cell r="C1292" t="e">
            <v>#N/A</v>
          </cell>
          <cell r="D1292" t="e">
            <v>#N/A</v>
          </cell>
          <cell r="E1292" t="e">
            <v>#N/A</v>
          </cell>
          <cell r="F1292" t="e">
            <v>#N/A</v>
          </cell>
          <cell r="G1292" t="e">
            <v>#N/A</v>
          </cell>
          <cell r="O1292" t="e">
            <v>#N/A</v>
          </cell>
          <cell r="S1292">
            <v>0</v>
          </cell>
          <cell r="T1292">
            <v>3138400</v>
          </cell>
          <cell r="V1292">
            <v>0</v>
          </cell>
          <cell r="W1292">
            <v>0</v>
          </cell>
          <cell r="X1292">
            <v>0</v>
          </cell>
          <cell r="Z1292">
            <v>0</v>
          </cell>
          <cell r="AB1292">
            <v>0</v>
          </cell>
          <cell r="AD1292">
            <v>0</v>
          </cell>
          <cell r="AF1292">
            <v>0</v>
          </cell>
        </row>
        <row r="1293">
          <cell r="A1293">
            <v>1292</v>
          </cell>
          <cell r="C1293" t="e">
            <v>#N/A</v>
          </cell>
          <cell r="D1293" t="e">
            <v>#N/A</v>
          </cell>
          <cell r="E1293" t="e">
            <v>#N/A</v>
          </cell>
          <cell r="F1293" t="e">
            <v>#N/A</v>
          </cell>
          <cell r="G1293" t="e">
            <v>#N/A</v>
          </cell>
          <cell r="O1293" t="e">
            <v>#N/A</v>
          </cell>
          <cell r="S1293">
            <v>0</v>
          </cell>
          <cell r="T1293">
            <v>3138400</v>
          </cell>
          <cell r="U1293" t="str">
            <v>ya</v>
          </cell>
          <cell r="V1293" t="e">
            <v>#N/A</v>
          </cell>
          <cell r="W1293" t="e">
            <v>#N/A</v>
          </cell>
          <cell r="X1293" t="e">
            <v>#N/A</v>
          </cell>
          <cell r="Z1293">
            <v>0</v>
          </cell>
          <cell r="AB1293">
            <v>0</v>
          </cell>
          <cell r="AD1293">
            <v>0</v>
          </cell>
          <cell r="AF1293">
            <v>0</v>
          </cell>
        </row>
        <row r="1294">
          <cell r="A1294">
            <v>1293</v>
          </cell>
          <cell r="C1294" t="e">
            <v>#N/A</v>
          </cell>
          <cell r="D1294" t="e">
            <v>#N/A</v>
          </cell>
          <cell r="E1294" t="e">
            <v>#N/A</v>
          </cell>
          <cell r="F1294" t="e">
            <v>#N/A</v>
          </cell>
          <cell r="G1294" t="e">
            <v>#N/A</v>
          </cell>
          <cell r="O1294" t="e">
            <v>#N/A</v>
          </cell>
          <cell r="S1294">
            <v>0</v>
          </cell>
          <cell r="T1294">
            <v>3138400</v>
          </cell>
          <cell r="U1294" t="str">
            <v>ya</v>
          </cell>
          <cell r="V1294" t="e">
            <v>#N/A</v>
          </cell>
          <cell r="W1294" t="e">
            <v>#N/A</v>
          </cell>
          <cell r="X1294" t="e">
            <v>#N/A</v>
          </cell>
          <cell r="Z1294">
            <v>0</v>
          </cell>
          <cell r="AB1294">
            <v>0</v>
          </cell>
          <cell r="AD1294">
            <v>0</v>
          </cell>
          <cell r="AF1294">
            <v>0</v>
          </cell>
        </row>
        <row r="1295">
          <cell r="A1295">
            <v>1294</v>
          </cell>
          <cell r="C1295" t="e">
            <v>#N/A</v>
          </cell>
          <cell r="D1295" t="e">
            <v>#N/A</v>
          </cell>
          <cell r="E1295" t="e">
            <v>#N/A</v>
          </cell>
          <cell r="F1295" t="e">
            <v>#N/A</v>
          </cell>
          <cell r="G1295" t="e">
            <v>#N/A</v>
          </cell>
          <cell r="O1295" t="e">
            <v>#N/A</v>
          </cell>
          <cell r="S1295">
            <v>0</v>
          </cell>
          <cell r="T1295">
            <v>3138400</v>
          </cell>
          <cell r="U1295" t="str">
            <v>ya</v>
          </cell>
          <cell r="V1295" t="e">
            <v>#N/A</v>
          </cell>
          <cell r="W1295" t="e">
            <v>#N/A</v>
          </cell>
          <cell r="X1295" t="e">
            <v>#N/A</v>
          </cell>
          <cell r="Z1295">
            <v>0</v>
          </cell>
          <cell r="AB1295">
            <v>0</v>
          </cell>
          <cell r="AD1295">
            <v>0</v>
          </cell>
          <cell r="AF1295">
            <v>0</v>
          </cell>
        </row>
        <row r="1296">
          <cell r="A1296">
            <v>1295</v>
          </cell>
          <cell r="C1296" t="e">
            <v>#N/A</v>
          </cell>
          <cell r="D1296" t="e">
            <v>#N/A</v>
          </cell>
          <cell r="E1296" t="e">
            <v>#N/A</v>
          </cell>
          <cell r="F1296" t="e">
            <v>#N/A</v>
          </cell>
          <cell r="G1296" t="e">
            <v>#N/A</v>
          </cell>
          <cell r="O1296" t="e">
            <v>#N/A</v>
          </cell>
          <cell r="S1296">
            <v>0</v>
          </cell>
          <cell r="T1296">
            <v>3138400</v>
          </cell>
          <cell r="U1296" t="str">
            <v>ya</v>
          </cell>
          <cell r="V1296" t="e">
            <v>#N/A</v>
          </cell>
          <cell r="W1296" t="e">
            <v>#N/A</v>
          </cell>
          <cell r="X1296" t="e">
            <v>#N/A</v>
          </cell>
          <cell r="Z1296">
            <v>0</v>
          </cell>
          <cell r="AB1296">
            <v>0</v>
          </cell>
          <cell r="AD1296">
            <v>0</v>
          </cell>
          <cell r="AF1296">
            <v>0</v>
          </cell>
        </row>
        <row r="1297">
          <cell r="A1297">
            <v>1296</v>
          </cell>
          <cell r="C1297" t="e">
            <v>#N/A</v>
          </cell>
          <cell r="D1297" t="e">
            <v>#N/A</v>
          </cell>
          <cell r="E1297" t="e">
            <v>#N/A</v>
          </cell>
          <cell r="F1297" t="e">
            <v>#N/A</v>
          </cell>
          <cell r="G1297" t="e">
            <v>#N/A</v>
          </cell>
          <cell r="O1297" t="e">
            <v>#N/A</v>
          </cell>
          <cell r="S1297">
            <v>0</v>
          </cell>
          <cell r="T1297">
            <v>3138400</v>
          </cell>
          <cell r="U1297" t="str">
            <v>ya</v>
          </cell>
          <cell r="V1297" t="e">
            <v>#N/A</v>
          </cell>
          <cell r="W1297" t="e">
            <v>#N/A</v>
          </cell>
          <cell r="X1297" t="e">
            <v>#N/A</v>
          </cell>
          <cell r="Z1297">
            <v>0</v>
          </cell>
          <cell r="AB1297">
            <v>0</v>
          </cell>
          <cell r="AD1297">
            <v>0</v>
          </cell>
          <cell r="AF1297">
            <v>0</v>
          </cell>
        </row>
        <row r="1298">
          <cell r="A1298">
            <v>1297</v>
          </cell>
          <cell r="C1298" t="e">
            <v>#N/A</v>
          </cell>
          <cell r="D1298" t="e">
            <v>#N/A</v>
          </cell>
          <cell r="E1298" t="e">
            <v>#N/A</v>
          </cell>
          <cell r="F1298" t="e">
            <v>#N/A</v>
          </cell>
          <cell r="G1298" t="e">
            <v>#N/A</v>
          </cell>
          <cell r="O1298" t="e">
            <v>#N/A</v>
          </cell>
          <cell r="S1298">
            <v>0</v>
          </cell>
          <cell r="T1298">
            <v>3138400</v>
          </cell>
          <cell r="U1298" t="str">
            <v>ya</v>
          </cell>
          <cell r="V1298" t="e">
            <v>#N/A</v>
          </cell>
          <cell r="W1298" t="e">
            <v>#N/A</v>
          </cell>
          <cell r="X1298" t="e">
            <v>#N/A</v>
          </cell>
          <cell r="Z1298">
            <v>0</v>
          </cell>
          <cell r="AB1298">
            <v>0</v>
          </cell>
          <cell r="AD1298">
            <v>0</v>
          </cell>
          <cell r="AF1298">
            <v>0</v>
          </cell>
        </row>
        <row r="1299">
          <cell r="A1299">
            <v>1298</v>
          </cell>
          <cell r="C1299" t="e">
            <v>#N/A</v>
          </cell>
          <cell r="D1299" t="e">
            <v>#N/A</v>
          </cell>
          <cell r="E1299" t="e">
            <v>#N/A</v>
          </cell>
          <cell r="F1299" t="e">
            <v>#N/A</v>
          </cell>
          <cell r="G1299" t="e">
            <v>#N/A</v>
          </cell>
          <cell r="O1299" t="e">
            <v>#N/A</v>
          </cell>
          <cell r="S1299">
            <v>0</v>
          </cell>
          <cell r="T1299">
            <v>3138400</v>
          </cell>
          <cell r="U1299" t="str">
            <v>ya</v>
          </cell>
          <cell r="V1299" t="e">
            <v>#N/A</v>
          </cell>
          <cell r="W1299" t="e">
            <v>#N/A</v>
          </cell>
          <cell r="X1299" t="e">
            <v>#N/A</v>
          </cell>
          <cell r="Z1299">
            <v>0</v>
          </cell>
          <cell r="AB1299">
            <v>0</v>
          </cell>
          <cell r="AD1299">
            <v>0</v>
          </cell>
          <cell r="AF1299">
            <v>0</v>
          </cell>
        </row>
        <row r="1300">
          <cell r="A1300">
            <v>1299</v>
          </cell>
          <cell r="C1300" t="e">
            <v>#N/A</v>
          </cell>
          <cell r="D1300" t="e">
            <v>#N/A</v>
          </cell>
          <cell r="E1300" t="e">
            <v>#N/A</v>
          </cell>
          <cell r="F1300" t="e">
            <v>#N/A</v>
          </cell>
          <cell r="G1300" t="e">
            <v>#N/A</v>
          </cell>
          <cell r="O1300" t="e">
            <v>#N/A</v>
          </cell>
          <cell r="S1300">
            <v>0</v>
          </cell>
          <cell r="T1300">
            <v>3138400</v>
          </cell>
          <cell r="U1300" t="str">
            <v>ya</v>
          </cell>
          <cell r="V1300" t="e">
            <v>#N/A</v>
          </cell>
          <cell r="W1300" t="e">
            <v>#N/A</v>
          </cell>
          <cell r="X1300" t="e">
            <v>#N/A</v>
          </cell>
          <cell r="Z1300">
            <v>0</v>
          </cell>
          <cell r="AB1300">
            <v>0</v>
          </cell>
          <cell r="AD1300">
            <v>0</v>
          </cell>
          <cell r="AF1300">
            <v>0</v>
          </cell>
        </row>
        <row r="1301">
          <cell r="A1301">
            <v>1300</v>
          </cell>
          <cell r="C1301" t="e">
            <v>#N/A</v>
          </cell>
          <cell r="D1301" t="e">
            <v>#N/A</v>
          </cell>
          <cell r="E1301" t="e">
            <v>#N/A</v>
          </cell>
          <cell r="F1301" t="e">
            <v>#N/A</v>
          </cell>
          <cell r="G1301" t="e">
            <v>#N/A</v>
          </cell>
          <cell r="O1301" t="e">
            <v>#N/A</v>
          </cell>
          <cell r="S1301">
            <v>0</v>
          </cell>
          <cell r="T1301">
            <v>3138400</v>
          </cell>
          <cell r="U1301" t="str">
            <v>ya</v>
          </cell>
          <cell r="V1301" t="e">
            <v>#N/A</v>
          </cell>
          <cell r="W1301" t="e">
            <v>#N/A</v>
          </cell>
          <cell r="X1301" t="e">
            <v>#N/A</v>
          </cell>
          <cell r="Z1301">
            <v>0</v>
          </cell>
          <cell r="AB1301">
            <v>0</v>
          </cell>
          <cell r="AD1301">
            <v>0</v>
          </cell>
          <cell r="AF1301">
            <v>0</v>
          </cell>
        </row>
        <row r="1302">
          <cell r="A1302">
            <v>1301</v>
          </cell>
          <cell r="C1302" t="e">
            <v>#N/A</v>
          </cell>
          <cell r="D1302" t="e">
            <v>#N/A</v>
          </cell>
          <cell r="E1302" t="e">
            <v>#N/A</v>
          </cell>
          <cell r="F1302" t="e">
            <v>#N/A</v>
          </cell>
          <cell r="G1302" t="e">
            <v>#N/A</v>
          </cell>
          <cell r="O1302" t="e">
            <v>#N/A</v>
          </cell>
          <cell r="S1302">
            <v>0</v>
          </cell>
          <cell r="T1302">
            <v>3138400</v>
          </cell>
          <cell r="U1302" t="str">
            <v>ya</v>
          </cell>
          <cell r="V1302" t="e">
            <v>#N/A</v>
          </cell>
          <cell r="W1302" t="e">
            <v>#N/A</v>
          </cell>
          <cell r="X1302" t="e">
            <v>#N/A</v>
          </cell>
          <cell r="Z1302">
            <v>0</v>
          </cell>
          <cell r="AB1302">
            <v>0</v>
          </cell>
          <cell r="AD1302">
            <v>0</v>
          </cell>
          <cell r="AF1302">
            <v>0</v>
          </cell>
        </row>
        <row r="1303">
          <cell r="A1303">
            <v>1302</v>
          </cell>
          <cell r="C1303" t="e">
            <v>#N/A</v>
          </cell>
          <cell r="D1303" t="e">
            <v>#N/A</v>
          </cell>
          <cell r="E1303" t="e">
            <v>#N/A</v>
          </cell>
          <cell r="F1303" t="e">
            <v>#N/A</v>
          </cell>
          <cell r="G1303" t="e">
            <v>#N/A</v>
          </cell>
          <cell r="O1303" t="e">
            <v>#N/A</v>
          </cell>
          <cell r="S1303">
            <v>0</v>
          </cell>
          <cell r="T1303">
            <v>3138400</v>
          </cell>
          <cell r="V1303">
            <v>0</v>
          </cell>
          <cell r="W1303">
            <v>0</v>
          </cell>
          <cell r="X1303">
            <v>0</v>
          </cell>
          <cell r="Z1303">
            <v>0</v>
          </cell>
          <cell r="AB1303">
            <v>0</v>
          </cell>
          <cell r="AD1303">
            <v>0</v>
          </cell>
          <cell r="AF1303">
            <v>0</v>
          </cell>
        </row>
        <row r="1304">
          <cell r="A1304">
            <v>1303</v>
          </cell>
          <cell r="C1304" t="e">
            <v>#N/A</v>
          </cell>
          <cell r="D1304" t="e">
            <v>#N/A</v>
          </cell>
          <cell r="E1304" t="e">
            <v>#N/A</v>
          </cell>
          <cell r="F1304" t="e">
            <v>#N/A</v>
          </cell>
          <cell r="G1304" t="e">
            <v>#N/A</v>
          </cell>
          <cell r="O1304" t="e">
            <v>#N/A</v>
          </cell>
          <cell r="S1304">
            <v>0</v>
          </cell>
          <cell r="T1304">
            <v>3138400</v>
          </cell>
          <cell r="V1304">
            <v>0</v>
          </cell>
          <cell r="W1304">
            <v>0</v>
          </cell>
          <cell r="X1304">
            <v>0</v>
          </cell>
          <cell r="Z1304">
            <v>0</v>
          </cell>
          <cell r="AB1304">
            <v>0</v>
          </cell>
          <cell r="AD1304">
            <v>0</v>
          </cell>
          <cell r="AF1304">
            <v>0</v>
          </cell>
        </row>
        <row r="1305">
          <cell r="A1305">
            <v>1304</v>
          </cell>
          <cell r="C1305" t="e">
            <v>#N/A</v>
          </cell>
          <cell r="D1305" t="e">
            <v>#N/A</v>
          </cell>
          <cell r="E1305" t="e">
            <v>#N/A</v>
          </cell>
          <cell r="F1305" t="e">
            <v>#N/A</v>
          </cell>
          <cell r="G1305" t="e">
            <v>#N/A</v>
          </cell>
          <cell r="O1305" t="e">
            <v>#N/A</v>
          </cell>
          <cell r="S1305">
            <v>0</v>
          </cell>
          <cell r="T1305">
            <v>3138400</v>
          </cell>
          <cell r="V1305">
            <v>0</v>
          </cell>
          <cell r="W1305">
            <v>0</v>
          </cell>
          <cell r="X1305">
            <v>0</v>
          </cell>
          <cell r="Z1305">
            <v>0</v>
          </cell>
          <cell r="AB1305">
            <v>0</v>
          </cell>
          <cell r="AD1305">
            <v>0</v>
          </cell>
          <cell r="AF1305">
            <v>0</v>
          </cell>
        </row>
        <row r="1306">
          <cell r="A1306">
            <v>1305</v>
          </cell>
          <cell r="C1306" t="e">
            <v>#N/A</v>
          </cell>
          <cell r="D1306" t="e">
            <v>#N/A</v>
          </cell>
          <cell r="E1306" t="e">
            <v>#N/A</v>
          </cell>
          <cell r="F1306" t="e">
            <v>#N/A</v>
          </cell>
          <cell r="G1306" t="e">
            <v>#N/A</v>
          </cell>
          <cell r="O1306" t="e">
            <v>#N/A</v>
          </cell>
          <cell r="S1306">
            <v>0</v>
          </cell>
          <cell r="T1306">
            <v>3138400</v>
          </cell>
          <cell r="V1306">
            <v>0</v>
          </cell>
          <cell r="W1306">
            <v>0</v>
          </cell>
          <cell r="X1306">
            <v>0</v>
          </cell>
          <cell r="Z1306">
            <v>0</v>
          </cell>
          <cell r="AB1306">
            <v>0</v>
          </cell>
          <cell r="AD1306">
            <v>0</v>
          </cell>
          <cell r="AF1306">
            <v>0</v>
          </cell>
        </row>
        <row r="1307">
          <cell r="A1307">
            <v>1306</v>
          </cell>
          <cell r="C1307" t="e">
            <v>#N/A</v>
          </cell>
          <cell r="D1307" t="e">
            <v>#N/A</v>
          </cell>
          <cell r="E1307" t="e">
            <v>#N/A</v>
          </cell>
          <cell r="F1307" t="e">
            <v>#N/A</v>
          </cell>
          <cell r="G1307" t="e">
            <v>#N/A</v>
          </cell>
          <cell r="O1307" t="e">
            <v>#N/A</v>
          </cell>
          <cell r="S1307">
            <v>0</v>
          </cell>
          <cell r="T1307">
            <v>3138400</v>
          </cell>
          <cell r="V1307">
            <v>0</v>
          </cell>
          <cell r="W1307">
            <v>0</v>
          </cell>
          <cell r="X1307">
            <v>0</v>
          </cell>
          <cell r="Z1307">
            <v>0</v>
          </cell>
          <cell r="AB1307">
            <v>0</v>
          </cell>
          <cell r="AD1307">
            <v>0</v>
          </cell>
          <cell r="AF1307">
            <v>0</v>
          </cell>
        </row>
        <row r="1308">
          <cell r="A1308">
            <v>1307</v>
          </cell>
          <cell r="C1308" t="e">
            <v>#N/A</v>
          </cell>
          <cell r="D1308" t="e">
            <v>#N/A</v>
          </cell>
          <cell r="E1308" t="e">
            <v>#N/A</v>
          </cell>
          <cell r="F1308" t="e">
            <v>#N/A</v>
          </cell>
          <cell r="G1308" t="e">
            <v>#N/A</v>
          </cell>
          <cell r="O1308" t="e">
            <v>#N/A</v>
          </cell>
          <cell r="S1308">
            <v>0</v>
          </cell>
          <cell r="T1308">
            <v>3138400</v>
          </cell>
          <cell r="V1308">
            <v>0</v>
          </cell>
          <cell r="W1308">
            <v>0</v>
          </cell>
          <cell r="X1308">
            <v>0</v>
          </cell>
          <cell r="Z1308">
            <v>0</v>
          </cell>
          <cell r="AB1308">
            <v>0</v>
          </cell>
          <cell r="AD1308">
            <v>0</v>
          </cell>
          <cell r="AF1308">
            <v>0</v>
          </cell>
        </row>
        <row r="1309">
          <cell r="A1309">
            <v>1308</v>
          </cell>
          <cell r="C1309" t="e">
            <v>#N/A</v>
          </cell>
          <cell r="D1309" t="e">
            <v>#N/A</v>
          </cell>
          <cell r="E1309" t="e">
            <v>#N/A</v>
          </cell>
          <cell r="F1309" t="e">
            <v>#N/A</v>
          </cell>
          <cell r="G1309" t="e">
            <v>#N/A</v>
          </cell>
          <cell r="O1309" t="e">
            <v>#N/A</v>
          </cell>
          <cell r="S1309">
            <v>0</v>
          </cell>
          <cell r="T1309">
            <v>3138400</v>
          </cell>
          <cell r="V1309">
            <v>0</v>
          </cell>
          <cell r="W1309">
            <v>0</v>
          </cell>
          <cell r="X1309">
            <v>0</v>
          </cell>
          <cell r="Z1309">
            <v>0</v>
          </cell>
          <cell r="AB1309">
            <v>0</v>
          </cell>
          <cell r="AD1309">
            <v>0</v>
          </cell>
          <cell r="AF1309">
            <v>0</v>
          </cell>
        </row>
        <row r="1310">
          <cell r="A1310">
            <v>1309</v>
          </cell>
          <cell r="C1310" t="e">
            <v>#N/A</v>
          </cell>
          <cell r="D1310" t="e">
            <v>#N/A</v>
          </cell>
          <cell r="E1310" t="e">
            <v>#N/A</v>
          </cell>
          <cell r="F1310" t="e">
            <v>#N/A</v>
          </cell>
          <cell r="G1310" t="e">
            <v>#N/A</v>
          </cell>
          <cell r="O1310" t="e">
            <v>#N/A</v>
          </cell>
          <cell r="S1310">
            <v>0</v>
          </cell>
          <cell r="T1310">
            <v>3138400</v>
          </cell>
          <cell r="V1310">
            <v>0</v>
          </cell>
          <cell r="W1310">
            <v>0</v>
          </cell>
          <cell r="X1310">
            <v>0</v>
          </cell>
          <cell r="Z1310">
            <v>0</v>
          </cell>
          <cell r="AB1310">
            <v>0</v>
          </cell>
          <cell r="AD1310">
            <v>0</v>
          </cell>
          <cell r="AF1310">
            <v>0</v>
          </cell>
        </row>
        <row r="1311">
          <cell r="A1311">
            <v>1310</v>
          </cell>
          <cell r="C1311" t="e">
            <v>#N/A</v>
          </cell>
          <cell r="D1311" t="e">
            <v>#N/A</v>
          </cell>
          <cell r="E1311" t="e">
            <v>#N/A</v>
          </cell>
          <cell r="F1311" t="e">
            <v>#N/A</v>
          </cell>
          <cell r="G1311" t="e">
            <v>#N/A</v>
          </cell>
          <cell r="O1311" t="e">
            <v>#N/A</v>
          </cell>
          <cell r="S1311">
            <v>0</v>
          </cell>
          <cell r="T1311">
            <v>3138400</v>
          </cell>
          <cell r="V1311">
            <v>0</v>
          </cell>
          <cell r="W1311">
            <v>0</v>
          </cell>
          <cell r="X1311">
            <v>0</v>
          </cell>
          <cell r="Z1311">
            <v>0</v>
          </cell>
          <cell r="AB1311">
            <v>0</v>
          </cell>
          <cell r="AD1311">
            <v>0</v>
          </cell>
          <cell r="AF1311">
            <v>0</v>
          </cell>
        </row>
        <row r="1312">
          <cell r="A1312">
            <v>1311</v>
          </cell>
          <cell r="C1312" t="e">
            <v>#N/A</v>
          </cell>
          <cell r="D1312" t="e">
            <v>#N/A</v>
          </cell>
          <cell r="E1312" t="e">
            <v>#N/A</v>
          </cell>
          <cell r="F1312" t="e">
            <v>#N/A</v>
          </cell>
          <cell r="G1312" t="e">
            <v>#N/A</v>
          </cell>
          <cell r="O1312" t="e">
            <v>#N/A</v>
          </cell>
          <cell r="S1312">
            <v>0</v>
          </cell>
          <cell r="T1312">
            <v>3138400</v>
          </cell>
          <cell r="U1312" t="str">
            <v>ya</v>
          </cell>
          <cell r="V1312" t="e">
            <v>#N/A</v>
          </cell>
          <cell r="W1312" t="e">
            <v>#N/A</v>
          </cell>
          <cell r="X1312" t="e">
            <v>#N/A</v>
          </cell>
          <cell r="Z1312">
            <v>0</v>
          </cell>
          <cell r="AB1312">
            <v>0</v>
          </cell>
          <cell r="AD1312">
            <v>0</v>
          </cell>
          <cell r="AF1312">
            <v>0</v>
          </cell>
        </row>
        <row r="1313">
          <cell r="A1313">
            <v>1312</v>
          </cell>
          <cell r="C1313" t="e">
            <v>#N/A</v>
          </cell>
          <cell r="D1313" t="e">
            <v>#N/A</v>
          </cell>
          <cell r="E1313" t="e">
            <v>#N/A</v>
          </cell>
          <cell r="F1313" t="e">
            <v>#N/A</v>
          </cell>
          <cell r="G1313" t="e">
            <v>#N/A</v>
          </cell>
          <cell r="O1313" t="e">
            <v>#N/A</v>
          </cell>
          <cell r="S1313">
            <v>0</v>
          </cell>
          <cell r="T1313">
            <v>3138400</v>
          </cell>
          <cell r="U1313" t="str">
            <v>ya</v>
          </cell>
          <cell r="V1313" t="e">
            <v>#N/A</v>
          </cell>
          <cell r="W1313" t="e">
            <v>#N/A</v>
          </cell>
          <cell r="X1313" t="e">
            <v>#N/A</v>
          </cell>
          <cell r="Z1313">
            <v>0</v>
          </cell>
          <cell r="AB1313">
            <v>0</v>
          </cell>
          <cell r="AD1313">
            <v>0</v>
          </cell>
          <cell r="AF1313">
            <v>0</v>
          </cell>
        </row>
        <row r="1314">
          <cell r="A1314">
            <v>1313</v>
          </cell>
          <cell r="C1314" t="e">
            <v>#N/A</v>
          </cell>
          <cell r="D1314" t="e">
            <v>#N/A</v>
          </cell>
          <cell r="E1314" t="e">
            <v>#N/A</v>
          </cell>
          <cell r="F1314" t="e">
            <v>#N/A</v>
          </cell>
          <cell r="G1314" t="e">
            <v>#N/A</v>
          </cell>
          <cell r="O1314" t="e">
            <v>#N/A</v>
          </cell>
          <cell r="S1314">
            <v>0</v>
          </cell>
          <cell r="T1314">
            <v>3138400</v>
          </cell>
          <cell r="V1314">
            <v>0</v>
          </cell>
          <cell r="W1314">
            <v>0</v>
          </cell>
          <cell r="X1314">
            <v>0</v>
          </cell>
          <cell r="Z1314">
            <v>0</v>
          </cell>
          <cell r="AB1314">
            <v>0</v>
          </cell>
          <cell r="AD1314">
            <v>0</v>
          </cell>
          <cell r="AF1314">
            <v>0</v>
          </cell>
        </row>
        <row r="1315">
          <cell r="A1315">
            <v>1314</v>
          </cell>
          <cell r="C1315" t="e">
            <v>#N/A</v>
          </cell>
          <cell r="D1315" t="e">
            <v>#N/A</v>
          </cell>
          <cell r="E1315" t="e">
            <v>#N/A</v>
          </cell>
          <cell r="F1315" t="e">
            <v>#N/A</v>
          </cell>
          <cell r="G1315" t="e">
            <v>#N/A</v>
          </cell>
          <cell r="O1315" t="e">
            <v>#N/A</v>
          </cell>
          <cell r="S1315">
            <v>0</v>
          </cell>
          <cell r="T1315">
            <v>3138400</v>
          </cell>
          <cell r="V1315">
            <v>0</v>
          </cell>
          <cell r="W1315">
            <v>0</v>
          </cell>
          <cell r="X1315">
            <v>0</v>
          </cell>
          <cell r="Z1315">
            <v>0</v>
          </cell>
          <cell r="AB1315">
            <v>0</v>
          </cell>
          <cell r="AD1315">
            <v>0</v>
          </cell>
          <cell r="AF1315">
            <v>0</v>
          </cell>
        </row>
        <row r="1316">
          <cell r="A1316">
            <v>1315</v>
          </cell>
          <cell r="C1316" t="e">
            <v>#N/A</v>
          </cell>
          <cell r="D1316" t="e">
            <v>#N/A</v>
          </cell>
          <cell r="E1316" t="e">
            <v>#N/A</v>
          </cell>
          <cell r="F1316" t="e">
            <v>#N/A</v>
          </cell>
          <cell r="G1316" t="e">
            <v>#N/A</v>
          </cell>
          <cell r="O1316" t="e">
            <v>#N/A</v>
          </cell>
          <cell r="S1316">
            <v>0</v>
          </cell>
          <cell r="T1316">
            <v>3138400</v>
          </cell>
          <cell r="V1316">
            <v>0</v>
          </cell>
          <cell r="W1316">
            <v>0</v>
          </cell>
          <cell r="X1316">
            <v>0</v>
          </cell>
          <cell r="Z1316">
            <v>0</v>
          </cell>
          <cell r="AB1316">
            <v>0</v>
          </cell>
          <cell r="AD1316">
            <v>0</v>
          </cell>
          <cell r="AF1316">
            <v>0</v>
          </cell>
        </row>
        <row r="1317">
          <cell r="A1317">
            <v>1316</v>
          </cell>
          <cell r="C1317" t="e">
            <v>#N/A</v>
          </cell>
          <cell r="D1317" t="e">
            <v>#N/A</v>
          </cell>
          <cell r="E1317" t="e">
            <v>#N/A</v>
          </cell>
          <cell r="F1317" t="e">
            <v>#N/A</v>
          </cell>
          <cell r="G1317" t="e">
            <v>#N/A</v>
          </cell>
          <cell r="O1317" t="e">
            <v>#N/A</v>
          </cell>
          <cell r="S1317">
            <v>0</v>
          </cell>
          <cell r="T1317">
            <v>3138400</v>
          </cell>
          <cell r="V1317">
            <v>0</v>
          </cell>
          <cell r="W1317">
            <v>0</v>
          </cell>
          <cell r="X1317">
            <v>0</v>
          </cell>
          <cell r="Z1317">
            <v>0</v>
          </cell>
          <cell r="AB1317">
            <v>0</v>
          </cell>
          <cell r="AD1317">
            <v>0</v>
          </cell>
          <cell r="AF1317">
            <v>0</v>
          </cell>
        </row>
        <row r="1318">
          <cell r="A1318">
            <v>1317</v>
          </cell>
          <cell r="C1318" t="e">
            <v>#N/A</v>
          </cell>
          <cell r="D1318" t="e">
            <v>#N/A</v>
          </cell>
          <cell r="E1318" t="e">
            <v>#N/A</v>
          </cell>
          <cell r="F1318" t="e">
            <v>#N/A</v>
          </cell>
          <cell r="G1318" t="e">
            <v>#N/A</v>
          </cell>
          <cell r="O1318" t="e">
            <v>#N/A</v>
          </cell>
          <cell r="S1318">
            <v>0</v>
          </cell>
          <cell r="T1318">
            <v>3138400</v>
          </cell>
          <cell r="U1318" t="str">
            <v>ya</v>
          </cell>
          <cell r="V1318" t="e">
            <v>#N/A</v>
          </cell>
          <cell r="W1318" t="e">
            <v>#N/A</v>
          </cell>
          <cell r="X1318" t="e">
            <v>#N/A</v>
          </cell>
          <cell r="Z1318">
            <v>0</v>
          </cell>
          <cell r="AB1318">
            <v>0</v>
          </cell>
          <cell r="AD1318">
            <v>0</v>
          </cell>
          <cell r="AF1318">
            <v>0</v>
          </cell>
        </row>
        <row r="1319">
          <cell r="A1319">
            <v>1318</v>
          </cell>
          <cell r="C1319" t="e">
            <v>#N/A</v>
          </cell>
          <cell r="D1319" t="e">
            <v>#N/A</v>
          </cell>
          <cell r="E1319" t="e">
            <v>#N/A</v>
          </cell>
          <cell r="F1319" t="e">
            <v>#N/A</v>
          </cell>
          <cell r="G1319" t="e">
            <v>#N/A</v>
          </cell>
          <cell r="O1319" t="e">
            <v>#N/A</v>
          </cell>
          <cell r="S1319">
            <v>0</v>
          </cell>
          <cell r="T1319">
            <v>3138400</v>
          </cell>
          <cell r="U1319" t="str">
            <v>ya</v>
          </cell>
          <cell r="V1319" t="e">
            <v>#N/A</v>
          </cell>
          <cell r="W1319" t="e">
            <v>#N/A</v>
          </cell>
          <cell r="X1319" t="e">
            <v>#N/A</v>
          </cell>
          <cell r="Z1319">
            <v>0</v>
          </cell>
          <cell r="AB1319">
            <v>0</v>
          </cell>
          <cell r="AD1319">
            <v>0</v>
          </cell>
          <cell r="AF1319">
            <v>0</v>
          </cell>
        </row>
        <row r="1320">
          <cell r="A1320">
            <v>1319</v>
          </cell>
          <cell r="C1320" t="e">
            <v>#N/A</v>
          </cell>
          <cell r="D1320" t="e">
            <v>#N/A</v>
          </cell>
          <cell r="E1320" t="e">
            <v>#N/A</v>
          </cell>
          <cell r="F1320" t="e">
            <v>#N/A</v>
          </cell>
          <cell r="G1320" t="e">
            <v>#N/A</v>
          </cell>
          <cell r="O1320" t="e">
            <v>#N/A</v>
          </cell>
          <cell r="S1320">
            <v>0</v>
          </cell>
          <cell r="T1320">
            <v>3138400</v>
          </cell>
          <cell r="U1320" t="str">
            <v>ya</v>
          </cell>
          <cell r="V1320" t="e">
            <v>#N/A</v>
          </cell>
          <cell r="W1320" t="e">
            <v>#N/A</v>
          </cell>
          <cell r="X1320" t="e">
            <v>#N/A</v>
          </cell>
          <cell r="Z1320">
            <v>0</v>
          </cell>
          <cell r="AB1320">
            <v>0</v>
          </cell>
          <cell r="AD1320">
            <v>0</v>
          </cell>
          <cell r="AF1320">
            <v>0</v>
          </cell>
        </row>
        <row r="1321">
          <cell r="A1321">
            <v>1320</v>
          </cell>
          <cell r="C1321" t="e">
            <v>#N/A</v>
          </cell>
          <cell r="D1321" t="e">
            <v>#N/A</v>
          </cell>
          <cell r="E1321" t="e">
            <v>#N/A</v>
          </cell>
          <cell r="F1321" t="e">
            <v>#N/A</v>
          </cell>
          <cell r="G1321" t="e">
            <v>#N/A</v>
          </cell>
          <cell r="O1321" t="e">
            <v>#N/A</v>
          </cell>
          <cell r="S1321">
            <v>0</v>
          </cell>
          <cell r="T1321">
            <v>3138400</v>
          </cell>
          <cell r="U1321" t="str">
            <v>ya</v>
          </cell>
          <cell r="V1321" t="e">
            <v>#N/A</v>
          </cell>
          <cell r="W1321" t="e">
            <v>#N/A</v>
          </cell>
          <cell r="X1321" t="e">
            <v>#N/A</v>
          </cell>
          <cell r="Z1321">
            <v>0</v>
          </cell>
          <cell r="AB1321">
            <v>0</v>
          </cell>
          <cell r="AD1321">
            <v>0</v>
          </cell>
          <cell r="AF1321">
            <v>0</v>
          </cell>
        </row>
        <row r="1322">
          <cell r="A1322">
            <v>1321</v>
          </cell>
          <cell r="C1322" t="e">
            <v>#N/A</v>
          </cell>
          <cell r="D1322" t="e">
            <v>#N/A</v>
          </cell>
          <cell r="E1322" t="e">
            <v>#N/A</v>
          </cell>
          <cell r="F1322" t="e">
            <v>#N/A</v>
          </cell>
          <cell r="G1322" t="e">
            <v>#N/A</v>
          </cell>
          <cell r="O1322" t="e">
            <v>#N/A</v>
          </cell>
          <cell r="S1322">
            <v>0</v>
          </cell>
          <cell r="T1322">
            <v>3138400</v>
          </cell>
          <cell r="U1322" t="str">
            <v>ya</v>
          </cell>
          <cell r="V1322" t="e">
            <v>#N/A</v>
          </cell>
          <cell r="W1322" t="e">
            <v>#N/A</v>
          </cell>
          <cell r="X1322" t="e">
            <v>#N/A</v>
          </cell>
          <cell r="Z1322">
            <v>0</v>
          </cell>
          <cell r="AB1322">
            <v>0</v>
          </cell>
          <cell r="AD1322">
            <v>0</v>
          </cell>
          <cell r="AF1322">
            <v>0</v>
          </cell>
        </row>
        <row r="1323">
          <cell r="A1323">
            <v>1322</v>
          </cell>
          <cell r="C1323" t="e">
            <v>#N/A</v>
          </cell>
          <cell r="D1323" t="e">
            <v>#N/A</v>
          </cell>
          <cell r="E1323" t="e">
            <v>#N/A</v>
          </cell>
          <cell r="F1323" t="e">
            <v>#N/A</v>
          </cell>
          <cell r="G1323" t="e">
            <v>#N/A</v>
          </cell>
          <cell r="O1323" t="e">
            <v>#N/A</v>
          </cell>
          <cell r="S1323">
            <v>0</v>
          </cell>
          <cell r="T1323">
            <v>3138400</v>
          </cell>
          <cell r="U1323" t="str">
            <v>ya</v>
          </cell>
          <cell r="V1323" t="e">
            <v>#N/A</v>
          </cell>
          <cell r="W1323" t="e">
            <v>#N/A</v>
          </cell>
          <cell r="X1323" t="e">
            <v>#N/A</v>
          </cell>
          <cell r="Z1323">
            <v>0</v>
          </cell>
          <cell r="AB1323">
            <v>0</v>
          </cell>
          <cell r="AD1323">
            <v>0</v>
          </cell>
          <cell r="AF1323">
            <v>0</v>
          </cell>
        </row>
        <row r="1324">
          <cell r="A1324">
            <v>1323</v>
          </cell>
          <cell r="C1324" t="e">
            <v>#N/A</v>
          </cell>
          <cell r="D1324" t="e">
            <v>#N/A</v>
          </cell>
          <cell r="E1324" t="e">
            <v>#N/A</v>
          </cell>
          <cell r="F1324" t="e">
            <v>#N/A</v>
          </cell>
          <cell r="G1324" t="e">
            <v>#N/A</v>
          </cell>
          <cell r="O1324" t="e">
            <v>#N/A</v>
          </cell>
          <cell r="S1324">
            <v>0</v>
          </cell>
          <cell r="T1324">
            <v>3138400</v>
          </cell>
          <cell r="V1324">
            <v>0</v>
          </cell>
          <cell r="W1324">
            <v>0</v>
          </cell>
          <cell r="X1324">
            <v>0</v>
          </cell>
          <cell r="Z1324">
            <v>0</v>
          </cell>
          <cell r="AB1324">
            <v>0</v>
          </cell>
          <cell r="AD1324">
            <v>0</v>
          </cell>
          <cell r="AF1324">
            <v>0</v>
          </cell>
        </row>
        <row r="1325">
          <cell r="A1325">
            <v>1324</v>
          </cell>
          <cell r="C1325" t="e">
            <v>#N/A</v>
          </cell>
          <cell r="D1325" t="e">
            <v>#N/A</v>
          </cell>
          <cell r="E1325" t="e">
            <v>#N/A</v>
          </cell>
          <cell r="F1325" t="e">
            <v>#N/A</v>
          </cell>
          <cell r="G1325" t="e">
            <v>#N/A</v>
          </cell>
          <cell r="O1325" t="e">
            <v>#N/A</v>
          </cell>
          <cell r="S1325">
            <v>0</v>
          </cell>
          <cell r="T1325">
            <v>3138400</v>
          </cell>
          <cell r="V1325">
            <v>0</v>
          </cell>
          <cell r="W1325">
            <v>0</v>
          </cell>
          <cell r="X1325">
            <v>0</v>
          </cell>
          <cell r="Z1325">
            <v>0</v>
          </cell>
          <cell r="AB1325">
            <v>0</v>
          </cell>
          <cell r="AD1325">
            <v>0</v>
          </cell>
          <cell r="AF1325">
            <v>0</v>
          </cell>
        </row>
        <row r="1326">
          <cell r="A1326">
            <v>1325</v>
          </cell>
          <cell r="C1326" t="e">
            <v>#N/A</v>
          </cell>
          <cell r="D1326" t="e">
            <v>#N/A</v>
          </cell>
          <cell r="E1326" t="e">
            <v>#N/A</v>
          </cell>
          <cell r="F1326" t="e">
            <v>#N/A</v>
          </cell>
          <cell r="G1326" t="e">
            <v>#N/A</v>
          </cell>
          <cell r="O1326" t="e">
            <v>#N/A</v>
          </cell>
          <cell r="S1326">
            <v>0</v>
          </cell>
          <cell r="T1326">
            <v>3138400</v>
          </cell>
          <cell r="V1326">
            <v>0</v>
          </cell>
          <cell r="W1326">
            <v>0</v>
          </cell>
          <cell r="X1326">
            <v>0</v>
          </cell>
          <cell r="Z1326">
            <v>0</v>
          </cell>
          <cell r="AB1326">
            <v>0</v>
          </cell>
          <cell r="AD1326">
            <v>0</v>
          </cell>
          <cell r="AF1326">
            <v>0</v>
          </cell>
        </row>
        <row r="1327">
          <cell r="A1327">
            <v>1326</v>
          </cell>
          <cell r="C1327" t="e">
            <v>#N/A</v>
          </cell>
          <cell r="D1327" t="e">
            <v>#N/A</v>
          </cell>
          <cell r="E1327" t="e">
            <v>#N/A</v>
          </cell>
          <cell r="F1327" t="e">
            <v>#N/A</v>
          </cell>
          <cell r="G1327" t="e">
            <v>#N/A</v>
          </cell>
          <cell r="O1327" t="e">
            <v>#N/A</v>
          </cell>
          <cell r="S1327">
            <v>0</v>
          </cell>
          <cell r="T1327">
            <v>3138400</v>
          </cell>
          <cell r="V1327">
            <v>0</v>
          </cell>
          <cell r="W1327">
            <v>0</v>
          </cell>
          <cell r="X1327">
            <v>0</v>
          </cell>
          <cell r="Z1327">
            <v>0</v>
          </cell>
          <cell r="AB1327">
            <v>0</v>
          </cell>
          <cell r="AD1327">
            <v>0</v>
          </cell>
          <cell r="AF1327">
            <v>0</v>
          </cell>
        </row>
        <row r="1328">
          <cell r="A1328">
            <v>1327</v>
          </cell>
          <cell r="C1328" t="e">
            <v>#N/A</v>
          </cell>
          <cell r="D1328" t="e">
            <v>#N/A</v>
          </cell>
          <cell r="E1328" t="e">
            <v>#N/A</v>
          </cell>
          <cell r="F1328" t="e">
            <v>#N/A</v>
          </cell>
          <cell r="G1328" t="e">
            <v>#N/A</v>
          </cell>
          <cell r="O1328" t="e">
            <v>#N/A</v>
          </cell>
          <cell r="S1328">
            <v>0</v>
          </cell>
          <cell r="T1328">
            <v>3138400</v>
          </cell>
          <cell r="U1328" t="str">
            <v>ya</v>
          </cell>
          <cell r="V1328" t="e">
            <v>#N/A</v>
          </cell>
          <cell r="W1328" t="e">
            <v>#N/A</v>
          </cell>
          <cell r="X1328" t="e">
            <v>#N/A</v>
          </cell>
          <cell r="Z1328">
            <v>0</v>
          </cell>
          <cell r="AB1328">
            <v>0</v>
          </cell>
          <cell r="AD1328">
            <v>0</v>
          </cell>
          <cell r="AF1328">
            <v>0</v>
          </cell>
        </row>
        <row r="1329">
          <cell r="A1329">
            <v>1328</v>
          </cell>
          <cell r="C1329" t="e">
            <v>#N/A</v>
          </cell>
          <cell r="D1329" t="e">
            <v>#N/A</v>
          </cell>
          <cell r="E1329" t="e">
            <v>#N/A</v>
          </cell>
          <cell r="F1329" t="e">
            <v>#N/A</v>
          </cell>
          <cell r="G1329" t="e">
            <v>#N/A</v>
          </cell>
          <cell r="O1329" t="e">
            <v>#N/A</v>
          </cell>
          <cell r="S1329">
            <v>0</v>
          </cell>
          <cell r="T1329">
            <v>3138400</v>
          </cell>
          <cell r="U1329" t="str">
            <v>ya</v>
          </cell>
          <cell r="V1329" t="e">
            <v>#N/A</v>
          </cell>
          <cell r="W1329" t="e">
            <v>#N/A</v>
          </cell>
          <cell r="X1329" t="e">
            <v>#N/A</v>
          </cell>
          <cell r="Z1329">
            <v>0</v>
          </cell>
          <cell r="AB1329">
            <v>0</v>
          </cell>
          <cell r="AD1329">
            <v>0</v>
          </cell>
          <cell r="AF1329">
            <v>0</v>
          </cell>
        </row>
        <row r="1330">
          <cell r="A1330">
            <v>1329</v>
          </cell>
          <cell r="C1330" t="e">
            <v>#N/A</v>
          </cell>
          <cell r="D1330" t="e">
            <v>#N/A</v>
          </cell>
          <cell r="E1330" t="e">
            <v>#N/A</v>
          </cell>
          <cell r="F1330" t="e">
            <v>#N/A</v>
          </cell>
          <cell r="G1330" t="e">
            <v>#N/A</v>
          </cell>
          <cell r="O1330" t="e">
            <v>#N/A</v>
          </cell>
          <cell r="S1330">
            <v>0</v>
          </cell>
          <cell r="T1330">
            <v>3138400</v>
          </cell>
          <cell r="U1330" t="str">
            <v>ya</v>
          </cell>
          <cell r="V1330" t="e">
            <v>#N/A</v>
          </cell>
          <cell r="W1330" t="e">
            <v>#N/A</v>
          </cell>
          <cell r="X1330" t="e">
            <v>#N/A</v>
          </cell>
          <cell r="Z1330">
            <v>0</v>
          </cell>
          <cell r="AB1330">
            <v>0</v>
          </cell>
          <cell r="AD1330">
            <v>0</v>
          </cell>
          <cell r="AF1330">
            <v>0</v>
          </cell>
        </row>
        <row r="1331">
          <cell r="A1331">
            <v>1330</v>
          </cell>
          <cell r="C1331" t="e">
            <v>#N/A</v>
          </cell>
          <cell r="D1331" t="e">
            <v>#N/A</v>
          </cell>
          <cell r="E1331" t="e">
            <v>#N/A</v>
          </cell>
          <cell r="F1331" t="e">
            <v>#N/A</v>
          </cell>
          <cell r="G1331" t="e">
            <v>#N/A</v>
          </cell>
          <cell r="O1331" t="e">
            <v>#N/A</v>
          </cell>
          <cell r="S1331">
            <v>0</v>
          </cell>
          <cell r="T1331">
            <v>3138400</v>
          </cell>
          <cell r="V1331">
            <v>0</v>
          </cell>
          <cell r="W1331">
            <v>0</v>
          </cell>
          <cell r="X1331">
            <v>0</v>
          </cell>
          <cell r="Z1331">
            <v>0</v>
          </cell>
          <cell r="AB1331">
            <v>0</v>
          </cell>
          <cell r="AD1331">
            <v>0</v>
          </cell>
          <cell r="AF1331">
            <v>0</v>
          </cell>
        </row>
        <row r="1332">
          <cell r="A1332">
            <v>1331</v>
          </cell>
          <cell r="C1332" t="e">
            <v>#N/A</v>
          </cell>
          <cell r="D1332" t="e">
            <v>#N/A</v>
          </cell>
          <cell r="E1332" t="e">
            <v>#N/A</v>
          </cell>
          <cell r="F1332" t="e">
            <v>#N/A</v>
          </cell>
          <cell r="G1332" t="e">
            <v>#N/A</v>
          </cell>
          <cell r="O1332" t="e">
            <v>#N/A</v>
          </cell>
          <cell r="S1332">
            <v>0</v>
          </cell>
          <cell r="T1332">
            <v>3138400</v>
          </cell>
          <cell r="V1332">
            <v>0</v>
          </cell>
          <cell r="W1332">
            <v>0</v>
          </cell>
          <cell r="X1332">
            <v>0</v>
          </cell>
          <cell r="Z1332">
            <v>0</v>
          </cell>
          <cell r="AB1332">
            <v>0</v>
          </cell>
          <cell r="AD1332">
            <v>0</v>
          </cell>
          <cell r="AF1332">
            <v>0</v>
          </cell>
        </row>
        <row r="1333">
          <cell r="A1333">
            <v>1332</v>
          </cell>
          <cell r="C1333" t="e">
            <v>#N/A</v>
          </cell>
          <cell r="D1333" t="e">
            <v>#N/A</v>
          </cell>
          <cell r="E1333" t="e">
            <v>#N/A</v>
          </cell>
          <cell r="F1333" t="e">
            <v>#N/A</v>
          </cell>
          <cell r="G1333" t="e">
            <v>#N/A</v>
          </cell>
          <cell r="O1333" t="e">
            <v>#N/A</v>
          </cell>
          <cell r="S1333">
            <v>0</v>
          </cell>
          <cell r="T1333">
            <v>3138400</v>
          </cell>
          <cell r="V1333">
            <v>0</v>
          </cell>
          <cell r="W1333">
            <v>0</v>
          </cell>
          <cell r="X1333">
            <v>0</v>
          </cell>
          <cell r="Z1333">
            <v>0</v>
          </cell>
          <cell r="AB1333">
            <v>0</v>
          </cell>
          <cell r="AD1333">
            <v>0</v>
          </cell>
          <cell r="AF1333">
            <v>0</v>
          </cell>
        </row>
        <row r="1334">
          <cell r="A1334">
            <v>1333</v>
          </cell>
          <cell r="C1334" t="e">
            <v>#N/A</v>
          </cell>
          <cell r="D1334" t="e">
            <v>#N/A</v>
          </cell>
          <cell r="E1334" t="e">
            <v>#N/A</v>
          </cell>
          <cell r="F1334" t="e">
            <v>#N/A</v>
          </cell>
          <cell r="G1334" t="e">
            <v>#N/A</v>
          </cell>
          <cell r="O1334" t="e">
            <v>#N/A</v>
          </cell>
          <cell r="S1334">
            <v>0</v>
          </cell>
          <cell r="T1334">
            <v>3138400</v>
          </cell>
          <cell r="V1334">
            <v>0</v>
          </cell>
          <cell r="W1334">
            <v>0</v>
          </cell>
          <cell r="X1334">
            <v>0</v>
          </cell>
          <cell r="Z1334">
            <v>0</v>
          </cell>
          <cell r="AB1334">
            <v>0</v>
          </cell>
          <cell r="AD1334">
            <v>0</v>
          </cell>
          <cell r="AF1334">
            <v>0</v>
          </cell>
        </row>
        <row r="1335">
          <cell r="A1335">
            <v>1334</v>
          </cell>
          <cell r="C1335" t="e">
            <v>#N/A</v>
          </cell>
          <cell r="D1335" t="e">
            <v>#N/A</v>
          </cell>
          <cell r="E1335" t="e">
            <v>#N/A</v>
          </cell>
          <cell r="F1335" t="e">
            <v>#N/A</v>
          </cell>
          <cell r="G1335" t="e">
            <v>#N/A</v>
          </cell>
          <cell r="O1335" t="e">
            <v>#N/A</v>
          </cell>
          <cell r="S1335">
            <v>0</v>
          </cell>
          <cell r="T1335">
            <v>3138400</v>
          </cell>
          <cell r="V1335">
            <v>0</v>
          </cell>
          <cell r="W1335">
            <v>0</v>
          </cell>
          <cell r="X1335">
            <v>0</v>
          </cell>
          <cell r="Z1335">
            <v>0</v>
          </cell>
          <cell r="AB1335">
            <v>0</v>
          </cell>
          <cell r="AD1335">
            <v>0</v>
          </cell>
          <cell r="AF1335">
            <v>0</v>
          </cell>
        </row>
        <row r="1336">
          <cell r="A1336">
            <v>1335</v>
          </cell>
          <cell r="C1336" t="e">
            <v>#N/A</v>
          </cell>
          <cell r="D1336" t="e">
            <v>#N/A</v>
          </cell>
          <cell r="E1336" t="e">
            <v>#N/A</v>
          </cell>
          <cell r="F1336" t="e">
            <v>#N/A</v>
          </cell>
          <cell r="G1336" t="e">
            <v>#N/A</v>
          </cell>
          <cell r="O1336" t="e">
            <v>#N/A</v>
          </cell>
          <cell r="S1336">
            <v>0</v>
          </cell>
          <cell r="T1336">
            <v>3138400</v>
          </cell>
          <cell r="V1336">
            <v>0</v>
          </cell>
          <cell r="W1336">
            <v>0</v>
          </cell>
          <cell r="X1336">
            <v>0</v>
          </cell>
          <cell r="Z1336">
            <v>0</v>
          </cell>
          <cell r="AB1336">
            <v>0</v>
          </cell>
          <cell r="AD1336">
            <v>0</v>
          </cell>
          <cell r="AF1336">
            <v>0</v>
          </cell>
        </row>
        <row r="1337">
          <cell r="A1337">
            <v>1336</v>
          </cell>
          <cell r="C1337" t="e">
            <v>#N/A</v>
          </cell>
          <cell r="D1337" t="e">
            <v>#N/A</v>
          </cell>
          <cell r="E1337" t="e">
            <v>#N/A</v>
          </cell>
          <cell r="F1337" t="e">
            <v>#N/A</v>
          </cell>
          <cell r="G1337" t="e">
            <v>#N/A</v>
          </cell>
          <cell r="O1337" t="e">
            <v>#N/A</v>
          </cell>
          <cell r="S1337">
            <v>0</v>
          </cell>
          <cell r="T1337">
            <v>3138400</v>
          </cell>
          <cell r="V1337">
            <v>0</v>
          </cell>
          <cell r="W1337">
            <v>0</v>
          </cell>
          <cell r="X1337">
            <v>0</v>
          </cell>
          <cell r="Z1337">
            <v>0</v>
          </cell>
          <cell r="AB1337">
            <v>0</v>
          </cell>
          <cell r="AD1337">
            <v>0</v>
          </cell>
          <cell r="AF1337">
            <v>0</v>
          </cell>
        </row>
        <row r="1338">
          <cell r="A1338">
            <v>1337</v>
          </cell>
          <cell r="C1338" t="e">
            <v>#N/A</v>
          </cell>
          <cell r="D1338" t="e">
            <v>#N/A</v>
          </cell>
          <cell r="E1338" t="e">
            <v>#N/A</v>
          </cell>
          <cell r="F1338" t="e">
            <v>#N/A</v>
          </cell>
          <cell r="G1338" t="e">
            <v>#N/A</v>
          </cell>
          <cell r="O1338" t="e">
            <v>#N/A</v>
          </cell>
          <cell r="S1338">
            <v>0</v>
          </cell>
          <cell r="T1338">
            <v>3138400</v>
          </cell>
          <cell r="U1338" t="str">
            <v>ya</v>
          </cell>
          <cell r="V1338" t="e">
            <v>#N/A</v>
          </cell>
          <cell r="W1338" t="e">
            <v>#N/A</v>
          </cell>
          <cell r="X1338" t="e">
            <v>#N/A</v>
          </cell>
          <cell r="Z1338">
            <v>0</v>
          </cell>
          <cell r="AB1338">
            <v>0</v>
          </cell>
          <cell r="AD1338">
            <v>0</v>
          </cell>
          <cell r="AF1338">
            <v>0</v>
          </cell>
        </row>
        <row r="1339">
          <cell r="A1339">
            <v>1338</v>
          </cell>
          <cell r="C1339" t="e">
            <v>#N/A</v>
          </cell>
          <cell r="D1339" t="e">
            <v>#N/A</v>
          </cell>
          <cell r="E1339" t="e">
            <v>#N/A</v>
          </cell>
          <cell r="F1339" t="e">
            <v>#N/A</v>
          </cell>
          <cell r="G1339" t="e">
            <v>#N/A</v>
          </cell>
          <cell r="O1339" t="e">
            <v>#N/A</v>
          </cell>
          <cell r="S1339">
            <v>0</v>
          </cell>
          <cell r="T1339">
            <v>3138400</v>
          </cell>
          <cell r="U1339" t="str">
            <v>ya</v>
          </cell>
          <cell r="V1339" t="e">
            <v>#N/A</v>
          </cell>
          <cell r="W1339" t="e">
            <v>#N/A</v>
          </cell>
          <cell r="X1339" t="e">
            <v>#N/A</v>
          </cell>
          <cell r="Z1339">
            <v>0</v>
          </cell>
          <cell r="AB1339">
            <v>0</v>
          </cell>
          <cell r="AD1339">
            <v>0</v>
          </cell>
          <cell r="AF1339">
            <v>0</v>
          </cell>
        </row>
        <row r="1340">
          <cell r="A1340">
            <v>1339</v>
          </cell>
          <cell r="C1340" t="e">
            <v>#N/A</v>
          </cell>
          <cell r="D1340" t="e">
            <v>#N/A</v>
          </cell>
          <cell r="E1340" t="e">
            <v>#N/A</v>
          </cell>
          <cell r="F1340" t="e">
            <v>#N/A</v>
          </cell>
          <cell r="G1340" t="e">
            <v>#N/A</v>
          </cell>
          <cell r="O1340" t="e">
            <v>#N/A</v>
          </cell>
          <cell r="S1340">
            <v>0</v>
          </cell>
          <cell r="T1340">
            <v>3138400</v>
          </cell>
          <cell r="V1340">
            <v>0</v>
          </cell>
          <cell r="W1340">
            <v>0</v>
          </cell>
          <cell r="X1340">
            <v>0</v>
          </cell>
          <cell r="Z1340">
            <v>0</v>
          </cell>
          <cell r="AB1340">
            <v>0</v>
          </cell>
          <cell r="AD1340">
            <v>0</v>
          </cell>
          <cell r="AF1340">
            <v>0</v>
          </cell>
        </row>
        <row r="1341">
          <cell r="A1341">
            <v>1340</v>
          </cell>
          <cell r="C1341" t="e">
            <v>#N/A</v>
          </cell>
          <cell r="D1341" t="e">
            <v>#N/A</v>
          </cell>
          <cell r="E1341" t="e">
            <v>#N/A</v>
          </cell>
          <cell r="F1341" t="e">
            <v>#N/A</v>
          </cell>
          <cell r="G1341" t="e">
            <v>#N/A</v>
          </cell>
          <cell r="O1341" t="e">
            <v>#N/A</v>
          </cell>
          <cell r="S1341">
            <v>0</v>
          </cell>
          <cell r="T1341">
            <v>3138400</v>
          </cell>
          <cell r="V1341">
            <v>0</v>
          </cell>
          <cell r="W1341">
            <v>0</v>
          </cell>
          <cell r="X1341">
            <v>0</v>
          </cell>
          <cell r="Z1341">
            <v>0</v>
          </cell>
          <cell r="AB1341">
            <v>0</v>
          </cell>
          <cell r="AD1341">
            <v>0</v>
          </cell>
          <cell r="AF1341">
            <v>0</v>
          </cell>
        </row>
        <row r="1342">
          <cell r="A1342">
            <v>1341</v>
          </cell>
          <cell r="C1342" t="e">
            <v>#N/A</v>
          </cell>
          <cell r="D1342" t="e">
            <v>#N/A</v>
          </cell>
          <cell r="E1342" t="e">
            <v>#N/A</v>
          </cell>
          <cell r="F1342" t="e">
            <v>#N/A</v>
          </cell>
          <cell r="G1342" t="e">
            <v>#N/A</v>
          </cell>
          <cell r="O1342" t="e">
            <v>#N/A</v>
          </cell>
          <cell r="S1342">
            <v>0</v>
          </cell>
          <cell r="T1342">
            <v>3138400</v>
          </cell>
          <cell r="V1342">
            <v>0</v>
          </cell>
          <cell r="W1342">
            <v>0</v>
          </cell>
          <cell r="X1342">
            <v>0</v>
          </cell>
          <cell r="Z1342">
            <v>0</v>
          </cell>
          <cell r="AB1342">
            <v>0</v>
          </cell>
          <cell r="AD1342">
            <v>0</v>
          </cell>
          <cell r="AF1342">
            <v>0</v>
          </cell>
        </row>
        <row r="1343">
          <cell r="A1343">
            <v>1342</v>
          </cell>
          <cell r="C1343" t="e">
            <v>#N/A</v>
          </cell>
          <cell r="D1343" t="e">
            <v>#N/A</v>
          </cell>
          <cell r="E1343" t="e">
            <v>#N/A</v>
          </cell>
          <cell r="F1343" t="e">
            <v>#N/A</v>
          </cell>
          <cell r="G1343" t="e">
            <v>#N/A</v>
          </cell>
          <cell r="O1343" t="e">
            <v>#N/A</v>
          </cell>
          <cell r="S1343">
            <v>0</v>
          </cell>
          <cell r="T1343">
            <v>3138400</v>
          </cell>
          <cell r="V1343">
            <v>0</v>
          </cell>
          <cell r="W1343">
            <v>0</v>
          </cell>
          <cell r="X1343">
            <v>0</v>
          </cell>
          <cell r="Z1343">
            <v>0</v>
          </cell>
          <cell r="AB1343">
            <v>0</v>
          </cell>
          <cell r="AD1343">
            <v>0</v>
          </cell>
          <cell r="AF1343">
            <v>0</v>
          </cell>
        </row>
        <row r="1344">
          <cell r="A1344">
            <v>1343</v>
          </cell>
          <cell r="C1344" t="e">
            <v>#N/A</v>
          </cell>
          <cell r="D1344" t="e">
            <v>#N/A</v>
          </cell>
          <cell r="E1344" t="e">
            <v>#N/A</v>
          </cell>
          <cell r="F1344" t="e">
            <v>#N/A</v>
          </cell>
          <cell r="G1344" t="e">
            <v>#N/A</v>
          </cell>
          <cell r="O1344" t="e">
            <v>#N/A</v>
          </cell>
          <cell r="S1344">
            <v>0</v>
          </cell>
          <cell r="T1344">
            <v>3138400</v>
          </cell>
          <cell r="V1344">
            <v>0</v>
          </cell>
          <cell r="W1344">
            <v>0</v>
          </cell>
          <cell r="X1344">
            <v>0</v>
          </cell>
          <cell r="Z1344">
            <v>0</v>
          </cell>
          <cell r="AB1344">
            <v>0</v>
          </cell>
          <cell r="AD1344">
            <v>0</v>
          </cell>
          <cell r="AF1344">
            <v>0</v>
          </cell>
        </row>
        <row r="1345">
          <cell r="A1345">
            <v>1344</v>
          </cell>
          <cell r="C1345" t="e">
            <v>#N/A</v>
          </cell>
          <cell r="D1345" t="e">
            <v>#N/A</v>
          </cell>
          <cell r="E1345" t="e">
            <v>#N/A</v>
          </cell>
          <cell r="F1345" t="e">
            <v>#N/A</v>
          </cell>
          <cell r="G1345" t="e">
            <v>#N/A</v>
          </cell>
          <cell r="O1345" t="e">
            <v>#N/A</v>
          </cell>
          <cell r="S1345">
            <v>0</v>
          </cell>
          <cell r="T1345">
            <v>3138400</v>
          </cell>
          <cell r="V1345">
            <v>0</v>
          </cell>
          <cell r="W1345">
            <v>0</v>
          </cell>
          <cell r="X1345">
            <v>0</v>
          </cell>
          <cell r="Z1345">
            <v>0</v>
          </cell>
          <cell r="AB1345">
            <v>0</v>
          </cell>
          <cell r="AD1345">
            <v>0</v>
          </cell>
          <cell r="AF1345">
            <v>0</v>
          </cell>
        </row>
        <row r="1346">
          <cell r="A1346">
            <v>1345</v>
          </cell>
          <cell r="C1346" t="e">
            <v>#N/A</v>
          </cell>
          <cell r="D1346" t="e">
            <v>#N/A</v>
          </cell>
          <cell r="E1346" t="e">
            <v>#N/A</v>
          </cell>
          <cell r="F1346" t="e">
            <v>#N/A</v>
          </cell>
          <cell r="G1346" t="e">
            <v>#N/A</v>
          </cell>
          <cell r="O1346" t="e">
            <v>#N/A</v>
          </cell>
          <cell r="S1346">
            <v>0</v>
          </cell>
          <cell r="T1346">
            <v>3138400</v>
          </cell>
          <cell r="U1346" t="str">
            <v>ya</v>
          </cell>
          <cell r="V1346" t="e">
            <v>#N/A</v>
          </cell>
          <cell r="W1346" t="e">
            <v>#N/A</v>
          </cell>
          <cell r="X1346" t="e">
            <v>#N/A</v>
          </cell>
          <cell r="Z1346">
            <v>0</v>
          </cell>
          <cell r="AB1346">
            <v>0</v>
          </cell>
          <cell r="AD1346">
            <v>0</v>
          </cell>
          <cell r="AF1346">
            <v>0</v>
          </cell>
        </row>
        <row r="1347">
          <cell r="A1347">
            <v>1346</v>
          </cell>
          <cell r="C1347" t="e">
            <v>#N/A</v>
          </cell>
          <cell r="D1347" t="e">
            <v>#N/A</v>
          </cell>
          <cell r="E1347" t="e">
            <v>#N/A</v>
          </cell>
          <cell r="F1347" t="e">
            <v>#N/A</v>
          </cell>
          <cell r="G1347" t="e">
            <v>#N/A</v>
          </cell>
          <cell r="O1347" t="e">
            <v>#N/A</v>
          </cell>
          <cell r="S1347">
            <v>0</v>
          </cell>
          <cell r="T1347">
            <v>3138400</v>
          </cell>
          <cell r="U1347" t="str">
            <v>ya</v>
          </cell>
          <cell r="V1347" t="e">
            <v>#N/A</v>
          </cell>
          <cell r="W1347" t="e">
            <v>#N/A</v>
          </cell>
          <cell r="X1347" t="e">
            <v>#N/A</v>
          </cell>
          <cell r="Z1347">
            <v>0</v>
          </cell>
          <cell r="AB1347">
            <v>0</v>
          </cell>
          <cell r="AD1347">
            <v>0</v>
          </cell>
          <cell r="AF1347">
            <v>0</v>
          </cell>
        </row>
        <row r="1348">
          <cell r="A1348">
            <v>1347</v>
          </cell>
          <cell r="C1348" t="e">
            <v>#N/A</v>
          </cell>
          <cell r="D1348" t="e">
            <v>#N/A</v>
          </cell>
          <cell r="E1348" t="e">
            <v>#N/A</v>
          </cell>
          <cell r="F1348" t="e">
            <v>#N/A</v>
          </cell>
          <cell r="G1348" t="e">
            <v>#N/A</v>
          </cell>
          <cell r="O1348" t="e">
            <v>#N/A</v>
          </cell>
          <cell r="S1348">
            <v>0</v>
          </cell>
          <cell r="T1348">
            <v>3138400</v>
          </cell>
          <cell r="U1348" t="str">
            <v>ya</v>
          </cell>
          <cell r="V1348" t="e">
            <v>#N/A</v>
          </cell>
          <cell r="W1348" t="e">
            <v>#N/A</v>
          </cell>
          <cell r="X1348" t="e">
            <v>#N/A</v>
          </cell>
          <cell r="Z1348">
            <v>0</v>
          </cell>
          <cell r="AB1348">
            <v>0</v>
          </cell>
          <cell r="AD1348">
            <v>0</v>
          </cell>
          <cell r="AF1348">
            <v>0</v>
          </cell>
        </row>
        <row r="1349">
          <cell r="A1349">
            <v>1348</v>
          </cell>
          <cell r="C1349" t="e">
            <v>#N/A</v>
          </cell>
          <cell r="D1349" t="e">
            <v>#N/A</v>
          </cell>
          <cell r="E1349" t="e">
            <v>#N/A</v>
          </cell>
          <cell r="F1349" t="e">
            <v>#N/A</v>
          </cell>
          <cell r="G1349" t="e">
            <v>#N/A</v>
          </cell>
          <cell r="O1349" t="e">
            <v>#N/A</v>
          </cell>
          <cell r="S1349">
            <v>0</v>
          </cell>
          <cell r="T1349">
            <v>3138400</v>
          </cell>
          <cell r="U1349" t="str">
            <v>ya</v>
          </cell>
          <cell r="V1349" t="e">
            <v>#N/A</v>
          </cell>
          <cell r="W1349" t="e">
            <v>#N/A</v>
          </cell>
          <cell r="X1349" t="e">
            <v>#N/A</v>
          </cell>
          <cell r="Z1349">
            <v>0</v>
          </cell>
          <cell r="AB1349">
            <v>0</v>
          </cell>
          <cell r="AD1349">
            <v>0</v>
          </cell>
          <cell r="AF1349">
            <v>0</v>
          </cell>
        </row>
        <row r="1350">
          <cell r="A1350">
            <v>1349</v>
          </cell>
          <cell r="C1350" t="e">
            <v>#N/A</v>
          </cell>
          <cell r="D1350" t="e">
            <v>#N/A</v>
          </cell>
          <cell r="E1350" t="e">
            <v>#N/A</v>
          </cell>
          <cell r="F1350" t="e">
            <v>#N/A</v>
          </cell>
          <cell r="G1350" t="e">
            <v>#N/A</v>
          </cell>
          <cell r="O1350" t="e">
            <v>#N/A</v>
          </cell>
          <cell r="S1350">
            <v>0</v>
          </cell>
          <cell r="T1350">
            <v>3138400</v>
          </cell>
          <cell r="V1350">
            <v>0</v>
          </cell>
          <cell r="W1350">
            <v>0</v>
          </cell>
          <cell r="X1350">
            <v>0</v>
          </cell>
          <cell r="Z1350">
            <v>0</v>
          </cell>
          <cell r="AB1350">
            <v>0</v>
          </cell>
          <cell r="AD1350">
            <v>0</v>
          </cell>
          <cell r="AF1350">
            <v>0</v>
          </cell>
        </row>
        <row r="1351">
          <cell r="A1351">
            <v>1350</v>
          </cell>
          <cell r="C1351" t="e">
            <v>#N/A</v>
          </cell>
          <cell r="D1351" t="e">
            <v>#N/A</v>
          </cell>
          <cell r="E1351" t="e">
            <v>#N/A</v>
          </cell>
          <cell r="F1351" t="e">
            <v>#N/A</v>
          </cell>
          <cell r="G1351" t="e">
            <v>#N/A</v>
          </cell>
          <cell r="O1351" t="e">
            <v>#N/A</v>
          </cell>
          <cell r="S1351">
            <v>0</v>
          </cell>
          <cell r="T1351">
            <v>3138400</v>
          </cell>
          <cell r="V1351">
            <v>0</v>
          </cell>
          <cell r="W1351">
            <v>0</v>
          </cell>
          <cell r="X1351">
            <v>0</v>
          </cell>
          <cell r="Z1351">
            <v>0</v>
          </cell>
          <cell r="AB1351">
            <v>0</v>
          </cell>
          <cell r="AD1351">
            <v>0</v>
          </cell>
          <cell r="AF1351">
            <v>0</v>
          </cell>
        </row>
        <row r="1352">
          <cell r="A1352">
            <v>1351</v>
          </cell>
          <cell r="C1352" t="e">
            <v>#N/A</v>
          </cell>
          <cell r="D1352" t="e">
            <v>#N/A</v>
          </cell>
          <cell r="E1352" t="e">
            <v>#N/A</v>
          </cell>
          <cell r="F1352" t="e">
            <v>#N/A</v>
          </cell>
          <cell r="G1352" t="e">
            <v>#N/A</v>
          </cell>
          <cell r="O1352" t="e">
            <v>#N/A</v>
          </cell>
          <cell r="S1352">
            <v>0</v>
          </cell>
          <cell r="T1352">
            <v>3138400</v>
          </cell>
          <cell r="U1352" t="str">
            <v>ya</v>
          </cell>
          <cell r="V1352" t="e">
            <v>#N/A</v>
          </cell>
          <cell r="W1352" t="e">
            <v>#N/A</v>
          </cell>
          <cell r="X1352" t="e">
            <v>#N/A</v>
          </cell>
          <cell r="Z1352">
            <v>0</v>
          </cell>
          <cell r="AB1352">
            <v>0</v>
          </cell>
          <cell r="AD1352">
            <v>0</v>
          </cell>
          <cell r="AF1352">
            <v>0</v>
          </cell>
        </row>
        <row r="1353">
          <cell r="A1353">
            <v>1352</v>
          </cell>
          <cell r="C1353" t="e">
            <v>#N/A</v>
          </cell>
          <cell r="D1353" t="e">
            <v>#N/A</v>
          </cell>
          <cell r="E1353" t="e">
            <v>#N/A</v>
          </cell>
          <cell r="F1353" t="e">
            <v>#N/A</v>
          </cell>
          <cell r="G1353" t="e">
            <v>#N/A</v>
          </cell>
          <cell r="O1353" t="e">
            <v>#N/A</v>
          </cell>
          <cell r="S1353">
            <v>0</v>
          </cell>
          <cell r="T1353">
            <v>3138400</v>
          </cell>
          <cell r="V1353">
            <v>0</v>
          </cell>
          <cell r="W1353">
            <v>0</v>
          </cell>
          <cell r="X1353">
            <v>0</v>
          </cell>
          <cell r="Z1353">
            <v>0</v>
          </cell>
          <cell r="AB1353">
            <v>0</v>
          </cell>
          <cell r="AD1353">
            <v>0</v>
          </cell>
          <cell r="AF1353">
            <v>0</v>
          </cell>
        </row>
        <row r="1354">
          <cell r="A1354">
            <v>1353</v>
          </cell>
          <cell r="C1354" t="e">
            <v>#N/A</v>
          </cell>
          <cell r="D1354" t="e">
            <v>#N/A</v>
          </cell>
          <cell r="E1354" t="e">
            <v>#N/A</v>
          </cell>
          <cell r="F1354" t="e">
            <v>#N/A</v>
          </cell>
          <cell r="G1354" t="e">
            <v>#N/A</v>
          </cell>
          <cell r="O1354" t="e">
            <v>#N/A</v>
          </cell>
          <cell r="S1354">
            <v>0</v>
          </cell>
          <cell r="T1354">
            <v>3138400</v>
          </cell>
          <cell r="V1354">
            <v>0</v>
          </cell>
          <cell r="W1354">
            <v>0</v>
          </cell>
          <cell r="X1354">
            <v>0</v>
          </cell>
          <cell r="Z1354">
            <v>0</v>
          </cell>
          <cell r="AB1354">
            <v>0</v>
          </cell>
          <cell r="AD1354">
            <v>0</v>
          </cell>
          <cell r="AF1354">
            <v>0</v>
          </cell>
        </row>
        <row r="1355">
          <cell r="A1355">
            <v>1354</v>
          </cell>
          <cell r="C1355" t="e">
            <v>#N/A</v>
          </cell>
          <cell r="D1355" t="e">
            <v>#N/A</v>
          </cell>
          <cell r="E1355" t="e">
            <v>#N/A</v>
          </cell>
          <cell r="F1355" t="e">
            <v>#N/A</v>
          </cell>
          <cell r="G1355" t="e">
            <v>#N/A</v>
          </cell>
          <cell r="O1355" t="e">
            <v>#N/A</v>
          </cell>
          <cell r="S1355">
            <v>0</v>
          </cell>
          <cell r="T1355">
            <v>3138400</v>
          </cell>
          <cell r="V1355">
            <v>0</v>
          </cell>
          <cell r="W1355">
            <v>0</v>
          </cell>
          <cell r="X1355">
            <v>0</v>
          </cell>
          <cell r="Z1355">
            <v>0</v>
          </cell>
          <cell r="AB1355">
            <v>0</v>
          </cell>
          <cell r="AD1355">
            <v>0</v>
          </cell>
          <cell r="AF1355">
            <v>0</v>
          </cell>
        </row>
        <row r="1356">
          <cell r="A1356">
            <v>1355</v>
          </cell>
          <cell r="C1356" t="e">
            <v>#N/A</v>
          </cell>
          <cell r="D1356" t="e">
            <v>#N/A</v>
          </cell>
          <cell r="E1356" t="e">
            <v>#N/A</v>
          </cell>
          <cell r="F1356" t="e">
            <v>#N/A</v>
          </cell>
          <cell r="G1356" t="e">
            <v>#N/A</v>
          </cell>
          <cell r="O1356" t="e">
            <v>#N/A</v>
          </cell>
          <cell r="S1356">
            <v>0</v>
          </cell>
          <cell r="T1356">
            <v>3138400</v>
          </cell>
          <cell r="V1356">
            <v>0</v>
          </cell>
          <cell r="W1356">
            <v>0</v>
          </cell>
          <cell r="X1356">
            <v>0</v>
          </cell>
          <cell r="Z1356">
            <v>0</v>
          </cell>
          <cell r="AB1356">
            <v>0</v>
          </cell>
          <cell r="AD1356">
            <v>0</v>
          </cell>
          <cell r="AF1356">
            <v>0</v>
          </cell>
        </row>
        <row r="1357">
          <cell r="A1357">
            <v>1356</v>
          </cell>
          <cell r="C1357" t="e">
            <v>#N/A</v>
          </cell>
          <cell r="D1357" t="e">
            <v>#N/A</v>
          </cell>
          <cell r="E1357" t="e">
            <v>#N/A</v>
          </cell>
          <cell r="F1357" t="e">
            <v>#N/A</v>
          </cell>
          <cell r="G1357" t="e">
            <v>#N/A</v>
          </cell>
          <cell r="O1357" t="e">
            <v>#N/A</v>
          </cell>
          <cell r="S1357">
            <v>0</v>
          </cell>
          <cell r="T1357">
            <v>3138400</v>
          </cell>
          <cell r="V1357">
            <v>0</v>
          </cell>
          <cell r="W1357">
            <v>0</v>
          </cell>
          <cell r="X1357">
            <v>0</v>
          </cell>
          <cell r="Z1357">
            <v>0</v>
          </cell>
          <cell r="AB1357">
            <v>0</v>
          </cell>
          <cell r="AD1357">
            <v>0</v>
          </cell>
          <cell r="AF1357">
            <v>0</v>
          </cell>
        </row>
        <row r="1358">
          <cell r="A1358">
            <v>1357</v>
          </cell>
          <cell r="C1358" t="e">
            <v>#N/A</v>
          </cell>
          <cell r="D1358" t="e">
            <v>#N/A</v>
          </cell>
          <cell r="E1358" t="e">
            <v>#N/A</v>
          </cell>
          <cell r="F1358" t="e">
            <v>#N/A</v>
          </cell>
          <cell r="G1358" t="e">
            <v>#N/A</v>
          </cell>
          <cell r="O1358" t="e">
            <v>#N/A</v>
          </cell>
          <cell r="S1358">
            <v>0</v>
          </cell>
          <cell r="T1358">
            <v>3138400</v>
          </cell>
          <cell r="U1358" t="str">
            <v>ya</v>
          </cell>
          <cell r="V1358" t="e">
            <v>#N/A</v>
          </cell>
          <cell r="W1358" t="e">
            <v>#N/A</v>
          </cell>
          <cell r="X1358" t="e">
            <v>#N/A</v>
          </cell>
          <cell r="Z1358">
            <v>0</v>
          </cell>
          <cell r="AB1358">
            <v>0</v>
          </cell>
          <cell r="AD1358">
            <v>0</v>
          </cell>
          <cell r="AF1358">
            <v>0</v>
          </cell>
        </row>
        <row r="1359">
          <cell r="A1359">
            <v>1358</v>
          </cell>
          <cell r="C1359" t="e">
            <v>#N/A</v>
          </cell>
          <cell r="D1359" t="e">
            <v>#N/A</v>
          </cell>
          <cell r="E1359" t="e">
            <v>#N/A</v>
          </cell>
          <cell r="F1359" t="e">
            <v>#N/A</v>
          </cell>
          <cell r="G1359" t="e">
            <v>#N/A</v>
          </cell>
          <cell r="O1359" t="e">
            <v>#N/A</v>
          </cell>
          <cell r="S1359">
            <v>0</v>
          </cell>
          <cell r="T1359">
            <v>3138400</v>
          </cell>
          <cell r="U1359" t="str">
            <v>ya</v>
          </cell>
          <cell r="V1359" t="e">
            <v>#N/A</v>
          </cell>
          <cell r="W1359" t="e">
            <v>#N/A</v>
          </cell>
          <cell r="X1359" t="e">
            <v>#N/A</v>
          </cell>
          <cell r="Z1359">
            <v>0</v>
          </cell>
          <cell r="AB1359">
            <v>0</v>
          </cell>
          <cell r="AD1359">
            <v>0</v>
          </cell>
          <cell r="AF1359">
            <v>0</v>
          </cell>
        </row>
        <row r="1360">
          <cell r="A1360">
            <v>1359</v>
          </cell>
          <cell r="C1360" t="e">
            <v>#N/A</v>
          </cell>
          <cell r="D1360" t="e">
            <v>#N/A</v>
          </cell>
          <cell r="E1360" t="e">
            <v>#N/A</v>
          </cell>
          <cell r="F1360" t="e">
            <v>#N/A</v>
          </cell>
          <cell r="G1360" t="e">
            <v>#N/A</v>
          </cell>
          <cell r="O1360" t="e">
            <v>#N/A</v>
          </cell>
          <cell r="S1360">
            <v>0</v>
          </cell>
          <cell r="T1360">
            <v>3138400</v>
          </cell>
          <cell r="V1360">
            <v>0</v>
          </cell>
          <cell r="W1360">
            <v>0</v>
          </cell>
          <cell r="X1360">
            <v>0</v>
          </cell>
          <cell r="Z1360">
            <v>0</v>
          </cell>
          <cell r="AB1360">
            <v>0</v>
          </cell>
          <cell r="AD1360">
            <v>0</v>
          </cell>
          <cell r="AF1360">
            <v>0</v>
          </cell>
        </row>
        <row r="1361">
          <cell r="A1361">
            <v>1360</v>
          </cell>
          <cell r="C1361" t="e">
            <v>#N/A</v>
          </cell>
          <cell r="D1361" t="e">
            <v>#N/A</v>
          </cell>
          <cell r="E1361" t="e">
            <v>#N/A</v>
          </cell>
          <cell r="F1361" t="e">
            <v>#N/A</v>
          </cell>
          <cell r="G1361" t="e">
            <v>#N/A</v>
          </cell>
          <cell r="O1361" t="e">
            <v>#N/A</v>
          </cell>
          <cell r="S1361">
            <v>0</v>
          </cell>
          <cell r="T1361">
            <v>3138400</v>
          </cell>
          <cell r="V1361">
            <v>0</v>
          </cell>
          <cell r="W1361">
            <v>0</v>
          </cell>
          <cell r="X1361">
            <v>0</v>
          </cell>
          <cell r="Z1361">
            <v>0</v>
          </cell>
          <cell r="AB1361">
            <v>0</v>
          </cell>
          <cell r="AD1361">
            <v>0</v>
          </cell>
          <cell r="AF1361">
            <v>0</v>
          </cell>
        </row>
        <row r="1362">
          <cell r="A1362">
            <v>1361</v>
          </cell>
          <cell r="C1362" t="e">
            <v>#N/A</v>
          </cell>
          <cell r="D1362" t="e">
            <v>#N/A</v>
          </cell>
          <cell r="E1362" t="e">
            <v>#N/A</v>
          </cell>
          <cell r="F1362" t="e">
            <v>#N/A</v>
          </cell>
          <cell r="G1362" t="e">
            <v>#N/A</v>
          </cell>
          <cell r="O1362" t="e">
            <v>#N/A</v>
          </cell>
          <cell r="S1362">
            <v>0</v>
          </cell>
          <cell r="T1362">
            <v>3138400</v>
          </cell>
          <cell r="V1362">
            <v>0</v>
          </cell>
          <cell r="W1362">
            <v>0</v>
          </cell>
          <cell r="X1362">
            <v>0</v>
          </cell>
          <cell r="Z1362">
            <v>0</v>
          </cell>
          <cell r="AB1362">
            <v>0</v>
          </cell>
          <cell r="AD1362">
            <v>0</v>
          </cell>
          <cell r="AF1362">
            <v>0</v>
          </cell>
        </row>
        <row r="1363">
          <cell r="A1363">
            <v>1362</v>
          </cell>
          <cell r="C1363" t="e">
            <v>#N/A</v>
          </cell>
          <cell r="D1363" t="e">
            <v>#N/A</v>
          </cell>
          <cell r="E1363" t="e">
            <v>#N/A</v>
          </cell>
          <cell r="F1363" t="e">
            <v>#N/A</v>
          </cell>
          <cell r="G1363" t="e">
            <v>#N/A</v>
          </cell>
          <cell r="O1363" t="e">
            <v>#N/A</v>
          </cell>
          <cell r="S1363">
            <v>0</v>
          </cell>
          <cell r="T1363">
            <v>3138400</v>
          </cell>
          <cell r="V1363">
            <v>0</v>
          </cell>
          <cell r="W1363">
            <v>0</v>
          </cell>
          <cell r="X1363">
            <v>0</v>
          </cell>
          <cell r="Z1363">
            <v>0</v>
          </cell>
          <cell r="AB1363">
            <v>0</v>
          </cell>
          <cell r="AD1363">
            <v>0</v>
          </cell>
          <cell r="AF1363">
            <v>0</v>
          </cell>
        </row>
        <row r="1364">
          <cell r="A1364">
            <v>1363</v>
          </cell>
          <cell r="C1364" t="e">
            <v>#N/A</v>
          </cell>
          <cell r="D1364" t="e">
            <v>#N/A</v>
          </cell>
          <cell r="E1364" t="e">
            <v>#N/A</v>
          </cell>
          <cell r="F1364" t="e">
            <v>#N/A</v>
          </cell>
          <cell r="G1364" t="e">
            <v>#N/A</v>
          </cell>
          <cell r="O1364" t="e">
            <v>#N/A</v>
          </cell>
          <cell r="S1364">
            <v>0</v>
          </cell>
          <cell r="T1364">
            <v>3138400</v>
          </cell>
          <cell r="V1364">
            <v>0</v>
          </cell>
          <cell r="W1364">
            <v>0</v>
          </cell>
          <cell r="X1364">
            <v>0</v>
          </cell>
          <cell r="Z1364">
            <v>0</v>
          </cell>
          <cell r="AB1364">
            <v>0</v>
          </cell>
          <cell r="AD1364">
            <v>0</v>
          </cell>
          <cell r="AF1364">
            <v>0</v>
          </cell>
        </row>
        <row r="1365">
          <cell r="A1365">
            <v>1364</v>
          </cell>
          <cell r="C1365" t="e">
            <v>#N/A</v>
          </cell>
          <cell r="D1365" t="e">
            <v>#N/A</v>
          </cell>
          <cell r="E1365" t="e">
            <v>#N/A</v>
          </cell>
          <cell r="F1365" t="e">
            <v>#N/A</v>
          </cell>
          <cell r="G1365" t="e">
            <v>#N/A</v>
          </cell>
          <cell r="O1365" t="e">
            <v>#N/A</v>
          </cell>
          <cell r="S1365">
            <v>0</v>
          </cell>
          <cell r="T1365">
            <v>3138400</v>
          </cell>
          <cell r="V1365">
            <v>0</v>
          </cell>
          <cell r="W1365">
            <v>0</v>
          </cell>
          <cell r="X1365">
            <v>0</v>
          </cell>
          <cell r="Z1365">
            <v>0</v>
          </cell>
          <cell r="AB1365">
            <v>0</v>
          </cell>
          <cell r="AD1365">
            <v>0</v>
          </cell>
          <cell r="AF1365">
            <v>0</v>
          </cell>
        </row>
        <row r="1366">
          <cell r="A1366">
            <v>1365</v>
          </cell>
          <cell r="C1366" t="e">
            <v>#N/A</v>
          </cell>
          <cell r="D1366" t="e">
            <v>#N/A</v>
          </cell>
          <cell r="E1366" t="e">
            <v>#N/A</v>
          </cell>
          <cell r="F1366" t="e">
            <v>#N/A</v>
          </cell>
          <cell r="G1366" t="e">
            <v>#N/A</v>
          </cell>
          <cell r="O1366" t="e">
            <v>#N/A</v>
          </cell>
          <cell r="S1366">
            <v>0</v>
          </cell>
          <cell r="T1366">
            <v>3138400</v>
          </cell>
          <cell r="V1366">
            <v>0</v>
          </cell>
          <cell r="W1366">
            <v>0</v>
          </cell>
          <cell r="X1366">
            <v>0</v>
          </cell>
          <cell r="Z1366">
            <v>0</v>
          </cell>
          <cell r="AB1366">
            <v>0</v>
          </cell>
          <cell r="AD1366">
            <v>0</v>
          </cell>
          <cell r="AF1366">
            <v>0</v>
          </cell>
        </row>
        <row r="1367">
          <cell r="A1367">
            <v>1366</v>
          </cell>
          <cell r="C1367" t="e">
            <v>#N/A</v>
          </cell>
          <cell r="D1367" t="e">
            <v>#N/A</v>
          </cell>
          <cell r="E1367" t="e">
            <v>#N/A</v>
          </cell>
          <cell r="F1367" t="e">
            <v>#N/A</v>
          </cell>
          <cell r="G1367" t="e">
            <v>#N/A</v>
          </cell>
          <cell r="O1367" t="e">
            <v>#N/A</v>
          </cell>
          <cell r="S1367">
            <v>0</v>
          </cell>
          <cell r="T1367">
            <v>3138400</v>
          </cell>
          <cell r="V1367">
            <v>0</v>
          </cell>
          <cell r="W1367">
            <v>0</v>
          </cell>
          <cell r="X1367">
            <v>0</v>
          </cell>
          <cell r="Z1367">
            <v>0</v>
          </cell>
          <cell r="AB1367">
            <v>0</v>
          </cell>
          <cell r="AD1367">
            <v>0</v>
          </cell>
          <cell r="AF1367">
            <v>0</v>
          </cell>
        </row>
        <row r="1368">
          <cell r="A1368">
            <v>1367</v>
          </cell>
          <cell r="C1368" t="e">
            <v>#N/A</v>
          </cell>
          <cell r="D1368" t="e">
            <v>#N/A</v>
          </cell>
          <cell r="E1368" t="e">
            <v>#N/A</v>
          </cell>
          <cell r="F1368" t="e">
            <v>#N/A</v>
          </cell>
          <cell r="G1368" t="e">
            <v>#N/A</v>
          </cell>
          <cell r="O1368" t="e">
            <v>#N/A</v>
          </cell>
          <cell r="S1368">
            <v>0</v>
          </cell>
          <cell r="T1368">
            <v>3138400</v>
          </cell>
          <cell r="V1368">
            <v>0</v>
          </cell>
          <cell r="W1368">
            <v>0</v>
          </cell>
          <cell r="X1368">
            <v>0</v>
          </cell>
          <cell r="Z1368">
            <v>0</v>
          </cell>
          <cell r="AB1368">
            <v>0</v>
          </cell>
          <cell r="AD1368">
            <v>0</v>
          </cell>
          <cell r="AF1368">
            <v>0</v>
          </cell>
        </row>
        <row r="1369">
          <cell r="A1369">
            <v>1368</v>
          </cell>
          <cell r="C1369" t="e">
            <v>#N/A</v>
          </cell>
          <cell r="D1369" t="e">
            <v>#N/A</v>
          </cell>
          <cell r="E1369" t="e">
            <v>#N/A</v>
          </cell>
          <cell r="F1369" t="e">
            <v>#N/A</v>
          </cell>
          <cell r="G1369" t="e">
            <v>#N/A</v>
          </cell>
          <cell r="O1369" t="e">
            <v>#N/A</v>
          </cell>
          <cell r="S1369">
            <v>0</v>
          </cell>
          <cell r="T1369">
            <v>3138400</v>
          </cell>
          <cell r="U1369" t="str">
            <v>ya</v>
          </cell>
          <cell r="V1369" t="e">
            <v>#N/A</v>
          </cell>
          <cell r="W1369" t="e">
            <v>#N/A</v>
          </cell>
          <cell r="X1369" t="e">
            <v>#N/A</v>
          </cell>
          <cell r="Z1369">
            <v>0</v>
          </cell>
          <cell r="AB1369">
            <v>0</v>
          </cell>
          <cell r="AD1369">
            <v>0</v>
          </cell>
          <cell r="AF1369">
            <v>0</v>
          </cell>
        </row>
        <row r="1370">
          <cell r="A1370">
            <v>1369</v>
          </cell>
          <cell r="C1370" t="e">
            <v>#N/A</v>
          </cell>
          <cell r="D1370" t="e">
            <v>#N/A</v>
          </cell>
          <cell r="E1370" t="e">
            <v>#N/A</v>
          </cell>
          <cell r="F1370" t="e">
            <v>#N/A</v>
          </cell>
          <cell r="G1370" t="e">
            <v>#N/A</v>
          </cell>
          <cell r="O1370" t="e">
            <v>#N/A</v>
          </cell>
          <cell r="S1370">
            <v>0</v>
          </cell>
          <cell r="T1370">
            <v>3138400</v>
          </cell>
          <cell r="U1370" t="str">
            <v>ya</v>
          </cell>
          <cell r="V1370" t="e">
            <v>#N/A</v>
          </cell>
          <cell r="W1370" t="e">
            <v>#N/A</v>
          </cell>
          <cell r="X1370" t="e">
            <v>#N/A</v>
          </cell>
          <cell r="Z1370">
            <v>0</v>
          </cell>
          <cell r="AB1370">
            <v>0</v>
          </cell>
          <cell r="AD1370">
            <v>0</v>
          </cell>
          <cell r="AF1370">
            <v>0</v>
          </cell>
        </row>
        <row r="1371">
          <cell r="A1371">
            <v>1370</v>
          </cell>
          <cell r="C1371" t="e">
            <v>#N/A</v>
          </cell>
          <cell r="D1371" t="e">
            <v>#N/A</v>
          </cell>
          <cell r="E1371" t="e">
            <v>#N/A</v>
          </cell>
          <cell r="F1371" t="e">
            <v>#N/A</v>
          </cell>
          <cell r="G1371" t="e">
            <v>#N/A</v>
          </cell>
          <cell r="O1371" t="e">
            <v>#N/A</v>
          </cell>
          <cell r="S1371">
            <v>0</v>
          </cell>
          <cell r="T1371">
            <v>3138400</v>
          </cell>
          <cell r="U1371" t="str">
            <v>ya</v>
          </cell>
          <cell r="V1371" t="e">
            <v>#N/A</v>
          </cell>
          <cell r="W1371" t="e">
            <v>#N/A</v>
          </cell>
          <cell r="X1371" t="e">
            <v>#N/A</v>
          </cell>
          <cell r="Z1371">
            <v>0</v>
          </cell>
          <cell r="AB1371">
            <v>0</v>
          </cell>
          <cell r="AD1371">
            <v>0</v>
          </cell>
          <cell r="AF1371">
            <v>0</v>
          </cell>
        </row>
        <row r="1372">
          <cell r="A1372">
            <v>1371</v>
          </cell>
          <cell r="C1372" t="e">
            <v>#N/A</v>
          </cell>
          <cell r="D1372" t="e">
            <v>#N/A</v>
          </cell>
          <cell r="E1372" t="e">
            <v>#N/A</v>
          </cell>
          <cell r="F1372" t="e">
            <v>#N/A</v>
          </cell>
          <cell r="G1372" t="e">
            <v>#N/A</v>
          </cell>
          <cell r="O1372" t="e">
            <v>#N/A</v>
          </cell>
          <cell r="S1372">
            <v>0</v>
          </cell>
          <cell r="T1372">
            <v>3138400</v>
          </cell>
          <cell r="V1372">
            <v>0</v>
          </cell>
          <cell r="W1372">
            <v>0</v>
          </cell>
          <cell r="X1372">
            <v>0</v>
          </cell>
          <cell r="Z1372">
            <v>0</v>
          </cell>
          <cell r="AB1372">
            <v>0</v>
          </cell>
          <cell r="AD1372">
            <v>0</v>
          </cell>
          <cell r="AF1372">
            <v>0</v>
          </cell>
        </row>
        <row r="1373">
          <cell r="A1373">
            <v>1372</v>
          </cell>
          <cell r="C1373" t="e">
            <v>#N/A</v>
          </cell>
          <cell r="D1373" t="e">
            <v>#N/A</v>
          </cell>
          <cell r="E1373" t="e">
            <v>#N/A</v>
          </cell>
          <cell r="F1373" t="e">
            <v>#N/A</v>
          </cell>
          <cell r="G1373" t="e">
            <v>#N/A</v>
          </cell>
          <cell r="O1373" t="e">
            <v>#N/A</v>
          </cell>
          <cell r="S1373">
            <v>0</v>
          </cell>
          <cell r="T1373">
            <v>3138400</v>
          </cell>
          <cell r="U1373" t="str">
            <v>ya</v>
          </cell>
          <cell r="V1373" t="e">
            <v>#N/A</v>
          </cell>
          <cell r="W1373" t="e">
            <v>#N/A</v>
          </cell>
          <cell r="X1373" t="e">
            <v>#N/A</v>
          </cell>
          <cell r="Z1373">
            <v>0</v>
          </cell>
          <cell r="AB1373">
            <v>0</v>
          </cell>
          <cell r="AD1373">
            <v>0</v>
          </cell>
          <cell r="AF1373">
            <v>0</v>
          </cell>
        </row>
        <row r="1374">
          <cell r="A1374">
            <v>1373</v>
          </cell>
          <cell r="C1374" t="e">
            <v>#N/A</v>
          </cell>
          <cell r="D1374" t="e">
            <v>#N/A</v>
          </cell>
          <cell r="E1374" t="e">
            <v>#N/A</v>
          </cell>
          <cell r="F1374" t="e">
            <v>#N/A</v>
          </cell>
          <cell r="G1374" t="e">
            <v>#N/A</v>
          </cell>
          <cell r="O1374" t="e">
            <v>#N/A</v>
          </cell>
          <cell r="S1374">
            <v>0</v>
          </cell>
          <cell r="T1374">
            <v>3138400</v>
          </cell>
          <cell r="U1374" t="str">
            <v>ya</v>
          </cell>
          <cell r="V1374" t="e">
            <v>#N/A</v>
          </cell>
          <cell r="W1374" t="e">
            <v>#N/A</v>
          </cell>
          <cell r="X1374" t="e">
            <v>#N/A</v>
          </cell>
          <cell r="Z1374">
            <v>0</v>
          </cell>
          <cell r="AB1374">
            <v>0</v>
          </cell>
          <cell r="AD1374">
            <v>0</v>
          </cell>
          <cell r="AF1374">
            <v>0</v>
          </cell>
        </row>
        <row r="1375">
          <cell r="A1375">
            <v>1374</v>
          </cell>
          <cell r="C1375" t="e">
            <v>#N/A</v>
          </cell>
          <cell r="D1375" t="e">
            <v>#N/A</v>
          </cell>
          <cell r="E1375" t="e">
            <v>#N/A</v>
          </cell>
          <cell r="F1375" t="e">
            <v>#N/A</v>
          </cell>
          <cell r="G1375" t="e">
            <v>#N/A</v>
          </cell>
          <cell r="O1375" t="e">
            <v>#N/A</v>
          </cell>
          <cell r="S1375">
            <v>0</v>
          </cell>
          <cell r="T1375">
            <v>3138400</v>
          </cell>
          <cell r="V1375">
            <v>0</v>
          </cell>
          <cell r="W1375">
            <v>0</v>
          </cell>
          <cell r="X1375">
            <v>0</v>
          </cell>
          <cell r="Z1375">
            <v>0</v>
          </cell>
          <cell r="AB1375">
            <v>0</v>
          </cell>
          <cell r="AD1375">
            <v>0</v>
          </cell>
          <cell r="AF1375">
            <v>0</v>
          </cell>
        </row>
        <row r="1376">
          <cell r="A1376">
            <v>1375</v>
          </cell>
          <cell r="C1376" t="e">
            <v>#N/A</v>
          </cell>
          <cell r="D1376" t="e">
            <v>#N/A</v>
          </cell>
          <cell r="E1376" t="e">
            <v>#N/A</v>
          </cell>
          <cell r="F1376" t="e">
            <v>#N/A</v>
          </cell>
          <cell r="G1376" t="e">
            <v>#N/A</v>
          </cell>
          <cell r="O1376" t="e">
            <v>#N/A</v>
          </cell>
          <cell r="S1376">
            <v>0</v>
          </cell>
          <cell r="T1376">
            <v>3138400</v>
          </cell>
          <cell r="V1376">
            <v>0</v>
          </cell>
          <cell r="W1376">
            <v>0</v>
          </cell>
          <cell r="X1376">
            <v>0</v>
          </cell>
          <cell r="Z1376">
            <v>0</v>
          </cell>
          <cell r="AB1376">
            <v>0</v>
          </cell>
          <cell r="AD1376">
            <v>0</v>
          </cell>
          <cell r="AF1376">
            <v>0</v>
          </cell>
        </row>
        <row r="1377">
          <cell r="A1377">
            <v>1376</v>
          </cell>
          <cell r="C1377" t="e">
            <v>#N/A</v>
          </cell>
          <cell r="D1377" t="e">
            <v>#N/A</v>
          </cell>
          <cell r="E1377" t="e">
            <v>#N/A</v>
          </cell>
          <cell r="F1377" t="e">
            <v>#N/A</v>
          </cell>
          <cell r="G1377" t="e">
            <v>#N/A</v>
          </cell>
          <cell r="O1377" t="e">
            <v>#N/A</v>
          </cell>
          <cell r="S1377">
            <v>0</v>
          </cell>
          <cell r="T1377">
            <v>3138400</v>
          </cell>
          <cell r="V1377">
            <v>0</v>
          </cell>
          <cell r="W1377">
            <v>0</v>
          </cell>
          <cell r="X1377">
            <v>0</v>
          </cell>
          <cell r="Z1377">
            <v>0</v>
          </cell>
          <cell r="AB1377">
            <v>0</v>
          </cell>
          <cell r="AD1377">
            <v>0</v>
          </cell>
          <cell r="AF1377">
            <v>0</v>
          </cell>
        </row>
        <row r="1378">
          <cell r="A1378">
            <v>1377</v>
          </cell>
          <cell r="C1378" t="e">
            <v>#N/A</v>
          </cell>
          <cell r="D1378" t="e">
            <v>#N/A</v>
          </cell>
          <cell r="E1378" t="e">
            <v>#N/A</v>
          </cell>
          <cell r="F1378" t="e">
            <v>#N/A</v>
          </cell>
          <cell r="G1378" t="e">
            <v>#N/A</v>
          </cell>
          <cell r="O1378" t="e">
            <v>#N/A</v>
          </cell>
          <cell r="S1378">
            <v>0</v>
          </cell>
          <cell r="T1378">
            <v>3138400</v>
          </cell>
          <cell r="V1378">
            <v>0</v>
          </cell>
          <cell r="W1378">
            <v>0</v>
          </cell>
          <cell r="X1378">
            <v>0</v>
          </cell>
          <cell r="Z1378">
            <v>0</v>
          </cell>
          <cell r="AB1378">
            <v>0</v>
          </cell>
          <cell r="AD1378">
            <v>0</v>
          </cell>
          <cell r="AF1378">
            <v>0</v>
          </cell>
        </row>
        <row r="1379">
          <cell r="A1379">
            <v>1378</v>
          </cell>
          <cell r="C1379" t="e">
            <v>#N/A</v>
          </cell>
          <cell r="D1379" t="e">
            <v>#N/A</v>
          </cell>
          <cell r="E1379" t="e">
            <v>#N/A</v>
          </cell>
          <cell r="F1379" t="e">
            <v>#N/A</v>
          </cell>
          <cell r="G1379" t="e">
            <v>#N/A</v>
          </cell>
          <cell r="O1379" t="e">
            <v>#N/A</v>
          </cell>
          <cell r="S1379">
            <v>0</v>
          </cell>
          <cell r="T1379">
            <v>3138400</v>
          </cell>
          <cell r="V1379">
            <v>0</v>
          </cell>
          <cell r="W1379">
            <v>0</v>
          </cell>
          <cell r="X1379">
            <v>0</v>
          </cell>
          <cell r="Z1379">
            <v>0</v>
          </cell>
          <cell r="AB1379">
            <v>0</v>
          </cell>
          <cell r="AD1379">
            <v>0</v>
          </cell>
          <cell r="AF1379">
            <v>0</v>
          </cell>
        </row>
        <row r="1380">
          <cell r="A1380">
            <v>1379</v>
          </cell>
          <cell r="C1380" t="e">
            <v>#N/A</v>
          </cell>
          <cell r="D1380" t="e">
            <v>#N/A</v>
          </cell>
          <cell r="E1380" t="e">
            <v>#N/A</v>
          </cell>
          <cell r="F1380" t="e">
            <v>#N/A</v>
          </cell>
          <cell r="G1380" t="e">
            <v>#N/A</v>
          </cell>
          <cell r="O1380" t="e">
            <v>#N/A</v>
          </cell>
          <cell r="S1380">
            <v>0</v>
          </cell>
          <cell r="T1380">
            <v>3138400</v>
          </cell>
          <cell r="V1380">
            <v>0</v>
          </cell>
          <cell r="W1380">
            <v>0</v>
          </cell>
          <cell r="X1380">
            <v>0</v>
          </cell>
          <cell r="Z1380">
            <v>0</v>
          </cell>
          <cell r="AB1380">
            <v>0</v>
          </cell>
          <cell r="AD1380">
            <v>0</v>
          </cell>
          <cell r="AF1380">
            <v>0</v>
          </cell>
        </row>
        <row r="1381">
          <cell r="A1381">
            <v>1380</v>
          </cell>
          <cell r="C1381" t="e">
            <v>#N/A</v>
          </cell>
          <cell r="D1381" t="e">
            <v>#N/A</v>
          </cell>
          <cell r="E1381" t="e">
            <v>#N/A</v>
          </cell>
          <cell r="F1381" t="e">
            <v>#N/A</v>
          </cell>
          <cell r="G1381" t="e">
            <v>#N/A</v>
          </cell>
          <cell r="O1381" t="e">
            <v>#N/A</v>
          </cell>
          <cell r="S1381">
            <v>0</v>
          </cell>
          <cell r="T1381">
            <v>3138400</v>
          </cell>
          <cell r="V1381">
            <v>0</v>
          </cell>
          <cell r="W1381">
            <v>0</v>
          </cell>
          <cell r="X1381">
            <v>0</v>
          </cell>
          <cell r="Z1381">
            <v>0</v>
          </cell>
          <cell r="AB1381">
            <v>0</v>
          </cell>
          <cell r="AD1381">
            <v>0</v>
          </cell>
          <cell r="AF1381">
            <v>0</v>
          </cell>
        </row>
        <row r="1382">
          <cell r="A1382">
            <v>1381</v>
          </cell>
          <cell r="C1382" t="e">
            <v>#N/A</v>
          </cell>
          <cell r="D1382" t="e">
            <v>#N/A</v>
          </cell>
          <cell r="E1382" t="e">
            <v>#N/A</v>
          </cell>
          <cell r="F1382" t="e">
            <v>#N/A</v>
          </cell>
          <cell r="G1382" t="e">
            <v>#N/A</v>
          </cell>
          <cell r="O1382" t="e">
            <v>#N/A</v>
          </cell>
          <cell r="S1382">
            <v>0</v>
          </cell>
          <cell r="T1382">
            <v>3138400</v>
          </cell>
          <cell r="V1382">
            <v>0</v>
          </cell>
          <cell r="W1382">
            <v>0</v>
          </cell>
          <cell r="X1382">
            <v>0</v>
          </cell>
          <cell r="Z1382">
            <v>0</v>
          </cell>
          <cell r="AB1382">
            <v>0</v>
          </cell>
          <cell r="AD1382">
            <v>0</v>
          </cell>
          <cell r="AF1382">
            <v>0</v>
          </cell>
        </row>
        <row r="1383">
          <cell r="A1383">
            <v>1382</v>
          </cell>
          <cell r="C1383" t="e">
            <v>#N/A</v>
          </cell>
          <cell r="D1383" t="e">
            <v>#N/A</v>
          </cell>
          <cell r="E1383" t="e">
            <v>#N/A</v>
          </cell>
          <cell r="F1383" t="e">
            <v>#N/A</v>
          </cell>
          <cell r="G1383" t="e">
            <v>#N/A</v>
          </cell>
          <cell r="O1383" t="e">
            <v>#N/A</v>
          </cell>
          <cell r="S1383">
            <v>0</v>
          </cell>
          <cell r="T1383">
            <v>3138400</v>
          </cell>
          <cell r="V1383">
            <v>0</v>
          </cell>
          <cell r="W1383">
            <v>0</v>
          </cell>
          <cell r="X1383">
            <v>0</v>
          </cell>
          <cell r="Z1383">
            <v>0</v>
          </cell>
          <cell r="AB1383">
            <v>0</v>
          </cell>
          <cell r="AD1383">
            <v>0</v>
          </cell>
          <cell r="AF1383">
            <v>0</v>
          </cell>
        </row>
        <row r="1384">
          <cell r="A1384">
            <v>1383</v>
          </cell>
          <cell r="C1384" t="e">
            <v>#N/A</v>
          </cell>
          <cell r="D1384" t="e">
            <v>#N/A</v>
          </cell>
          <cell r="E1384" t="e">
            <v>#N/A</v>
          </cell>
          <cell r="F1384" t="e">
            <v>#N/A</v>
          </cell>
          <cell r="G1384" t="e">
            <v>#N/A</v>
          </cell>
          <cell r="O1384" t="e">
            <v>#N/A</v>
          </cell>
          <cell r="S1384">
            <v>0</v>
          </cell>
          <cell r="T1384">
            <v>3138400</v>
          </cell>
          <cell r="V1384">
            <v>0</v>
          </cell>
          <cell r="W1384">
            <v>0</v>
          </cell>
          <cell r="X1384">
            <v>0</v>
          </cell>
          <cell r="Z1384">
            <v>0</v>
          </cell>
          <cell r="AB1384">
            <v>0</v>
          </cell>
          <cell r="AD1384">
            <v>0</v>
          </cell>
          <cell r="AF1384">
            <v>0</v>
          </cell>
        </row>
        <row r="1385">
          <cell r="A1385">
            <v>1384</v>
          </cell>
          <cell r="C1385" t="e">
            <v>#N/A</v>
          </cell>
          <cell r="D1385" t="e">
            <v>#N/A</v>
          </cell>
          <cell r="E1385" t="e">
            <v>#N/A</v>
          </cell>
          <cell r="F1385" t="e">
            <v>#N/A</v>
          </cell>
          <cell r="G1385" t="e">
            <v>#N/A</v>
          </cell>
          <cell r="O1385" t="e">
            <v>#N/A</v>
          </cell>
          <cell r="S1385">
            <v>0</v>
          </cell>
          <cell r="T1385">
            <v>3138400</v>
          </cell>
          <cell r="V1385">
            <v>0</v>
          </cell>
          <cell r="W1385">
            <v>0</v>
          </cell>
          <cell r="X1385">
            <v>0</v>
          </cell>
          <cell r="Z1385">
            <v>0</v>
          </cell>
          <cell r="AB1385">
            <v>0</v>
          </cell>
          <cell r="AD1385">
            <v>0</v>
          </cell>
          <cell r="AF1385">
            <v>0</v>
          </cell>
        </row>
        <row r="1386">
          <cell r="A1386">
            <v>1385</v>
          </cell>
          <cell r="C1386" t="e">
            <v>#N/A</v>
          </cell>
          <cell r="D1386" t="e">
            <v>#N/A</v>
          </cell>
          <cell r="E1386" t="e">
            <v>#N/A</v>
          </cell>
          <cell r="F1386" t="e">
            <v>#N/A</v>
          </cell>
          <cell r="G1386" t="e">
            <v>#N/A</v>
          </cell>
          <cell r="O1386" t="e">
            <v>#N/A</v>
          </cell>
          <cell r="S1386">
            <v>0</v>
          </cell>
          <cell r="T1386">
            <v>3138400</v>
          </cell>
          <cell r="V1386">
            <v>0</v>
          </cell>
          <cell r="W1386">
            <v>0</v>
          </cell>
          <cell r="X1386">
            <v>0</v>
          </cell>
          <cell r="Z1386">
            <v>0</v>
          </cell>
          <cell r="AB1386">
            <v>0</v>
          </cell>
          <cell r="AD1386">
            <v>0</v>
          </cell>
          <cell r="AF1386">
            <v>0</v>
          </cell>
        </row>
        <row r="1387">
          <cell r="A1387">
            <v>1386</v>
          </cell>
          <cell r="C1387" t="e">
            <v>#N/A</v>
          </cell>
          <cell r="D1387" t="e">
            <v>#N/A</v>
          </cell>
          <cell r="E1387" t="e">
            <v>#N/A</v>
          </cell>
          <cell r="F1387" t="e">
            <v>#N/A</v>
          </cell>
          <cell r="G1387" t="e">
            <v>#N/A</v>
          </cell>
          <cell r="O1387" t="e">
            <v>#N/A</v>
          </cell>
          <cell r="S1387">
            <v>0</v>
          </cell>
          <cell r="T1387">
            <v>3138400</v>
          </cell>
          <cell r="V1387">
            <v>0</v>
          </cell>
          <cell r="W1387">
            <v>0</v>
          </cell>
          <cell r="X1387">
            <v>0</v>
          </cell>
          <cell r="Z1387">
            <v>0</v>
          </cell>
          <cell r="AB1387">
            <v>0</v>
          </cell>
          <cell r="AD1387">
            <v>0</v>
          </cell>
          <cell r="AF1387">
            <v>0</v>
          </cell>
        </row>
        <row r="1388">
          <cell r="A1388">
            <v>1387</v>
          </cell>
          <cell r="C1388" t="e">
            <v>#N/A</v>
          </cell>
          <cell r="D1388" t="e">
            <v>#N/A</v>
          </cell>
          <cell r="E1388" t="e">
            <v>#N/A</v>
          </cell>
          <cell r="F1388" t="e">
            <v>#N/A</v>
          </cell>
          <cell r="G1388" t="e">
            <v>#N/A</v>
          </cell>
          <cell r="O1388" t="e">
            <v>#N/A</v>
          </cell>
          <cell r="S1388">
            <v>0</v>
          </cell>
          <cell r="T1388">
            <v>3138400</v>
          </cell>
          <cell r="V1388">
            <v>0</v>
          </cell>
          <cell r="W1388">
            <v>0</v>
          </cell>
          <cell r="X1388">
            <v>0</v>
          </cell>
          <cell r="Z1388">
            <v>0</v>
          </cell>
          <cell r="AB1388">
            <v>0</v>
          </cell>
          <cell r="AD1388">
            <v>0</v>
          </cell>
          <cell r="AF1388">
            <v>0</v>
          </cell>
        </row>
        <row r="1389">
          <cell r="A1389">
            <v>1388</v>
          </cell>
          <cell r="C1389" t="e">
            <v>#N/A</v>
          </cell>
          <cell r="D1389" t="e">
            <v>#N/A</v>
          </cell>
          <cell r="E1389" t="e">
            <v>#N/A</v>
          </cell>
          <cell r="F1389" t="e">
            <v>#N/A</v>
          </cell>
          <cell r="G1389" t="e">
            <v>#N/A</v>
          </cell>
          <cell r="O1389" t="e">
            <v>#N/A</v>
          </cell>
          <cell r="S1389">
            <v>0</v>
          </cell>
          <cell r="T1389">
            <v>3138400</v>
          </cell>
          <cell r="V1389">
            <v>0</v>
          </cell>
          <cell r="W1389">
            <v>0</v>
          </cell>
          <cell r="X1389">
            <v>0</v>
          </cell>
          <cell r="Z1389">
            <v>0</v>
          </cell>
          <cell r="AB1389">
            <v>0</v>
          </cell>
          <cell r="AD1389">
            <v>0</v>
          </cell>
          <cell r="AF1389">
            <v>0</v>
          </cell>
        </row>
        <row r="1390">
          <cell r="A1390">
            <v>1389</v>
          </cell>
          <cell r="C1390" t="e">
            <v>#N/A</v>
          </cell>
          <cell r="D1390" t="e">
            <v>#N/A</v>
          </cell>
          <cell r="E1390" t="e">
            <v>#N/A</v>
          </cell>
          <cell r="F1390" t="e">
            <v>#N/A</v>
          </cell>
          <cell r="G1390" t="e">
            <v>#N/A</v>
          </cell>
          <cell r="O1390" t="e">
            <v>#N/A</v>
          </cell>
          <cell r="S1390">
            <v>0</v>
          </cell>
          <cell r="T1390">
            <v>3138400</v>
          </cell>
          <cell r="V1390">
            <v>0</v>
          </cell>
          <cell r="W1390">
            <v>0</v>
          </cell>
          <cell r="X1390">
            <v>0</v>
          </cell>
          <cell r="Z1390">
            <v>0</v>
          </cell>
          <cell r="AB1390">
            <v>0</v>
          </cell>
          <cell r="AD1390">
            <v>0</v>
          </cell>
          <cell r="AF1390">
            <v>0</v>
          </cell>
        </row>
        <row r="1391">
          <cell r="A1391">
            <v>1390</v>
          </cell>
          <cell r="C1391" t="e">
            <v>#N/A</v>
          </cell>
          <cell r="D1391" t="e">
            <v>#N/A</v>
          </cell>
          <cell r="E1391" t="e">
            <v>#N/A</v>
          </cell>
          <cell r="F1391" t="e">
            <v>#N/A</v>
          </cell>
          <cell r="G1391" t="e">
            <v>#N/A</v>
          </cell>
          <cell r="O1391" t="e">
            <v>#N/A</v>
          </cell>
          <cell r="S1391">
            <v>0</v>
          </cell>
          <cell r="T1391">
            <v>3138400</v>
          </cell>
          <cell r="V1391">
            <v>0</v>
          </cell>
          <cell r="W1391">
            <v>0</v>
          </cell>
          <cell r="X1391">
            <v>0</v>
          </cell>
          <cell r="Z1391">
            <v>0</v>
          </cell>
          <cell r="AB1391">
            <v>0</v>
          </cell>
          <cell r="AD1391">
            <v>0</v>
          </cell>
          <cell r="AF1391">
            <v>0</v>
          </cell>
        </row>
        <row r="1392">
          <cell r="A1392">
            <v>1391</v>
          </cell>
          <cell r="C1392" t="e">
            <v>#N/A</v>
          </cell>
          <cell r="D1392" t="e">
            <v>#N/A</v>
          </cell>
          <cell r="E1392" t="e">
            <v>#N/A</v>
          </cell>
          <cell r="F1392" t="e">
            <v>#N/A</v>
          </cell>
          <cell r="G1392" t="e">
            <v>#N/A</v>
          </cell>
          <cell r="O1392" t="e">
            <v>#N/A</v>
          </cell>
          <cell r="S1392">
            <v>0</v>
          </cell>
          <cell r="T1392">
            <v>3138400</v>
          </cell>
          <cell r="V1392">
            <v>0</v>
          </cell>
          <cell r="W1392">
            <v>0</v>
          </cell>
          <cell r="X1392">
            <v>0</v>
          </cell>
          <cell r="Z1392">
            <v>0</v>
          </cell>
          <cell r="AB1392">
            <v>0</v>
          </cell>
          <cell r="AD1392">
            <v>0</v>
          </cell>
          <cell r="AF1392">
            <v>0</v>
          </cell>
        </row>
        <row r="1393">
          <cell r="A1393">
            <v>1392</v>
          </cell>
          <cell r="C1393" t="e">
            <v>#N/A</v>
          </cell>
          <cell r="D1393" t="e">
            <v>#N/A</v>
          </cell>
          <cell r="E1393" t="e">
            <v>#N/A</v>
          </cell>
          <cell r="F1393" t="e">
            <v>#N/A</v>
          </cell>
          <cell r="G1393" t="e">
            <v>#N/A</v>
          </cell>
          <cell r="O1393" t="e">
            <v>#N/A</v>
          </cell>
          <cell r="S1393">
            <v>0</v>
          </cell>
          <cell r="T1393">
            <v>3138400</v>
          </cell>
          <cell r="U1393" t="str">
            <v>ya</v>
          </cell>
          <cell r="V1393" t="e">
            <v>#N/A</v>
          </cell>
          <cell r="W1393" t="e">
            <v>#N/A</v>
          </cell>
          <cell r="X1393" t="e">
            <v>#N/A</v>
          </cell>
          <cell r="Z1393">
            <v>0</v>
          </cell>
          <cell r="AB1393">
            <v>0</v>
          </cell>
          <cell r="AD1393">
            <v>0</v>
          </cell>
          <cell r="AF1393">
            <v>0</v>
          </cell>
        </row>
        <row r="1394">
          <cell r="A1394">
            <v>1393</v>
          </cell>
          <cell r="C1394" t="e">
            <v>#N/A</v>
          </cell>
          <cell r="D1394" t="e">
            <v>#N/A</v>
          </cell>
          <cell r="E1394" t="e">
            <v>#N/A</v>
          </cell>
          <cell r="F1394" t="e">
            <v>#N/A</v>
          </cell>
          <cell r="G1394" t="e">
            <v>#N/A</v>
          </cell>
          <cell r="O1394" t="e">
            <v>#N/A</v>
          </cell>
          <cell r="S1394">
            <v>0</v>
          </cell>
          <cell r="T1394">
            <v>3138400</v>
          </cell>
          <cell r="V1394">
            <v>0</v>
          </cell>
          <cell r="W1394">
            <v>0</v>
          </cell>
          <cell r="X1394">
            <v>0</v>
          </cell>
          <cell r="Z1394">
            <v>0</v>
          </cell>
          <cell r="AB1394">
            <v>0</v>
          </cell>
          <cell r="AD1394">
            <v>0</v>
          </cell>
          <cell r="AF1394">
            <v>0</v>
          </cell>
        </row>
        <row r="1395">
          <cell r="A1395">
            <v>1394</v>
          </cell>
          <cell r="C1395" t="e">
            <v>#N/A</v>
          </cell>
          <cell r="D1395" t="e">
            <v>#N/A</v>
          </cell>
          <cell r="E1395" t="e">
            <v>#N/A</v>
          </cell>
          <cell r="F1395" t="e">
            <v>#N/A</v>
          </cell>
          <cell r="G1395" t="e">
            <v>#N/A</v>
          </cell>
          <cell r="O1395" t="e">
            <v>#N/A</v>
          </cell>
          <cell r="S1395">
            <v>0</v>
          </cell>
          <cell r="T1395">
            <v>3138400</v>
          </cell>
          <cell r="V1395">
            <v>0</v>
          </cell>
          <cell r="W1395">
            <v>0</v>
          </cell>
          <cell r="X1395">
            <v>0</v>
          </cell>
          <cell r="Z1395">
            <v>0</v>
          </cell>
          <cell r="AB1395">
            <v>0</v>
          </cell>
          <cell r="AD1395">
            <v>0</v>
          </cell>
          <cell r="AF1395">
            <v>0</v>
          </cell>
        </row>
        <row r="1396">
          <cell r="A1396">
            <v>1395</v>
          </cell>
          <cell r="C1396" t="e">
            <v>#N/A</v>
          </cell>
          <cell r="D1396" t="e">
            <v>#N/A</v>
          </cell>
          <cell r="E1396" t="e">
            <v>#N/A</v>
          </cell>
          <cell r="F1396" t="e">
            <v>#N/A</v>
          </cell>
          <cell r="G1396" t="e">
            <v>#N/A</v>
          </cell>
          <cell r="O1396" t="e">
            <v>#N/A</v>
          </cell>
          <cell r="S1396">
            <v>0</v>
          </cell>
          <cell r="T1396">
            <v>3138400</v>
          </cell>
          <cell r="V1396">
            <v>0</v>
          </cell>
          <cell r="W1396">
            <v>0</v>
          </cell>
          <cell r="X1396">
            <v>0</v>
          </cell>
          <cell r="Z1396">
            <v>0</v>
          </cell>
          <cell r="AB1396">
            <v>0</v>
          </cell>
          <cell r="AD1396">
            <v>0</v>
          </cell>
          <cell r="AF1396">
            <v>0</v>
          </cell>
        </row>
        <row r="1397">
          <cell r="A1397">
            <v>1396</v>
          </cell>
          <cell r="C1397" t="e">
            <v>#N/A</v>
          </cell>
          <cell r="D1397" t="e">
            <v>#N/A</v>
          </cell>
          <cell r="E1397" t="e">
            <v>#N/A</v>
          </cell>
          <cell r="F1397" t="e">
            <v>#N/A</v>
          </cell>
          <cell r="G1397" t="e">
            <v>#N/A</v>
          </cell>
          <cell r="O1397" t="e">
            <v>#N/A</v>
          </cell>
          <cell r="S1397">
            <v>0</v>
          </cell>
          <cell r="T1397">
            <v>3138400</v>
          </cell>
          <cell r="U1397" t="str">
            <v>ya</v>
          </cell>
          <cell r="V1397" t="e">
            <v>#N/A</v>
          </cell>
          <cell r="W1397" t="e">
            <v>#N/A</v>
          </cell>
          <cell r="X1397" t="e">
            <v>#N/A</v>
          </cell>
          <cell r="Z1397">
            <v>0</v>
          </cell>
          <cell r="AB1397">
            <v>0</v>
          </cell>
          <cell r="AD1397">
            <v>0</v>
          </cell>
          <cell r="AF1397">
            <v>0</v>
          </cell>
        </row>
        <row r="1398">
          <cell r="A1398">
            <v>1397</v>
          </cell>
          <cell r="C1398" t="e">
            <v>#N/A</v>
          </cell>
          <cell r="D1398" t="e">
            <v>#N/A</v>
          </cell>
          <cell r="E1398" t="e">
            <v>#N/A</v>
          </cell>
          <cell r="F1398" t="e">
            <v>#N/A</v>
          </cell>
          <cell r="G1398" t="e">
            <v>#N/A</v>
          </cell>
          <cell r="O1398" t="e">
            <v>#N/A</v>
          </cell>
          <cell r="S1398">
            <v>0</v>
          </cell>
          <cell r="T1398">
            <v>3138400</v>
          </cell>
          <cell r="U1398" t="str">
            <v>ya</v>
          </cell>
          <cell r="V1398" t="e">
            <v>#N/A</v>
          </cell>
          <cell r="W1398" t="e">
            <v>#N/A</v>
          </cell>
          <cell r="X1398" t="e">
            <v>#N/A</v>
          </cell>
          <cell r="Z1398">
            <v>0</v>
          </cell>
          <cell r="AB1398">
            <v>0</v>
          </cell>
          <cell r="AD1398">
            <v>0</v>
          </cell>
          <cell r="AF1398">
            <v>0</v>
          </cell>
        </row>
        <row r="1399">
          <cell r="A1399">
            <v>1398</v>
          </cell>
          <cell r="C1399" t="e">
            <v>#N/A</v>
          </cell>
          <cell r="D1399" t="e">
            <v>#N/A</v>
          </cell>
          <cell r="E1399" t="e">
            <v>#N/A</v>
          </cell>
          <cell r="F1399" t="e">
            <v>#N/A</v>
          </cell>
          <cell r="G1399" t="e">
            <v>#N/A</v>
          </cell>
          <cell r="O1399" t="e">
            <v>#N/A</v>
          </cell>
          <cell r="S1399">
            <v>0</v>
          </cell>
          <cell r="T1399">
            <v>3138400</v>
          </cell>
          <cell r="V1399">
            <v>0</v>
          </cell>
          <cell r="W1399">
            <v>0</v>
          </cell>
          <cell r="X1399">
            <v>0</v>
          </cell>
          <cell r="Z1399">
            <v>0</v>
          </cell>
          <cell r="AB1399">
            <v>0</v>
          </cell>
          <cell r="AD1399">
            <v>0</v>
          </cell>
          <cell r="AF1399">
            <v>0</v>
          </cell>
        </row>
        <row r="1400">
          <cell r="A1400">
            <v>1399</v>
          </cell>
          <cell r="C1400" t="e">
            <v>#N/A</v>
          </cell>
          <cell r="D1400" t="e">
            <v>#N/A</v>
          </cell>
          <cell r="E1400" t="e">
            <v>#N/A</v>
          </cell>
          <cell r="F1400" t="e">
            <v>#N/A</v>
          </cell>
          <cell r="G1400" t="e">
            <v>#N/A</v>
          </cell>
          <cell r="O1400" t="e">
            <v>#N/A</v>
          </cell>
          <cell r="S1400">
            <v>0</v>
          </cell>
          <cell r="T1400">
            <v>3138400</v>
          </cell>
          <cell r="V1400">
            <v>0</v>
          </cell>
          <cell r="W1400">
            <v>0</v>
          </cell>
          <cell r="X1400">
            <v>0</v>
          </cell>
          <cell r="Z1400">
            <v>0</v>
          </cell>
          <cell r="AB1400">
            <v>0</v>
          </cell>
          <cell r="AD1400">
            <v>0</v>
          </cell>
          <cell r="AF1400">
            <v>0</v>
          </cell>
        </row>
        <row r="1401">
          <cell r="A1401">
            <v>1400</v>
          </cell>
          <cell r="C1401" t="e">
            <v>#N/A</v>
          </cell>
          <cell r="D1401" t="e">
            <v>#N/A</v>
          </cell>
          <cell r="E1401" t="e">
            <v>#N/A</v>
          </cell>
          <cell r="F1401" t="e">
            <v>#N/A</v>
          </cell>
          <cell r="G1401" t="e">
            <v>#N/A</v>
          </cell>
          <cell r="O1401" t="e">
            <v>#N/A</v>
          </cell>
          <cell r="S1401">
            <v>0</v>
          </cell>
          <cell r="T1401">
            <v>3138400</v>
          </cell>
          <cell r="V1401">
            <v>0</v>
          </cell>
          <cell r="W1401">
            <v>0</v>
          </cell>
          <cell r="X1401">
            <v>0</v>
          </cell>
          <cell r="Z1401">
            <v>0</v>
          </cell>
          <cell r="AB1401">
            <v>0</v>
          </cell>
          <cell r="AD1401">
            <v>0</v>
          </cell>
          <cell r="AF1401">
            <v>0</v>
          </cell>
        </row>
        <row r="1402">
          <cell r="A1402">
            <v>1401</v>
          </cell>
          <cell r="C1402" t="e">
            <v>#N/A</v>
          </cell>
          <cell r="D1402" t="e">
            <v>#N/A</v>
          </cell>
          <cell r="E1402" t="e">
            <v>#N/A</v>
          </cell>
          <cell r="F1402" t="e">
            <v>#N/A</v>
          </cell>
          <cell r="G1402" t="e">
            <v>#N/A</v>
          </cell>
          <cell r="O1402" t="e">
            <v>#N/A</v>
          </cell>
          <cell r="S1402">
            <v>0</v>
          </cell>
          <cell r="T1402">
            <v>3138400</v>
          </cell>
          <cell r="V1402">
            <v>0</v>
          </cell>
          <cell r="W1402">
            <v>0</v>
          </cell>
          <cell r="X1402">
            <v>0</v>
          </cell>
          <cell r="Z1402">
            <v>0</v>
          </cell>
          <cell r="AB1402">
            <v>0</v>
          </cell>
          <cell r="AD1402">
            <v>0</v>
          </cell>
          <cell r="AF1402">
            <v>0</v>
          </cell>
        </row>
        <row r="1403">
          <cell r="A1403">
            <v>1402</v>
          </cell>
          <cell r="C1403" t="e">
            <v>#N/A</v>
          </cell>
          <cell r="D1403" t="e">
            <v>#N/A</v>
          </cell>
          <cell r="E1403" t="e">
            <v>#N/A</v>
          </cell>
          <cell r="F1403" t="e">
            <v>#N/A</v>
          </cell>
          <cell r="G1403" t="e">
            <v>#N/A</v>
          </cell>
          <cell r="O1403" t="e">
            <v>#N/A</v>
          </cell>
          <cell r="S1403">
            <v>0</v>
          </cell>
          <cell r="T1403">
            <v>3138400</v>
          </cell>
          <cell r="V1403">
            <v>0</v>
          </cell>
          <cell r="W1403">
            <v>0</v>
          </cell>
          <cell r="X1403">
            <v>0</v>
          </cell>
          <cell r="Z1403">
            <v>0</v>
          </cell>
          <cell r="AB1403">
            <v>0</v>
          </cell>
          <cell r="AD1403">
            <v>0</v>
          </cell>
          <cell r="AF1403">
            <v>0</v>
          </cell>
        </row>
        <row r="1404">
          <cell r="A1404">
            <v>1403</v>
          </cell>
          <cell r="C1404" t="e">
            <v>#N/A</v>
          </cell>
          <cell r="D1404" t="e">
            <v>#N/A</v>
          </cell>
          <cell r="E1404" t="e">
            <v>#N/A</v>
          </cell>
          <cell r="F1404" t="e">
            <v>#N/A</v>
          </cell>
          <cell r="G1404" t="e">
            <v>#N/A</v>
          </cell>
          <cell r="O1404" t="e">
            <v>#N/A</v>
          </cell>
          <cell r="S1404">
            <v>0</v>
          </cell>
          <cell r="T1404">
            <v>3138400</v>
          </cell>
          <cell r="V1404">
            <v>0</v>
          </cell>
          <cell r="W1404">
            <v>0</v>
          </cell>
          <cell r="X1404">
            <v>0</v>
          </cell>
          <cell r="Z1404">
            <v>0</v>
          </cell>
          <cell r="AB1404">
            <v>0</v>
          </cell>
          <cell r="AD1404">
            <v>0</v>
          </cell>
          <cell r="AF1404">
            <v>0</v>
          </cell>
        </row>
        <row r="1405">
          <cell r="A1405">
            <v>1404</v>
          </cell>
          <cell r="C1405" t="e">
            <v>#N/A</v>
          </cell>
          <cell r="D1405" t="e">
            <v>#N/A</v>
          </cell>
          <cell r="E1405" t="e">
            <v>#N/A</v>
          </cell>
          <cell r="F1405" t="e">
            <v>#N/A</v>
          </cell>
          <cell r="G1405" t="e">
            <v>#N/A</v>
          </cell>
          <cell r="O1405" t="e">
            <v>#N/A</v>
          </cell>
          <cell r="S1405">
            <v>0</v>
          </cell>
          <cell r="T1405">
            <v>3138400</v>
          </cell>
          <cell r="V1405">
            <v>0</v>
          </cell>
          <cell r="W1405">
            <v>0</v>
          </cell>
          <cell r="X1405">
            <v>0</v>
          </cell>
          <cell r="Z1405">
            <v>0</v>
          </cell>
          <cell r="AB1405">
            <v>0</v>
          </cell>
          <cell r="AD1405">
            <v>0</v>
          </cell>
          <cell r="AF1405">
            <v>0</v>
          </cell>
        </row>
        <row r="1406">
          <cell r="A1406">
            <v>1405</v>
          </cell>
          <cell r="C1406" t="e">
            <v>#N/A</v>
          </cell>
          <cell r="D1406" t="e">
            <v>#N/A</v>
          </cell>
          <cell r="E1406" t="e">
            <v>#N/A</v>
          </cell>
          <cell r="F1406" t="e">
            <v>#N/A</v>
          </cell>
          <cell r="G1406" t="e">
            <v>#N/A</v>
          </cell>
          <cell r="O1406" t="e">
            <v>#N/A</v>
          </cell>
          <cell r="S1406">
            <v>0</v>
          </cell>
          <cell r="T1406">
            <v>3138400</v>
          </cell>
          <cell r="V1406">
            <v>0</v>
          </cell>
          <cell r="W1406">
            <v>0</v>
          </cell>
          <cell r="X1406">
            <v>0</v>
          </cell>
          <cell r="Z1406">
            <v>0</v>
          </cell>
          <cell r="AB1406">
            <v>0</v>
          </cell>
          <cell r="AD1406">
            <v>0</v>
          </cell>
          <cell r="AF1406">
            <v>0</v>
          </cell>
        </row>
        <row r="1407">
          <cell r="A1407">
            <v>1406</v>
          </cell>
          <cell r="C1407" t="e">
            <v>#N/A</v>
          </cell>
          <cell r="D1407" t="e">
            <v>#N/A</v>
          </cell>
          <cell r="E1407" t="e">
            <v>#N/A</v>
          </cell>
          <cell r="F1407" t="e">
            <v>#N/A</v>
          </cell>
          <cell r="G1407" t="e">
            <v>#N/A</v>
          </cell>
          <cell r="O1407" t="e">
            <v>#N/A</v>
          </cell>
          <cell r="S1407">
            <v>0</v>
          </cell>
          <cell r="T1407">
            <v>3138400</v>
          </cell>
          <cell r="V1407">
            <v>0</v>
          </cell>
          <cell r="W1407">
            <v>0</v>
          </cell>
          <cell r="X1407">
            <v>0</v>
          </cell>
          <cell r="Z1407">
            <v>0</v>
          </cell>
          <cell r="AB1407">
            <v>0</v>
          </cell>
          <cell r="AD1407">
            <v>0</v>
          </cell>
          <cell r="AF1407">
            <v>0</v>
          </cell>
        </row>
        <row r="1408">
          <cell r="A1408">
            <v>1407</v>
          </cell>
          <cell r="C1408" t="e">
            <v>#N/A</v>
          </cell>
          <cell r="D1408" t="e">
            <v>#N/A</v>
          </cell>
          <cell r="E1408" t="e">
            <v>#N/A</v>
          </cell>
          <cell r="F1408" t="e">
            <v>#N/A</v>
          </cell>
          <cell r="G1408" t="e">
            <v>#N/A</v>
          </cell>
          <cell r="O1408" t="e">
            <v>#N/A</v>
          </cell>
          <cell r="S1408">
            <v>0</v>
          </cell>
          <cell r="T1408">
            <v>3138400</v>
          </cell>
          <cell r="V1408">
            <v>0</v>
          </cell>
          <cell r="W1408">
            <v>0</v>
          </cell>
          <cell r="X1408">
            <v>0</v>
          </cell>
          <cell r="Z1408">
            <v>0</v>
          </cell>
          <cell r="AB1408">
            <v>0</v>
          </cell>
          <cell r="AD1408">
            <v>0</v>
          </cell>
          <cell r="AF1408">
            <v>0</v>
          </cell>
        </row>
        <row r="1409">
          <cell r="A1409">
            <v>1408</v>
          </cell>
          <cell r="C1409" t="e">
            <v>#N/A</v>
          </cell>
          <cell r="D1409" t="e">
            <v>#N/A</v>
          </cell>
          <cell r="E1409" t="e">
            <v>#N/A</v>
          </cell>
          <cell r="F1409" t="e">
            <v>#N/A</v>
          </cell>
          <cell r="G1409" t="e">
            <v>#N/A</v>
          </cell>
          <cell r="O1409" t="e">
            <v>#N/A</v>
          </cell>
          <cell r="S1409">
            <v>0</v>
          </cell>
          <cell r="T1409">
            <v>3138400</v>
          </cell>
          <cell r="V1409">
            <v>0</v>
          </cell>
          <cell r="W1409">
            <v>0</v>
          </cell>
          <cell r="X1409">
            <v>0</v>
          </cell>
          <cell r="Z1409">
            <v>0</v>
          </cell>
          <cell r="AB1409">
            <v>0</v>
          </cell>
          <cell r="AD1409">
            <v>0</v>
          </cell>
          <cell r="AF1409">
            <v>0</v>
          </cell>
        </row>
        <row r="1410">
          <cell r="A1410">
            <v>1409</v>
          </cell>
          <cell r="C1410" t="e">
            <v>#N/A</v>
          </cell>
          <cell r="D1410" t="e">
            <v>#N/A</v>
          </cell>
          <cell r="E1410" t="e">
            <v>#N/A</v>
          </cell>
          <cell r="F1410" t="e">
            <v>#N/A</v>
          </cell>
          <cell r="G1410" t="e">
            <v>#N/A</v>
          </cell>
          <cell r="O1410" t="e">
            <v>#N/A</v>
          </cell>
          <cell r="S1410">
            <v>0</v>
          </cell>
          <cell r="T1410">
            <v>3138400</v>
          </cell>
          <cell r="V1410">
            <v>0</v>
          </cell>
          <cell r="W1410">
            <v>0</v>
          </cell>
          <cell r="X1410">
            <v>0</v>
          </cell>
          <cell r="Z1410">
            <v>0</v>
          </cell>
          <cell r="AB1410">
            <v>0</v>
          </cell>
          <cell r="AD1410">
            <v>0</v>
          </cell>
          <cell r="AF1410">
            <v>0</v>
          </cell>
        </row>
        <row r="1411">
          <cell r="A1411">
            <v>1410</v>
          </cell>
          <cell r="C1411" t="e">
            <v>#N/A</v>
          </cell>
          <cell r="D1411" t="e">
            <v>#N/A</v>
          </cell>
          <cell r="E1411" t="e">
            <v>#N/A</v>
          </cell>
          <cell r="F1411" t="e">
            <v>#N/A</v>
          </cell>
          <cell r="G1411" t="e">
            <v>#N/A</v>
          </cell>
          <cell r="O1411" t="e">
            <v>#N/A</v>
          </cell>
          <cell r="S1411">
            <v>0</v>
          </cell>
          <cell r="T1411">
            <v>3138400</v>
          </cell>
          <cell r="V1411">
            <v>0</v>
          </cell>
          <cell r="W1411">
            <v>0</v>
          </cell>
          <cell r="X1411">
            <v>0</v>
          </cell>
          <cell r="Z1411">
            <v>0</v>
          </cell>
          <cell r="AB1411">
            <v>0</v>
          </cell>
          <cell r="AD1411">
            <v>0</v>
          </cell>
          <cell r="AF1411">
            <v>0</v>
          </cell>
        </row>
        <row r="1412">
          <cell r="A1412">
            <v>1411</v>
          </cell>
          <cell r="C1412" t="e">
            <v>#N/A</v>
          </cell>
          <cell r="D1412" t="e">
            <v>#N/A</v>
          </cell>
          <cell r="E1412" t="e">
            <v>#N/A</v>
          </cell>
          <cell r="F1412" t="e">
            <v>#N/A</v>
          </cell>
          <cell r="G1412" t="e">
            <v>#N/A</v>
          </cell>
          <cell r="O1412" t="e">
            <v>#N/A</v>
          </cell>
          <cell r="S1412">
            <v>0</v>
          </cell>
          <cell r="T1412">
            <v>3138400</v>
          </cell>
          <cell r="V1412">
            <v>0</v>
          </cell>
          <cell r="W1412">
            <v>0</v>
          </cell>
          <cell r="X1412">
            <v>0</v>
          </cell>
          <cell r="Z1412">
            <v>0</v>
          </cell>
          <cell r="AB1412">
            <v>0</v>
          </cell>
          <cell r="AD1412">
            <v>0</v>
          </cell>
          <cell r="AF1412">
            <v>0</v>
          </cell>
        </row>
        <row r="1413">
          <cell r="A1413">
            <v>1412</v>
          </cell>
          <cell r="C1413" t="e">
            <v>#N/A</v>
          </cell>
          <cell r="D1413" t="e">
            <v>#N/A</v>
          </cell>
          <cell r="E1413" t="e">
            <v>#N/A</v>
          </cell>
          <cell r="F1413" t="e">
            <v>#N/A</v>
          </cell>
          <cell r="G1413" t="e">
            <v>#N/A</v>
          </cell>
          <cell r="O1413" t="e">
            <v>#N/A</v>
          </cell>
          <cell r="S1413">
            <v>0</v>
          </cell>
          <cell r="T1413">
            <v>3138400</v>
          </cell>
          <cell r="V1413">
            <v>0</v>
          </cell>
          <cell r="W1413">
            <v>0</v>
          </cell>
          <cell r="X1413">
            <v>0</v>
          </cell>
          <cell r="Z1413">
            <v>0</v>
          </cell>
          <cell r="AB1413">
            <v>0</v>
          </cell>
          <cell r="AD1413">
            <v>0</v>
          </cell>
          <cell r="AF1413">
            <v>0</v>
          </cell>
        </row>
        <row r="1414">
          <cell r="A1414">
            <v>1413</v>
          </cell>
          <cell r="C1414" t="e">
            <v>#N/A</v>
          </cell>
          <cell r="D1414" t="e">
            <v>#N/A</v>
          </cell>
          <cell r="E1414" t="e">
            <v>#N/A</v>
          </cell>
          <cell r="F1414" t="e">
            <v>#N/A</v>
          </cell>
          <cell r="G1414" t="e">
            <v>#N/A</v>
          </cell>
          <cell r="O1414" t="e">
            <v>#N/A</v>
          </cell>
          <cell r="S1414">
            <v>0</v>
          </cell>
          <cell r="T1414">
            <v>3138400</v>
          </cell>
          <cell r="V1414">
            <v>0</v>
          </cell>
          <cell r="W1414">
            <v>0</v>
          </cell>
          <cell r="X1414">
            <v>0</v>
          </cell>
          <cell r="Z1414">
            <v>0</v>
          </cell>
          <cell r="AB1414">
            <v>0</v>
          </cell>
          <cell r="AD1414">
            <v>0</v>
          </cell>
          <cell r="AF1414">
            <v>0</v>
          </cell>
        </row>
        <row r="1415">
          <cell r="A1415">
            <v>1414</v>
          </cell>
          <cell r="C1415" t="e">
            <v>#N/A</v>
          </cell>
          <cell r="D1415" t="e">
            <v>#N/A</v>
          </cell>
          <cell r="E1415" t="e">
            <v>#N/A</v>
          </cell>
          <cell r="F1415" t="e">
            <v>#N/A</v>
          </cell>
          <cell r="G1415" t="e">
            <v>#N/A</v>
          </cell>
          <cell r="O1415" t="e">
            <v>#N/A</v>
          </cell>
          <cell r="S1415">
            <v>0</v>
          </cell>
          <cell r="T1415">
            <v>3138400</v>
          </cell>
          <cell r="V1415">
            <v>0</v>
          </cell>
          <cell r="W1415">
            <v>0</v>
          </cell>
          <cell r="X1415">
            <v>0</v>
          </cell>
          <cell r="Z1415">
            <v>0</v>
          </cell>
          <cell r="AB1415">
            <v>0</v>
          </cell>
          <cell r="AD1415">
            <v>0</v>
          </cell>
          <cell r="AF1415">
            <v>0</v>
          </cell>
        </row>
        <row r="1416">
          <cell r="A1416">
            <v>1415</v>
          </cell>
          <cell r="C1416" t="e">
            <v>#N/A</v>
          </cell>
          <cell r="D1416" t="e">
            <v>#N/A</v>
          </cell>
          <cell r="E1416" t="e">
            <v>#N/A</v>
          </cell>
          <cell r="F1416" t="e">
            <v>#N/A</v>
          </cell>
          <cell r="G1416" t="e">
            <v>#N/A</v>
          </cell>
          <cell r="O1416" t="e">
            <v>#N/A</v>
          </cell>
          <cell r="S1416">
            <v>0</v>
          </cell>
          <cell r="T1416">
            <v>3138400</v>
          </cell>
          <cell r="V1416">
            <v>0</v>
          </cell>
          <cell r="W1416">
            <v>0</v>
          </cell>
          <cell r="X1416">
            <v>0</v>
          </cell>
          <cell r="Z1416">
            <v>0</v>
          </cell>
          <cell r="AB1416">
            <v>0</v>
          </cell>
          <cell r="AD1416">
            <v>0</v>
          </cell>
          <cell r="AF1416">
            <v>0</v>
          </cell>
        </row>
        <row r="1417">
          <cell r="A1417">
            <v>1416</v>
          </cell>
          <cell r="C1417" t="e">
            <v>#N/A</v>
          </cell>
          <cell r="D1417" t="e">
            <v>#N/A</v>
          </cell>
          <cell r="E1417" t="e">
            <v>#N/A</v>
          </cell>
          <cell r="F1417" t="e">
            <v>#N/A</v>
          </cell>
          <cell r="G1417" t="e">
            <v>#N/A</v>
          </cell>
          <cell r="O1417" t="e">
            <v>#N/A</v>
          </cell>
          <cell r="S1417">
            <v>0</v>
          </cell>
          <cell r="T1417">
            <v>3138400</v>
          </cell>
          <cell r="V1417">
            <v>0</v>
          </cell>
          <cell r="W1417">
            <v>0</v>
          </cell>
          <cell r="X1417">
            <v>0</v>
          </cell>
          <cell r="Z1417">
            <v>0</v>
          </cell>
          <cell r="AB1417">
            <v>0</v>
          </cell>
          <cell r="AD1417">
            <v>0</v>
          </cell>
          <cell r="AF1417">
            <v>0</v>
          </cell>
        </row>
        <row r="1418">
          <cell r="A1418">
            <v>1417</v>
          </cell>
          <cell r="C1418" t="e">
            <v>#N/A</v>
          </cell>
          <cell r="D1418" t="e">
            <v>#N/A</v>
          </cell>
          <cell r="E1418" t="e">
            <v>#N/A</v>
          </cell>
          <cell r="F1418" t="e">
            <v>#N/A</v>
          </cell>
          <cell r="G1418" t="e">
            <v>#N/A</v>
          </cell>
          <cell r="O1418" t="e">
            <v>#N/A</v>
          </cell>
          <cell r="S1418">
            <v>0</v>
          </cell>
          <cell r="T1418">
            <v>3138400</v>
          </cell>
          <cell r="V1418">
            <v>0</v>
          </cell>
          <cell r="W1418">
            <v>0</v>
          </cell>
          <cell r="X1418">
            <v>0</v>
          </cell>
          <cell r="Z1418">
            <v>0</v>
          </cell>
          <cell r="AB1418">
            <v>0</v>
          </cell>
          <cell r="AD1418">
            <v>0</v>
          </cell>
          <cell r="AF1418">
            <v>0</v>
          </cell>
        </row>
        <row r="1419">
          <cell r="A1419">
            <v>1418</v>
          </cell>
          <cell r="C1419" t="e">
            <v>#N/A</v>
          </cell>
          <cell r="D1419" t="e">
            <v>#N/A</v>
          </cell>
          <cell r="E1419" t="e">
            <v>#N/A</v>
          </cell>
          <cell r="F1419" t="e">
            <v>#N/A</v>
          </cell>
          <cell r="G1419" t="e">
            <v>#N/A</v>
          </cell>
          <cell r="O1419" t="e">
            <v>#N/A</v>
          </cell>
          <cell r="S1419">
            <v>0</v>
          </cell>
          <cell r="T1419">
            <v>3138400</v>
          </cell>
          <cell r="V1419">
            <v>0</v>
          </cell>
          <cell r="W1419">
            <v>0</v>
          </cell>
          <cell r="X1419">
            <v>0</v>
          </cell>
          <cell r="Z1419">
            <v>0</v>
          </cell>
          <cell r="AB1419">
            <v>0</v>
          </cell>
          <cell r="AD1419">
            <v>0</v>
          </cell>
          <cell r="AF1419">
            <v>0</v>
          </cell>
        </row>
        <row r="1420">
          <cell r="A1420">
            <v>1419</v>
          </cell>
          <cell r="C1420" t="e">
            <v>#N/A</v>
          </cell>
          <cell r="D1420" t="e">
            <v>#N/A</v>
          </cell>
          <cell r="E1420" t="e">
            <v>#N/A</v>
          </cell>
          <cell r="F1420" t="e">
            <v>#N/A</v>
          </cell>
          <cell r="G1420" t="e">
            <v>#N/A</v>
          </cell>
          <cell r="O1420" t="e">
            <v>#N/A</v>
          </cell>
          <cell r="S1420">
            <v>0</v>
          </cell>
          <cell r="T1420">
            <v>3138400</v>
          </cell>
          <cell r="V1420">
            <v>0</v>
          </cell>
          <cell r="W1420">
            <v>0</v>
          </cell>
          <cell r="X1420">
            <v>0</v>
          </cell>
          <cell r="Z1420">
            <v>0</v>
          </cell>
          <cell r="AB1420">
            <v>0</v>
          </cell>
          <cell r="AD1420">
            <v>0</v>
          </cell>
          <cell r="AF1420">
            <v>0</v>
          </cell>
        </row>
        <row r="1421">
          <cell r="A1421">
            <v>1420</v>
          </cell>
          <cell r="C1421" t="e">
            <v>#N/A</v>
          </cell>
          <cell r="D1421" t="e">
            <v>#N/A</v>
          </cell>
          <cell r="E1421" t="e">
            <v>#N/A</v>
          </cell>
          <cell r="F1421" t="e">
            <v>#N/A</v>
          </cell>
          <cell r="G1421" t="e">
            <v>#N/A</v>
          </cell>
          <cell r="O1421" t="e">
            <v>#N/A</v>
          </cell>
          <cell r="S1421">
            <v>0</v>
          </cell>
          <cell r="T1421">
            <v>3138400</v>
          </cell>
          <cell r="V1421">
            <v>0</v>
          </cell>
          <cell r="W1421">
            <v>0</v>
          </cell>
          <cell r="X1421">
            <v>0</v>
          </cell>
          <cell r="Z1421">
            <v>0</v>
          </cell>
          <cell r="AB1421">
            <v>0</v>
          </cell>
          <cell r="AD1421">
            <v>0</v>
          </cell>
          <cell r="AF1421">
            <v>0</v>
          </cell>
        </row>
        <row r="1422">
          <cell r="A1422">
            <v>1421</v>
          </cell>
          <cell r="C1422" t="e">
            <v>#N/A</v>
          </cell>
          <cell r="D1422" t="e">
            <v>#N/A</v>
          </cell>
          <cell r="E1422" t="e">
            <v>#N/A</v>
          </cell>
          <cell r="F1422" t="e">
            <v>#N/A</v>
          </cell>
          <cell r="G1422" t="e">
            <v>#N/A</v>
          </cell>
          <cell r="O1422" t="e">
            <v>#N/A</v>
          </cell>
          <cell r="S1422">
            <v>0</v>
          </cell>
          <cell r="T1422">
            <v>3138400</v>
          </cell>
          <cell r="V1422">
            <v>0</v>
          </cell>
          <cell r="W1422">
            <v>0</v>
          </cell>
          <cell r="X1422">
            <v>0</v>
          </cell>
          <cell r="Z1422">
            <v>0</v>
          </cell>
          <cell r="AB1422">
            <v>0</v>
          </cell>
          <cell r="AD1422">
            <v>0</v>
          </cell>
          <cell r="AF1422">
            <v>0</v>
          </cell>
        </row>
        <row r="1423">
          <cell r="A1423">
            <v>1422</v>
          </cell>
          <cell r="C1423" t="e">
            <v>#N/A</v>
          </cell>
          <cell r="D1423" t="e">
            <v>#N/A</v>
          </cell>
          <cell r="E1423" t="e">
            <v>#N/A</v>
          </cell>
          <cell r="F1423" t="e">
            <v>#N/A</v>
          </cell>
          <cell r="G1423" t="e">
            <v>#N/A</v>
          </cell>
          <cell r="O1423" t="e">
            <v>#N/A</v>
          </cell>
          <cell r="S1423">
            <v>0</v>
          </cell>
          <cell r="T1423">
            <v>3138400</v>
          </cell>
          <cell r="U1423" t="str">
            <v>ya</v>
          </cell>
          <cell r="V1423" t="e">
            <v>#N/A</v>
          </cell>
          <cell r="W1423" t="e">
            <v>#N/A</v>
          </cell>
          <cell r="X1423" t="e">
            <v>#N/A</v>
          </cell>
          <cell r="Z1423">
            <v>0</v>
          </cell>
          <cell r="AB1423">
            <v>0</v>
          </cell>
          <cell r="AD1423">
            <v>0</v>
          </cell>
          <cell r="AF1423">
            <v>0</v>
          </cell>
        </row>
        <row r="1424">
          <cell r="A1424">
            <v>1423</v>
          </cell>
          <cell r="C1424" t="e">
            <v>#N/A</v>
          </cell>
          <cell r="D1424" t="e">
            <v>#N/A</v>
          </cell>
          <cell r="E1424" t="e">
            <v>#N/A</v>
          </cell>
          <cell r="F1424" t="e">
            <v>#N/A</v>
          </cell>
          <cell r="G1424" t="e">
            <v>#N/A</v>
          </cell>
          <cell r="O1424" t="e">
            <v>#N/A</v>
          </cell>
          <cell r="S1424">
            <v>0</v>
          </cell>
          <cell r="T1424">
            <v>3138400</v>
          </cell>
          <cell r="U1424" t="str">
            <v>ya</v>
          </cell>
          <cell r="V1424" t="e">
            <v>#N/A</v>
          </cell>
          <cell r="W1424" t="e">
            <v>#N/A</v>
          </cell>
          <cell r="X1424" t="e">
            <v>#N/A</v>
          </cell>
          <cell r="Z1424">
            <v>0</v>
          </cell>
          <cell r="AB1424">
            <v>0</v>
          </cell>
          <cell r="AD1424">
            <v>0</v>
          </cell>
          <cell r="AF1424">
            <v>0</v>
          </cell>
        </row>
        <row r="1425">
          <cell r="A1425">
            <v>1424</v>
          </cell>
          <cell r="C1425" t="e">
            <v>#N/A</v>
          </cell>
          <cell r="D1425" t="e">
            <v>#N/A</v>
          </cell>
          <cell r="E1425" t="e">
            <v>#N/A</v>
          </cell>
          <cell r="F1425" t="e">
            <v>#N/A</v>
          </cell>
          <cell r="G1425" t="e">
            <v>#N/A</v>
          </cell>
          <cell r="O1425" t="e">
            <v>#N/A</v>
          </cell>
          <cell r="S1425">
            <v>0</v>
          </cell>
          <cell r="T1425">
            <v>3138400</v>
          </cell>
          <cell r="U1425" t="str">
            <v>ya</v>
          </cell>
          <cell r="V1425" t="e">
            <v>#N/A</v>
          </cell>
          <cell r="W1425" t="e">
            <v>#N/A</v>
          </cell>
          <cell r="X1425" t="e">
            <v>#N/A</v>
          </cell>
          <cell r="Z1425">
            <v>0</v>
          </cell>
          <cell r="AB1425">
            <v>0</v>
          </cell>
          <cell r="AD1425">
            <v>0</v>
          </cell>
          <cell r="AF1425">
            <v>0</v>
          </cell>
        </row>
        <row r="1426">
          <cell r="A1426">
            <v>1425</v>
          </cell>
          <cell r="C1426" t="e">
            <v>#N/A</v>
          </cell>
          <cell r="D1426" t="e">
            <v>#N/A</v>
          </cell>
          <cell r="E1426" t="e">
            <v>#N/A</v>
          </cell>
          <cell r="F1426" t="e">
            <v>#N/A</v>
          </cell>
          <cell r="G1426" t="e">
            <v>#N/A</v>
          </cell>
          <cell r="O1426" t="e">
            <v>#N/A</v>
          </cell>
          <cell r="S1426">
            <v>0</v>
          </cell>
          <cell r="T1426">
            <v>3138400</v>
          </cell>
          <cell r="U1426" t="str">
            <v>ya</v>
          </cell>
          <cell r="V1426" t="e">
            <v>#N/A</v>
          </cell>
          <cell r="W1426" t="e">
            <v>#N/A</v>
          </cell>
          <cell r="X1426" t="e">
            <v>#N/A</v>
          </cell>
          <cell r="Z1426">
            <v>0</v>
          </cell>
          <cell r="AB1426">
            <v>0</v>
          </cell>
          <cell r="AD1426">
            <v>0</v>
          </cell>
          <cell r="AF1426">
            <v>0</v>
          </cell>
        </row>
        <row r="1427">
          <cell r="A1427">
            <v>1426</v>
          </cell>
          <cell r="C1427" t="e">
            <v>#N/A</v>
          </cell>
          <cell r="D1427" t="e">
            <v>#N/A</v>
          </cell>
          <cell r="E1427" t="e">
            <v>#N/A</v>
          </cell>
          <cell r="F1427" t="e">
            <v>#N/A</v>
          </cell>
          <cell r="G1427" t="e">
            <v>#N/A</v>
          </cell>
          <cell r="O1427" t="e">
            <v>#N/A</v>
          </cell>
          <cell r="S1427">
            <v>0</v>
          </cell>
          <cell r="T1427">
            <v>3138400</v>
          </cell>
          <cell r="U1427" t="str">
            <v>ya</v>
          </cell>
          <cell r="V1427" t="e">
            <v>#N/A</v>
          </cell>
          <cell r="W1427" t="e">
            <v>#N/A</v>
          </cell>
          <cell r="X1427" t="e">
            <v>#N/A</v>
          </cell>
          <cell r="Z1427">
            <v>0</v>
          </cell>
          <cell r="AB1427">
            <v>0</v>
          </cell>
          <cell r="AD1427">
            <v>0</v>
          </cell>
          <cell r="AF1427">
            <v>0</v>
          </cell>
        </row>
        <row r="1428">
          <cell r="A1428">
            <v>1427</v>
          </cell>
          <cell r="C1428" t="e">
            <v>#N/A</v>
          </cell>
          <cell r="D1428" t="e">
            <v>#N/A</v>
          </cell>
          <cell r="E1428" t="e">
            <v>#N/A</v>
          </cell>
          <cell r="F1428" t="e">
            <v>#N/A</v>
          </cell>
          <cell r="G1428" t="e">
            <v>#N/A</v>
          </cell>
          <cell r="O1428" t="e">
            <v>#N/A</v>
          </cell>
          <cell r="S1428">
            <v>0</v>
          </cell>
          <cell r="T1428">
            <v>3138400</v>
          </cell>
          <cell r="U1428" t="str">
            <v>ya</v>
          </cell>
          <cell r="V1428" t="e">
            <v>#N/A</v>
          </cell>
          <cell r="W1428" t="e">
            <v>#N/A</v>
          </cell>
          <cell r="X1428" t="e">
            <v>#N/A</v>
          </cell>
          <cell r="Z1428">
            <v>0</v>
          </cell>
          <cell r="AB1428">
            <v>0</v>
          </cell>
          <cell r="AD1428">
            <v>0</v>
          </cell>
          <cell r="AF1428">
            <v>0</v>
          </cell>
        </row>
        <row r="1429">
          <cell r="A1429">
            <v>1428</v>
          </cell>
          <cell r="C1429" t="e">
            <v>#N/A</v>
          </cell>
          <cell r="D1429" t="e">
            <v>#N/A</v>
          </cell>
          <cell r="E1429" t="e">
            <v>#N/A</v>
          </cell>
          <cell r="F1429" t="e">
            <v>#N/A</v>
          </cell>
          <cell r="G1429" t="e">
            <v>#N/A</v>
          </cell>
          <cell r="O1429" t="e">
            <v>#N/A</v>
          </cell>
          <cell r="S1429">
            <v>0</v>
          </cell>
          <cell r="T1429">
            <v>3138400</v>
          </cell>
          <cell r="V1429">
            <v>0</v>
          </cell>
          <cell r="W1429">
            <v>0</v>
          </cell>
          <cell r="X1429">
            <v>0</v>
          </cell>
          <cell r="Z1429">
            <v>0</v>
          </cell>
          <cell r="AB1429">
            <v>0</v>
          </cell>
          <cell r="AD1429">
            <v>0</v>
          </cell>
          <cell r="AF1429">
            <v>0</v>
          </cell>
        </row>
        <row r="1430">
          <cell r="A1430">
            <v>1429</v>
          </cell>
          <cell r="C1430" t="e">
            <v>#N/A</v>
          </cell>
          <cell r="D1430" t="e">
            <v>#N/A</v>
          </cell>
          <cell r="E1430" t="e">
            <v>#N/A</v>
          </cell>
          <cell r="F1430" t="e">
            <v>#N/A</v>
          </cell>
          <cell r="G1430" t="e">
            <v>#N/A</v>
          </cell>
          <cell r="O1430" t="e">
            <v>#N/A</v>
          </cell>
          <cell r="S1430">
            <v>0</v>
          </cell>
          <cell r="T1430">
            <v>3138400</v>
          </cell>
          <cell r="V1430">
            <v>0</v>
          </cell>
          <cell r="W1430">
            <v>0</v>
          </cell>
          <cell r="X1430">
            <v>0</v>
          </cell>
          <cell r="Z1430">
            <v>0</v>
          </cell>
          <cell r="AB1430">
            <v>0</v>
          </cell>
          <cell r="AD1430">
            <v>0</v>
          </cell>
          <cell r="AF1430">
            <v>0</v>
          </cell>
        </row>
        <row r="1431">
          <cell r="A1431">
            <v>1430</v>
          </cell>
          <cell r="C1431" t="e">
            <v>#N/A</v>
          </cell>
          <cell r="D1431" t="e">
            <v>#N/A</v>
          </cell>
          <cell r="E1431" t="e">
            <v>#N/A</v>
          </cell>
          <cell r="F1431" t="e">
            <v>#N/A</v>
          </cell>
          <cell r="G1431" t="e">
            <v>#N/A</v>
          </cell>
          <cell r="O1431" t="e">
            <v>#N/A</v>
          </cell>
          <cell r="S1431">
            <v>0</v>
          </cell>
          <cell r="T1431">
            <v>3138400</v>
          </cell>
          <cell r="V1431">
            <v>0</v>
          </cell>
          <cell r="W1431">
            <v>0</v>
          </cell>
          <cell r="X1431">
            <v>0</v>
          </cell>
          <cell r="Z1431">
            <v>0</v>
          </cell>
          <cell r="AB1431">
            <v>0</v>
          </cell>
          <cell r="AD1431">
            <v>0</v>
          </cell>
          <cell r="AF1431">
            <v>0</v>
          </cell>
        </row>
        <row r="1432">
          <cell r="A1432">
            <v>1431</v>
          </cell>
          <cell r="C1432" t="e">
            <v>#N/A</v>
          </cell>
          <cell r="D1432" t="e">
            <v>#N/A</v>
          </cell>
          <cell r="E1432" t="e">
            <v>#N/A</v>
          </cell>
          <cell r="F1432" t="e">
            <v>#N/A</v>
          </cell>
          <cell r="G1432" t="e">
            <v>#N/A</v>
          </cell>
          <cell r="O1432" t="e">
            <v>#N/A</v>
          </cell>
          <cell r="S1432">
            <v>0</v>
          </cell>
          <cell r="T1432">
            <v>3138400</v>
          </cell>
          <cell r="V1432">
            <v>0</v>
          </cell>
          <cell r="W1432">
            <v>0</v>
          </cell>
          <cell r="X1432">
            <v>0</v>
          </cell>
          <cell r="Z1432">
            <v>0</v>
          </cell>
          <cell r="AB1432">
            <v>0</v>
          </cell>
          <cell r="AD1432">
            <v>0</v>
          </cell>
          <cell r="AF1432">
            <v>0</v>
          </cell>
        </row>
        <row r="1433">
          <cell r="A1433">
            <v>1432</v>
          </cell>
          <cell r="C1433" t="e">
            <v>#N/A</v>
          </cell>
          <cell r="D1433" t="e">
            <v>#N/A</v>
          </cell>
          <cell r="E1433" t="e">
            <v>#N/A</v>
          </cell>
          <cell r="F1433" t="e">
            <v>#N/A</v>
          </cell>
          <cell r="G1433" t="e">
            <v>#N/A</v>
          </cell>
          <cell r="O1433" t="e">
            <v>#N/A</v>
          </cell>
          <cell r="S1433">
            <v>0</v>
          </cell>
          <cell r="T1433">
            <v>3138400</v>
          </cell>
          <cell r="V1433">
            <v>0</v>
          </cell>
          <cell r="W1433">
            <v>0</v>
          </cell>
          <cell r="X1433">
            <v>0</v>
          </cell>
          <cell r="Z1433">
            <v>0</v>
          </cell>
          <cell r="AB1433">
            <v>0</v>
          </cell>
          <cell r="AD1433">
            <v>0</v>
          </cell>
          <cell r="AF1433">
            <v>0</v>
          </cell>
        </row>
        <row r="1434">
          <cell r="A1434">
            <v>1433</v>
          </cell>
          <cell r="C1434" t="e">
            <v>#N/A</v>
          </cell>
          <cell r="D1434" t="e">
            <v>#N/A</v>
          </cell>
          <cell r="E1434" t="e">
            <v>#N/A</v>
          </cell>
          <cell r="F1434" t="e">
            <v>#N/A</v>
          </cell>
          <cell r="G1434" t="e">
            <v>#N/A</v>
          </cell>
          <cell r="O1434" t="e">
            <v>#N/A</v>
          </cell>
          <cell r="S1434">
            <v>0</v>
          </cell>
          <cell r="T1434">
            <v>3138400</v>
          </cell>
          <cell r="V1434">
            <v>0</v>
          </cell>
          <cell r="W1434">
            <v>0</v>
          </cell>
          <cell r="X1434">
            <v>0</v>
          </cell>
          <cell r="Z1434">
            <v>0</v>
          </cell>
          <cell r="AB1434">
            <v>0</v>
          </cell>
          <cell r="AD1434">
            <v>0</v>
          </cell>
          <cell r="AF1434">
            <v>0</v>
          </cell>
        </row>
        <row r="1435">
          <cell r="A1435">
            <v>1434</v>
          </cell>
          <cell r="C1435" t="e">
            <v>#N/A</v>
          </cell>
          <cell r="D1435" t="e">
            <v>#N/A</v>
          </cell>
          <cell r="E1435" t="e">
            <v>#N/A</v>
          </cell>
          <cell r="F1435" t="e">
            <v>#N/A</v>
          </cell>
          <cell r="G1435" t="e">
            <v>#N/A</v>
          </cell>
          <cell r="O1435" t="e">
            <v>#N/A</v>
          </cell>
          <cell r="S1435">
            <v>0</v>
          </cell>
          <cell r="T1435">
            <v>3138400</v>
          </cell>
          <cell r="V1435">
            <v>0</v>
          </cell>
          <cell r="W1435">
            <v>0</v>
          </cell>
          <cell r="X1435">
            <v>0</v>
          </cell>
          <cell r="Z1435">
            <v>0</v>
          </cell>
          <cell r="AB1435">
            <v>0</v>
          </cell>
          <cell r="AD1435">
            <v>0</v>
          </cell>
          <cell r="AF1435">
            <v>0</v>
          </cell>
        </row>
        <row r="1436">
          <cell r="A1436">
            <v>1435</v>
          </cell>
          <cell r="C1436" t="e">
            <v>#N/A</v>
          </cell>
          <cell r="D1436" t="e">
            <v>#N/A</v>
          </cell>
          <cell r="E1436" t="e">
            <v>#N/A</v>
          </cell>
          <cell r="F1436" t="e">
            <v>#N/A</v>
          </cell>
          <cell r="G1436" t="e">
            <v>#N/A</v>
          </cell>
          <cell r="O1436" t="e">
            <v>#N/A</v>
          </cell>
          <cell r="S1436">
            <v>0</v>
          </cell>
          <cell r="T1436">
            <v>3138400</v>
          </cell>
          <cell r="V1436">
            <v>0</v>
          </cell>
          <cell r="W1436">
            <v>0</v>
          </cell>
          <cell r="X1436">
            <v>0</v>
          </cell>
          <cell r="Z1436">
            <v>0</v>
          </cell>
          <cell r="AB1436">
            <v>0</v>
          </cell>
          <cell r="AD1436">
            <v>0</v>
          </cell>
          <cell r="AF1436">
            <v>0</v>
          </cell>
        </row>
        <row r="1437">
          <cell r="A1437">
            <v>1436</v>
          </cell>
          <cell r="C1437" t="e">
            <v>#N/A</v>
          </cell>
          <cell r="D1437" t="e">
            <v>#N/A</v>
          </cell>
          <cell r="E1437" t="e">
            <v>#N/A</v>
          </cell>
          <cell r="F1437" t="e">
            <v>#N/A</v>
          </cell>
          <cell r="G1437" t="e">
            <v>#N/A</v>
          </cell>
          <cell r="O1437" t="e">
            <v>#N/A</v>
          </cell>
          <cell r="S1437">
            <v>0</v>
          </cell>
          <cell r="T1437">
            <v>3138400</v>
          </cell>
          <cell r="V1437">
            <v>0</v>
          </cell>
          <cell r="W1437">
            <v>0</v>
          </cell>
          <cell r="X1437">
            <v>0</v>
          </cell>
          <cell r="Z1437">
            <v>0</v>
          </cell>
          <cell r="AB1437">
            <v>0</v>
          </cell>
          <cell r="AD1437">
            <v>0</v>
          </cell>
          <cell r="AF1437">
            <v>0</v>
          </cell>
        </row>
        <row r="1438">
          <cell r="A1438">
            <v>1437</v>
          </cell>
          <cell r="C1438" t="e">
            <v>#N/A</v>
          </cell>
          <cell r="D1438" t="e">
            <v>#N/A</v>
          </cell>
          <cell r="E1438" t="e">
            <v>#N/A</v>
          </cell>
          <cell r="F1438" t="e">
            <v>#N/A</v>
          </cell>
          <cell r="G1438" t="e">
            <v>#N/A</v>
          </cell>
          <cell r="O1438" t="e">
            <v>#N/A</v>
          </cell>
          <cell r="S1438">
            <v>0</v>
          </cell>
          <cell r="T1438">
            <v>3138400</v>
          </cell>
          <cell r="U1438" t="str">
            <v>ya</v>
          </cell>
          <cell r="V1438" t="e">
            <v>#N/A</v>
          </cell>
          <cell r="W1438" t="e">
            <v>#N/A</v>
          </cell>
          <cell r="X1438" t="e">
            <v>#N/A</v>
          </cell>
          <cell r="Z1438">
            <v>0</v>
          </cell>
          <cell r="AB1438">
            <v>0</v>
          </cell>
          <cell r="AD1438">
            <v>0</v>
          </cell>
          <cell r="AF1438">
            <v>0</v>
          </cell>
        </row>
        <row r="1439">
          <cell r="A1439">
            <v>1438</v>
          </cell>
          <cell r="C1439" t="e">
            <v>#N/A</v>
          </cell>
          <cell r="D1439" t="e">
            <v>#N/A</v>
          </cell>
          <cell r="E1439" t="e">
            <v>#N/A</v>
          </cell>
          <cell r="F1439" t="e">
            <v>#N/A</v>
          </cell>
          <cell r="G1439" t="e">
            <v>#N/A</v>
          </cell>
          <cell r="O1439" t="e">
            <v>#N/A</v>
          </cell>
          <cell r="S1439">
            <v>0</v>
          </cell>
          <cell r="T1439">
            <v>3138400</v>
          </cell>
          <cell r="U1439" t="str">
            <v>ya</v>
          </cell>
          <cell r="V1439" t="e">
            <v>#N/A</v>
          </cell>
          <cell r="W1439" t="e">
            <v>#N/A</v>
          </cell>
          <cell r="X1439" t="e">
            <v>#N/A</v>
          </cell>
          <cell r="Z1439">
            <v>0</v>
          </cell>
          <cell r="AB1439">
            <v>0</v>
          </cell>
          <cell r="AD1439">
            <v>0</v>
          </cell>
          <cell r="AF1439">
            <v>0</v>
          </cell>
        </row>
        <row r="1440">
          <cell r="A1440">
            <v>1439</v>
          </cell>
          <cell r="C1440" t="e">
            <v>#N/A</v>
          </cell>
          <cell r="D1440" t="e">
            <v>#N/A</v>
          </cell>
          <cell r="E1440" t="e">
            <v>#N/A</v>
          </cell>
          <cell r="F1440" t="e">
            <v>#N/A</v>
          </cell>
          <cell r="G1440" t="e">
            <v>#N/A</v>
          </cell>
          <cell r="O1440" t="e">
            <v>#N/A</v>
          </cell>
          <cell r="S1440">
            <v>0</v>
          </cell>
          <cell r="T1440">
            <v>3138400</v>
          </cell>
          <cell r="U1440" t="str">
            <v>ya</v>
          </cell>
          <cell r="V1440" t="e">
            <v>#N/A</v>
          </cell>
          <cell r="W1440" t="e">
            <v>#N/A</v>
          </cell>
          <cell r="X1440" t="e">
            <v>#N/A</v>
          </cell>
          <cell r="Z1440">
            <v>0</v>
          </cell>
          <cell r="AB1440">
            <v>0</v>
          </cell>
          <cell r="AD1440">
            <v>0</v>
          </cell>
          <cell r="AF1440">
            <v>0</v>
          </cell>
        </row>
        <row r="1441">
          <cell r="A1441">
            <v>1440</v>
          </cell>
          <cell r="C1441" t="e">
            <v>#N/A</v>
          </cell>
          <cell r="D1441" t="e">
            <v>#N/A</v>
          </cell>
          <cell r="E1441" t="e">
            <v>#N/A</v>
          </cell>
          <cell r="F1441" t="e">
            <v>#N/A</v>
          </cell>
          <cell r="G1441" t="e">
            <v>#N/A</v>
          </cell>
          <cell r="O1441" t="e">
            <v>#N/A</v>
          </cell>
          <cell r="S1441">
            <v>0</v>
          </cell>
          <cell r="T1441">
            <v>3138400</v>
          </cell>
          <cell r="U1441" t="str">
            <v>ya</v>
          </cell>
          <cell r="V1441" t="e">
            <v>#N/A</v>
          </cell>
          <cell r="W1441" t="e">
            <v>#N/A</v>
          </cell>
          <cell r="X1441" t="e">
            <v>#N/A</v>
          </cell>
          <cell r="Z1441">
            <v>0</v>
          </cell>
          <cell r="AB1441">
            <v>0</v>
          </cell>
          <cell r="AD1441">
            <v>0</v>
          </cell>
          <cell r="AF1441">
            <v>0</v>
          </cell>
        </row>
        <row r="1442">
          <cell r="A1442">
            <v>1441</v>
          </cell>
          <cell r="C1442" t="e">
            <v>#N/A</v>
          </cell>
          <cell r="D1442" t="e">
            <v>#N/A</v>
          </cell>
          <cell r="E1442" t="e">
            <v>#N/A</v>
          </cell>
          <cell r="F1442" t="e">
            <v>#N/A</v>
          </cell>
          <cell r="G1442" t="e">
            <v>#N/A</v>
          </cell>
          <cell r="O1442" t="e">
            <v>#N/A</v>
          </cell>
          <cell r="S1442">
            <v>0</v>
          </cell>
          <cell r="T1442">
            <v>3138400</v>
          </cell>
          <cell r="V1442">
            <v>0</v>
          </cell>
          <cell r="W1442">
            <v>0</v>
          </cell>
          <cell r="X1442">
            <v>0</v>
          </cell>
          <cell r="Z1442">
            <v>0</v>
          </cell>
          <cell r="AB1442">
            <v>0</v>
          </cell>
          <cell r="AD1442">
            <v>0</v>
          </cell>
          <cell r="AF1442">
            <v>0</v>
          </cell>
        </row>
        <row r="1443">
          <cell r="A1443">
            <v>1442</v>
          </cell>
          <cell r="C1443" t="e">
            <v>#N/A</v>
          </cell>
          <cell r="D1443" t="e">
            <v>#N/A</v>
          </cell>
          <cell r="E1443" t="e">
            <v>#N/A</v>
          </cell>
          <cell r="F1443" t="e">
            <v>#N/A</v>
          </cell>
          <cell r="G1443" t="e">
            <v>#N/A</v>
          </cell>
          <cell r="O1443" t="e">
            <v>#N/A</v>
          </cell>
          <cell r="S1443">
            <v>0</v>
          </cell>
          <cell r="T1443">
            <v>3138400</v>
          </cell>
          <cell r="V1443">
            <v>0</v>
          </cell>
          <cell r="W1443">
            <v>0</v>
          </cell>
          <cell r="X1443">
            <v>0</v>
          </cell>
          <cell r="Z1443">
            <v>0</v>
          </cell>
          <cell r="AB1443">
            <v>0</v>
          </cell>
          <cell r="AD1443">
            <v>0</v>
          </cell>
          <cell r="AF1443">
            <v>0</v>
          </cell>
        </row>
        <row r="1444">
          <cell r="A1444">
            <v>1443</v>
          </cell>
          <cell r="C1444" t="e">
            <v>#N/A</v>
          </cell>
          <cell r="D1444" t="e">
            <v>#N/A</v>
          </cell>
          <cell r="E1444" t="e">
            <v>#N/A</v>
          </cell>
          <cell r="F1444" t="e">
            <v>#N/A</v>
          </cell>
          <cell r="G1444" t="e">
            <v>#N/A</v>
          </cell>
          <cell r="O1444" t="e">
            <v>#N/A</v>
          </cell>
          <cell r="S1444">
            <v>0</v>
          </cell>
          <cell r="T1444">
            <v>3138400</v>
          </cell>
          <cell r="V1444">
            <v>0</v>
          </cell>
          <cell r="W1444">
            <v>0</v>
          </cell>
          <cell r="X1444">
            <v>0</v>
          </cell>
          <cell r="Z1444">
            <v>0</v>
          </cell>
          <cell r="AB1444">
            <v>0</v>
          </cell>
          <cell r="AD1444">
            <v>0</v>
          </cell>
          <cell r="AF1444">
            <v>0</v>
          </cell>
        </row>
        <row r="1445">
          <cell r="A1445">
            <v>1444</v>
          </cell>
          <cell r="C1445" t="e">
            <v>#N/A</v>
          </cell>
          <cell r="D1445" t="e">
            <v>#N/A</v>
          </cell>
          <cell r="E1445" t="e">
            <v>#N/A</v>
          </cell>
          <cell r="F1445" t="e">
            <v>#N/A</v>
          </cell>
          <cell r="G1445" t="e">
            <v>#N/A</v>
          </cell>
          <cell r="O1445" t="e">
            <v>#N/A</v>
          </cell>
          <cell r="S1445">
            <v>0</v>
          </cell>
          <cell r="T1445">
            <v>3138400</v>
          </cell>
          <cell r="V1445">
            <v>0</v>
          </cell>
          <cell r="W1445">
            <v>0</v>
          </cell>
          <cell r="X1445">
            <v>0</v>
          </cell>
          <cell r="Z1445">
            <v>0</v>
          </cell>
          <cell r="AB1445">
            <v>0</v>
          </cell>
          <cell r="AD1445">
            <v>0</v>
          </cell>
          <cell r="AF1445">
            <v>0</v>
          </cell>
        </row>
        <row r="1446">
          <cell r="A1446">
            <v>1445</v>
          </cell>
          <cell r="C1446" t="e">
            <v>#N/A</v>
          </cell>
          <cell r="D1446" t="e">
            <v>#N/A</v>
          </cell>
          <cell r="E1446" t="e">
            <v>#N/A</v>
          </cell>
          <cell r="F1446" t="e">
            <v>#N/A</v>
          </cell>
          <cell r="G1446" t="e">
            <v>#N/A</v>
          </cell>
          <cell r="O1446" t="e">
            <v>#N/A</v>
          </cell>
          <cell r="S1446">
            <v>0</v>
          </cell>
          <cell r="T1446">
            <v>3138400</v>
          </cell>
          <cell r="V1446">
            <v>0</v>
          </cell>
          <cell r="W1446">
            <v>0</v>
          </cell>
          <cell r="X1446">
            <v>0</v>
          </cell>
          <cell r="Z1446">
            <v>0</v>
          </cell>
          <cell r="AB1446">
            <v>0</v>
          </cell>
          <cell r="AD1446">
            <v>0</v>
          </cell>
          <cell r="AF1446">
            <v>0</v>
          </cell>
        </row>
        <row r="1447">
          <cell r="A1447">
            <v>1446</v>
          </cell>
          <cell r="C1447" t="e">
            <v>#N/A</v>
          </cell>
          <cell r="D1447" t="e">
            <v>#N/A</v>
          </cell>
          <cell r="E1447" t="e">
            <v>#N/A</v>
          </cell>
          <cell r="F1447" t="e">
            <v>#N/A</v>
          </cell>
          <cell r="G1447" t="e">
            <v>#N/A</v>
          </cell>
          <cell r="O1447" t="e">
            <v>#N/A</v>
          </cell>
          <cell r="S1447">
            <v>0</v>
          </cell>
          <cell r="T1447">
            <v>3138400</v>
          </cell>
          <cell r="V1447">
            <v>0</v>
          </cell>
          <cell r="W1447">
            <v>0</v>
          </cell>
          <cell r="X1447">
            <v>0</v>
          </cell>
          <cell r="Z1447">
            <v>0</v>
          </cell>
          <cell r="AB1447">
            <v>0</v>
          </cell>
          <cell r="AD1447">
            <v>0</v>
          </cell>
          <cell r="AF1447">
            <v>0</v>
          </cell>
        </row>
        <row r="1448">
          <cell r="A1448">
            <v>1447</v>
          </cell>
          <cell r="C1448" t="e">
            <v>#N/A</v>
          </cell>
          <cell r="D1448" t="e">
            <v>#N/A</v>
          </cell>
          <cell r="E1448" t="e">
            <v>#N/A</v>
          </cell>
          <cell r="F1448" t="e">
            <v>#N/A</v>
          </cell>
          <cell r="G1448" t="e">
            <v>#N/A</v>
          </cell>
          <cell r="O1448" t="e">
            <v>#N/A</v>
          </cell>
          <cell r="S1448">
            <v>0</v>
          </cell>
          <cell r="T1448">
            <v>3138400</v>
          </cell>
          <cell r="V1448">
            <v>0</v>
          </cell>
          <cell r="W1448">
            <v>0</v>
          </cell>
          <cell r="X1448">
            <v>0</v>
          </cell>
          <cell r="Z1448">
            <v>0</v>
          </cell>
          <cell r="AB1448">
            <v>0</v>
          </cell>
          <cell r="AD1448">
            <v>0</v>
          </cell>
          <cell r="AF1448">
            <v>0</v>
          </cell>
        </row>
        <row r="1449">
          <cell r="A1449">
            <v>1448</v>
          </cell>
          <cell r="C1449" t="e">
            <v>#N/A</v>
          </cell>
          <cell r="D1449" t="e">
            <v>#N/A</v>
          </cell>
          <cell r="E1449" t="e">
            <v>#N/A</v>
          </cell>
          <cell r="F1449" t="e">
            <v>#N/A</v>
          </cell>
          <cell r="G1449" t="e">
            <v>#N/A</v>
          </cell>
          <cell r="O1449" t="e">
            <v>#N/A</v>
          </cell>
          <cell r="S1449">
            <v>0</v>
          </cell>
          <cell r="T1449">
            <v>3138400</v>
          </cell>
          <cell r="V1449">
            <v>0</v>
          </cell>
          <cell r="W1449">
            <v>0</v>
          </cell>
          <cell r="X1449">
            <v>0</v>
          </cell>
          <cell r="Z1449">
            <v>0</v>
          </cell>
          <cell r="AB1449">
            <v>0</v>
          </cell>
          <cell r="AD1449">
            <v>0</v>
          </cell>
          <cell r="AF1449">
            <v>0</v>
          </cell>
        </row>
        <row r="1450">
          <cell r="A1450">
            <v>1449</v>
          </cell>
          <cell r="C1450" t="e">
            <v>#N/A</v>
          </cell>
          <cell r="D1450" t="e">
            <v>#N/A</v>
          </cell>
          <cell r="E1450" t="e">
            <v>#N/A</v>
          </cell>
          <cell r="F1450" t="e">
            <v>#N/A</v>
          </cell>
          <cell r="G1450" t="e">
            <v>#N/A</v>
          </cell>
          <cell r="O1450" t="e">
            <v>#N/A</v>
          </cell>
          <cell r="S1450">
            <v>0</v>
          </cell>
          <cell r="T1450">
            <v>3138400</v>
          </cell>
          <cell r="V1450">
            <v>0</v>
          </cell>
          <cell r="W1450">
            <v>0</v>
          </cell>
          <cell r="X1450">
            <v>0</v>
          </cell>
          <cell r="Z1450">
            <v>0</v>
          </cell>
          <cell r="AB1450">
            <v>0</v>
          </cell>
          <cell r="AD1450">
            <v>0</v>
          </cell>
          <cell r="AF1450">
            <v>0</v>
          </cell>
        </row>
        <row r="1451">
          <cell r="A1451">
            <v>1450</v>
          </cell>
          <cell r="C1451" t="e">
            <v>#N/A</v>
          </cell>
          <cell r="D1451" t="e">
            <v>#N/A</v>
          </cell>
          <cell r="E1451" t="e">
            <v>#N/A</v>
          </cell>
          <cell r="F1451" t="e">
            <v>#N/A</v>
          </cell>
          <cell r="G1451" t="e">
            <v>#N/A</v>
          </cell>
          <cell r="O1451" t="e">
            <v>#N/A</v>
          </cell>
          <cell r="S1451">
            <v>0</v>
          </cell>
          <cell r="T1451">
            <v>3138400</v>
          </cell>
          <cell r="V1451">
            <v>0</v>
          </cell>
          <cell r="W1451">
            <v>0</v>
          </cell>
          <cell r="X1451">
            <v>0</v>
          </cell>
          <cell r="Z1451">
            <v>0</v>
          </cell>
          <cell r="AB1451">
            <v>0</v>
          </cell>
          <cell r="AD1451">
            <v>0</v>
          </cell>
          <cell r="AF1451">
            <v>0</v>
          </cell>
        </row>
        <row r="1452">
          <cell r="A1452">
            <v>1451</v>
          </cell>
          <cell r="C1452" t="e">
            <v>#N/A</v>
          </cell>
          <cell r="D1452" t="e">
            <v>#N/A</v>
          </cell>
          <cell r="E1452" t="e">
            <v>#N/A</v>
          </cell>
          <cell r="F1452" t="e">
            <v>#N/A</v>
          </cell>
          <cell r="G1452" t="e">
            <v>#N/A</v>
          </cell>
          <cell r="O1452" t="e">
            <v>#N/A</v>
          </cell>
          <cell r="S1452">
            <v>0</v>
          </cell>
          <cell r="T1452">
            <v>3138400</v>
          </cell>
          <cell r="V1452">
            <v>0</v>
          </cell>
          <cell r="W1452">
            <v>0</v>
          </cell>
          <cell r="X1452">
            <v>0</v>
          </cell>
          <cell r="Z1452">
            <v>0</v>
          </cell>
          <cell r="AB1452">
            <v>0</v>
          </cell>
          <cell r="AD1452">
            <v>0</v>
          </cell>
          <cell r="AF1452">
            <v>0</v>
          </cell>
        </row>
        <row r="1453">
          <cell r="A1453">
            <v>1452</v>
          </cell>
          <cell r="C1453" t="e">
            <v>#N/A</v>
          </cell>
          <cell r="D1453" t="e">
            <v>#N/A</v>
          </cell>
          <cell r="E1453" t="e">
            <v>#N/A</v>
          </cell>
          <cell r="F1453" t="e">
            <v>#N/A</v>
          </cell>
          <cell r="G1453" t="e">
            <v>#N/A</v>
          </cell>
          <cell r="O1453" t="e">
            <v>#N/A</v>
          </cell>
          <cell r="S1453">
            <v>0</v>
          </cell>
          <cell r="T1453">
            <v>3138400</v>
          </cell>
          <cell r="U1453" t="str">
            <v>ya</v>
          </cell>
          <cell r="V1453" t="e">
            <v>#N/A</v>
          </cell>
          <cell r="W1453" t="e">
            <v>#N/A</v>
          </cell>
          <cell r="X1453" t="e">
            <v>#N/A</v>
          </cell>
          <cell r="Z1453">
            <v>0</v>
          </cell>
          <cell r="AB1453">
            <v>0</v>
          </cell>
          <cell r="AD1453">
            <v>0</v>
          </cell>
          <cell r="AF1453">
            <v>0</v>
          </cell>
        </row>
        <row r="1454">
          <cell r="A1454">
            <v>1453</v>
          </cell>
          <cell r="C1454" t="e">
            <v>#N/A</v>
          </cell>
          <cell r="D1454" t="e">
            <v>#N/A</v>
          </cell>
          <cell r="E1454" t="e">
            <v>#N/A</v>
          </cell>
          <cell r="F1454" t="e">
            <v>#N/A</v>
          </cell>
          <cell r="G1454" t="e">
            <v>#N/A</v>
          </cell>
          <cell r="O1454" t="e">
            <v>#N/A</v>
          </cell>
          <cell r="S1454">
            <v>0</v>
          </cell>
          <cell r="T1454">
            <v>3138400</v>
          </cell>
          <cell r="V1454">
            <v>0</v>
          </cell>
          <cell r="W1454">
            <v>0</v>
          </cell>
          <cell r="X1454">
            <v>0</v>
          </cell>
          <cell r="Z1454">
            <v>0</v>
          </cell>
          <cell r="AB1454">
            <v>0</v>
          </cell>
          <cell r="AD1454">
            <v>0</v>
          </cell>
          <cell r="AF1454">
            <v>0</v>
          </cell>
        </row>
        <row r="1455">
          <cell r="A1455">
            <v>1454</v>
          </cell>
          <cell r="C1455" t="e">
            <v>#N/A</v>
          </cell>
          <cell r="D1455" t="e">
            <v>#N/A</v>
          </cell>
          <cell r="E1455" t="e">
            <v>#N/A</v>
          </cell>
          <cell r="F1455" t="e">
            <v>#N/A</v>
          </cell>
          <cell r="G1455" t="e">
            <v>#N/A</v>
          </cell>
          <cell r="O1455" t="e">
            <v>#N/A</v>
          </cell>
          <cell r="S1455">
            <v>0</v>
          </cell>
          <cell r="T1455">
            <v>3138400</v>
          </cell>
          <cell r="V1455">
            <v>0</v>
          </cell>
          <cell r="W1455">
            <v>0</v>
          </cell>
          <cell r="X1455">
            <v>0</v>
          </cell>
          <cell r="Z1455">
            <v>0</v>
          </cell>
          <cell r="AB1455">
            <v>0</v>
          </cell>
          <cell r="AD1455">
            <v>0</v>
          </cell>
          <cell r="AF1455">
            <v>0</v>
          </cell>
        </row>
        <row r="1456">
          <cell r="A1456">
            <v>1455</v>
          </cell>
          <cell r="C1456" t="e">
            <v>#N/A</v>
          </cell>
          <cell r="D1456" t="e">
            <v>#N/A</v>
          </cell>
          <cell r="E1456" t="e">
            <v>#N/A</v>
          </cell>
          <cell r="F1456" t="e">
            <v>#N/A</v>
          </cell>
          <cell r="G1456" t="e">
            <v>#N/A</v>
          </cell>
          <cell r="O1456" t="e">
            <v>#N/A</v>
          </cell>
          <cell r="S1456">
            <v>0</v>
          </cell>
          <cell r="T1456">
            <v>3138400</v>
          </cell>
          <cell r="V1456">
            <v>0</v>
          </cell>
          <cell r="W1456">
            <v>0</v>
          </cell>
          <cell r="X1456">
            <v>0</v>
          </cell>
          <cell r="Z1456">
            <v>0</v>
          </cell>
          <cell r="AB1456">
            <v>0</v>
          </cell>
          <cell r="AD1456">
            <v>0</v>
          </cell>
          <cell r="AF1456">
            <v>0</v>
          </cell>
        </row>
        <row r="1457">
          <cell r="A1457">
            <v>1456</v>
          </cell>
          <cell r="C1457" t="e">
            <v>#N/A</v>
          </cell>
          <cell r="D1457" t="e">
            <v>#N/A</v>
          </cell>
          <cell r="E1457" t="e">
            <v>#N/A</v>
          </cell>
          <cell r="F1457" t="e">
            <v>#N/A</v>
          </cell>
          <cell r="G1457" t="e">
            <v>#N/A</v>
          </cell>
          <cell r="O1457" t="e">
            <v>#N/A</v>
          </cell>
          <cell r="S1457">
            <v>0</v>
          </cell>
          <cell r="T1457">
            <v>3138400</v>
          </cell>
          <cell r="V1457">
            <v>0</v>
          </cell>
          <cell r="W1457">
            <v>0</v>
          </cell>
          <cell r="X1457">
            <v>0</v>
          </cell>
          <cell r="Z1457">
            <v>0</v>
          </cell>
          <cell r="AB1457">
            <v>0</v>
          </cell>
          <cell r="AD1457">
            <v>0</v>
          </cell>
          <cell r="AF1457">
            <v>0</v>
          </cell>
        </row>
        <row r="1458">
          <cell r="A1458">
            <v>1457</v>
          </cell>
          <cell r="C1458" t="e">
            <v>#N/A</v>
          </cell>
          <cell r="D1458" t="e">
            <v>#N/A</v>
          </cell>
          <cell r="E1458" t="e">
            <v>#N/A</v>
          </cell>
          <cell r="F1458" t="e">
            <v>#N/A</v>
          </cell>
          <cell r="G1458" t="e">
            <v>#N/A</v>
          </cell>
          <cell r="O1458" t="e">
            <v>#N/A</v>
          </cell>
          <cell r="S1458">
            <v>0</v>
          </cell>
          <cell r="T1458">
            <v>3138400</v>
          </cell>
          <cell r="V1458">
            <v>0</v>
          </cell>
          <cell r="W1458">
            <v>0</v>
          </cell>
          <cell r="X1458">
            <v>0</v>
          </cell>
          <cell r="Z1458">
            <v>0</v>
          </cell>
          <cell r="AB1458">
            <v>0</v>
          </cell>
          <cell r="AD1458">
            <v>0</v>
          </cell>
          <cell r="AF1458">
            <v>0</v>
          </cell>
        </row>
        <row r="1459">
          <cell r="A1459">
            <v>1458</v>
          </cell>
          <cell r="C1459" t="e">
            <v>#N/A</v>
          </cell>
          <cell r="D1459" t="e">
            <v>#N/A</v>
          </cell>
          <cell r="E1459" t="e">
            <v>#N/A</v>
          </cell>
          <cell r="F1459" t="e">
            <v>#N/A</v>
          </cell>
          <cell r="G1459" t="e">
            <v>#N/A</v>
          </cell>
          <cell r="O1459" t="e">
            <v>#N/A</v>
          </cell>
          <cell r="S1459">
            <v>0</v>
          </cell>
          <cell r="T1459">
            <v>3138400</v>
          </cell>
          <cell r="V1459">
            <v>0</v>
          </cell>
          <cell r="W1459">
            <v>0</v>
          </cell>
          <cell r="X1459">
            <v>0</v>
          </cell>
          <cell r="Z1459">
            <v>0</v>
          </cell>
          <cell r="AB1459">
            <v>0</v>
          </cell>
          <cell r="AD1459">
            <v>0</v>
          </cell>
          <cell r="AF1459">
            <v>0</v>
          </cell>
        </row>
        <row r="1460">
          <cell r="A1460">
            <v>1459</v>
          </cell>
          <cell r="C1460" t="e">
            <v>#N/A</v>
          </cell>
          <cell r="D1460" t="e">
            <v>#N/A</v>
          </cell>
          <cell r="E1460" t="e">
            <v>#N/A</v>
          </cell>
          <cell r="F1460" t="e">
            <v>#N/A</v>
          </cell>
          <cell r="G1460" t="e">
            <v>#N/A</v>
          </cell>
          <cell r="O1460" t="e">
            <v>#N/A</v>
          </cell>
          <cell r="S1460">
            <v>0</v>
          </cell>
          <cell r="T1460">
            <v>3138400</v>
          </cell>
          <cell r="V1460">
            <v>0</v>
          </cell>
          <cell r="W1460">
            <v>0</v>
          </cell>
          <cell r="X1460">
            <v>0</v>
          </cell>
          <cell r="Z1460">
            <v>0</v>
          </cell>
          <cell r="AB1460">
            <v>0</v>
          </cell>
          <cell r="AD1460">
            <v>0</v>
          </cell>
          <cell r="AF1460">
            <v>0</v>
          </cell>
        </row>
        <row r="1461">
          <cell r="A1461">
            <v>1460</v>
          </cell>
          <cell r="C1461" t="e">
            <v>#N/A</v>
          </cell>
          <cell r="D1461" t="e">
            <v>#N/A</v>
          </cell>
          <cell r="E1461" t="e">
            <v>#N/A</v>
          </cell>
          <cell r="F1461" t="e">
            <v>#N/A</v>
          </cell>
          <cell r="G1461" t="e">
            <v>#N/A</v>
          </cell>
          <cell r="O1461" t="e">
            <v>#N/A</v>
          </cell>
          <cell r="S1461">
            <v>0</v>
          </cell>
          <cell r="T1461">
            <v>3138400</v>
          </cell>
          <cell r="V1461">
            <v>0</v>
          </cell>
          <cell r="W1461">
            <v>0</v>
          </cell>
          <cell r="X1461">
            <v>0</v>
          </cell>
          <cell r="Z1461">
            <v>0</v>
          </cell>
          <cell r="AB1461">
            <v>0</v>
          </cell>
          <cell r="AD1461">
            <v>0</v>
          </cell>
          <cell r="AF1461">
            <v>0</v>
          </cell>
        </row>
        <row r="1462">
          <cell r="A1462">
            <v>1461</v>
          </cell>
          <cell r="C1462" t="e">
            <v>#N/A</v>
          </cell>
          <cell r="D1462" t="e">
            <v>#N/A</v>
          </cell>
          <cell r="E1462" t="e">
            <v>#N/A</v>
          </cell>
          <cell r="F1462" t="e">
            <v>#N/A</v>
          </cell>
          <cell r="G1462" t="e">
            <v>#N/A</v>
          </cell>
          <cell r="O1462" t="e">
            <v>#N/A</v>
          </cell>
          <cell r="S1462">
            <v>0</v>
          </cell>
          <cell r="T1462">
            <v>3138400</v>
          </cell>
          <cell r="V1462">
            <v>0</v>
          </cell>
          <cell r="W1462">
            <v>0</v>
          </cell>
          <cell r="X1462">
            <v>0</v>
          </cell>
          <cell r="Z1462">
            <v>0</v>
          </cell>
          <cell r="AB1462">
            <v>0</v>
          </cell>
          <cell r="AD1462">
            <v>0</v>
          </cell>
          <cell r="AF1462">
            <v>0</v>
          </cell>
        </row>
        <row r="1463">
          <cell r="A1463">
            <v>1462</v>
          </cell>
          <cell r="C1463" t="e">
            <v>#N/A</v>
          </cell>
          <cell r="D1463" t="e">
            <v>#N/A</v>
          </cell>
          <cell r="E1463" t="e">
            <v>#N/A</v>
          </cell>
          <cell r="F1463" t="e">
            <v>#N/A</v>
          </cell>
          <cell r="G1463" t="e">
            <v>#N/A</v>
          </cell>
          <cell r="O1463" t="e">
            <v>#N/A</v>
          </cell>
          <cell r="S1463">
            <v>0</v>
          </cell>
          <cell r="T1463">
            <v>3138400</v>
          </cell>
          <cell r="V1463">
            <v>0</v>
          </cell>
          <cell r="W1463">
            <v>0</v>
          </cell>
          <cell r="X1463">
            <v>0</v>
          </cell>
          <cell r="Z1463">
            <v>0</v>
          </cell>
          <cell r="AB1463">
            <v>0</v>
          </cell>
          <cell r="AD1463">
            <v>0</v>
          </cell>
          <cell r="AF1463">
            <v>0</v>
          </cell>
        </row>
        <row r="1464">
          <cell r="A1464">
            <v>1463</v>
          </cell>
          <cell r="C1464" t="e">
            <v>#N/A</v>
          </cell>
          <cell r="D1464" t="e">
            <v>#N/A</v>
          </cell>
          <cell r="E1464" t="e">
            <v>#N/A</v>
          </cell>
          <cell r="F1464" t="e">
            <v>#N/A</v>
          </cell>
          <cell r="G1464" t="e">
            <v>#N/A</v>
          </cell>
          <cell r="O1464" t="e">
            <v>#N/A</v>
          </cell>
          <cell r="S1464">
            <v>0</v>
          </cell>
          <cell r="T1464">
            <v>3138400</v>
          </cell>
          <cell r="U1464" t="str">
            <v>ya</v>
          </cell>
          <cell r="V1464" t="e">
            <v>#N/A</v>
          </cell>
          <cell r="W1464" t="e">
            <v>#N/A</v>
          </cell>
          <cell r="X1464" t="e">
            <v>#N/A</v>
          </cell>
          <cell r="Z1464">
            <v>0</v>
          </cell>
          <cell r="AB1464">
            <v>0</v>
          </cell>
          <cell r="AD1464">
            <v>0</v>
          </cell>
          <cell r="AF1464">
            <v>0</v>
          </cell>
        </row>
        <row r="1465">
          <cell r="A1465">
            <v>1464</v>
          </cell>
          <cell r="C1465" t="e">
            <v>#N/A</v>
          </cell>
          <cell r="D1465" t="e">
            <v>#N/A</v>
          </cell>
          <cell r="E1465" t="e">
            <v>#N/A</v>
          </cell>
          <cell r="F1465" t="e">
            <v>#N/A</v>
          </cell>
          <cell r="G1465" t="e">
            <v>#N/A</v>
          </cell>
          <cell r="O1465" t="e">
            <v>#N/A</v>
          </cell>
          <cell r="S1465">
            <v>0</v>
          </cell>
          <cell r="T1465">
            <v>3138400</v>
          </cell>
          <cell r="V1465">
            <v>0</v>
          </cell>
          <cell r="W1465">
            <v>0</v>
          </cell>
          <cell r="X1465">
            <v>0</v>
          </cell>
          <cell r="Z1465">
            <v>0</v>
          </cell>
          <cell r="AB1465">
            <v>0</v>
          </cell>
          <cell r="AD1465">
            <v>0</v>
          </cell>
          <cell r="AF1465">
            <v>0</v>
          </cell>
        </row>
        <row r="1466">
          <cell r="A1466">
            <v>1465</v>
          </cell>
          <cell r="C1466" t="e">
            <v>#N/A</v>
          </cell>
          <cell r="D1466" t="e">
            <v>#N/A</v>
          </cell>
          <cell r="E1466" t="e">
            <v>#N/A</v>
          </cell>
          <cell r="F1466" t="e">
            <v>#N/A</v>
          </cell>
          <cell r="G1466" t="e">
            <v>#N/A</v>
          </cell>
          <cell r="O1466" t="e">
            <v>#N/A</v>
          </cell>
          <cell r="S1466">
            <v>0</v>
          </cell>
          <cell r="T1466">
            <v>3138400</v>
          </cell>
          <cell r="V1466">
            <v>0</v>
          </cell>
          <cell r="W1466">
            <v>0</v>
          </cell>
          <cell r="X1466">
            <v>0</v>
          </cell>
          <cell r="Z1466">
            <v>0</v>
          </cell>
          <cell r="AB1466">
            <v>0</v>
          </cell>
          <cell r="AD1466">
            <v>0</v>
          </cell>
          <cell r="AF1466">
            <v>0</v>
          </cell>
        </row>
        <row r="1467">
          <cell r="A1467">
            <v>1466</v>
          </cell>
          <cell r="C1467" t="e">
            <v>#N/A</v>
          </cell>
          <cell r="D1467" t="e">
            <v>#N/A</v>
          </cell>
          <cell r="E1467" t="e">
            <v>#N/A</v>
          </cell>
          <cell r="F1467" t="e">
            <v>#N/A</v>
          </cell>
          <cell r="G1467" t="e">
            <v>#N/A</v>
          </cell>
          <cell r="O1467" t="e">
            <v>#N/A</v>
          </cell>
          <cell r="S1467">
            <v>0</v>
          </cell>
          <cell r="T1467">
            <v>3138400</v>
          </cell>
          <cell r="V1467">
            <v>0</v>
          </cell>
          <cell r="W1467">
            <v>0</v>
          </cell>
          <cell r="X1467">
            <v>0</v>
          </cell>
          <cell r="Z1467">
            <v>0</v>
          </cell>
          <cell r="AB1467">
            <v>0</v>
          </cell>
          <cell r="AD1467">
            <v>0</v>
          </cell>
          <cell r="AF1467">
            <v>0</v>
          </cell>
        </row>
        <row r="1468">
          <cell r="A1468">
            <v>1467</v>
          </cell>
          <cell r="C1468" t="e">
            <v>#N/A</v>
          </cell>
          <cell r="D1468" t="e">
            <v>#N/A</v>
          </cell>
          <cell r="E1468" t="e">
            <v>#N/A</v>
          </cell>
          <cell r="F1468" t="e">
            <v>#N/A</v>
          </cell>
          <cell r="G1468" t="e">
            <v>#N/A</v>
          </cell>
          <cell r="O1468" t="e">
            <v>#N/A</v>
          </cell>
          <cell r="S1468">
            <v>0</v>
          </cell>
          <cell r="T1468">
            <v>3138400</v>
          </cell>
          <cell r="V1468">
            <v>0</v>
          </cell>
          <cell r="W1468">
            <v>0</v>
          </cell>
          <cell r="X1468">
            <v>0</v>
          </cell>
          <cell r="Z1468">
            <v>0</v>
          </cell>
          <cell r="AB1468">
            <v>0</v>
          </cell>
          <cell r="AD1468">
            <v>0</v>
          </cell>
          <cell r="AF1468">
            <v>0</v>
          </cell>
        </row>
        <row r="1469">
          <cell r="A1469">
            <v>1468</v>
          </cell>
          <cell r="C1469" t="e">
            <v>#N/A</v>
          </cell>
          <cell r="D1469" t="e">
            <v>#N/A</v>
          </cell>
          <cell r="E1469" t="e">
            <v>#N/A</v>
          </cell>
          <cell r="F1469" t="e">
            <v>#N/A</v>
          </cell>
          <cell r="G1469" t="e">
            <v>#N/A</v>
          </cell>
          <cell r="O1469" t="e">
            <v>#N/A</v>
          </cell>
          <cell r="S1469">
            <v>0</v>
          </cell>
          <cell r="T1469">
            <v>3138400</v>
          </cell>
          <cell r="V1469">
            <v>0</v>
          </cell>
          <cell r="W1469">
            <v>0</v>
          </cell>
          <cell r="X1469">
            <v>0</v>
          </cell>
          <cell r="Z1469">
            <v>0</v>
          </cell>
          <cell r="AB1469">
            <v>0</v>
          </cell>
          <cell r="AD1469">
            <v>0</v>
          </cell>
          <cell r="AF1469">
            <v>0</v>
          </cell>
        </row>
        <row r="1470">
          <cell r="A1470">
            <v>1469</v>
          </cell>
          <cell r="C1470" t="e">
            <v>#N/A</v>
          </cell>
          <cell r="D1470" t="e">
            <v>#N/A</v>
          </cell>
          <cell r="E1470" t="e">
            <v>#N/A</v>
          </cell>
          <cell r="F1470" t="e">
            <v>#N/A</v>
          </cell>
          <cell r="G1470" t="e">
            <v>#N/A</v>
          </cell>
          <cell r="O1470" t="e">
            <v>#N/A</v>
          </cell>
          <cell r="S1470">
            <v>0</v>
          </cell>
          <cell r="T1470">
            <v>3138400</v>
          </cell>
          <cell r="V1470">
            <v>0</v>
          </cell>
          <cell r="W1470">
            <v>0</v>
          </cell>
          <cell r="X1470">
            <v>0</v>
          </cell>
          <cell r="Z1470">
            <v>0</v>
          </cell>
          <cell r="AB1470">
            <v>0</v>
          </cell>
          <cell r="AD1470">
            <v>0</v>
          </cell>
          <cell r="AF1470">
            <v>0</v>
          </cell>
        </row>
        <row r="1471">
          <cell r="A1471">
            <v>1470</v>
          </cell>
          <cell r="C1471" t="e">
            <v>#N/A</v>
          </cell>
          <cell r="D1471" t="e">
            <v>#N/A</v>
          </cell>
          <cell r="E1471" t="e">
            <v>#N/A</v>
          </cell>
          <cell r="F1471" t="e">
            <v>#N/A</v>
          </cell>
          <cell r="G1471" t="e">
            <v>#N/A</v>
          </cell>
          <cell r="O1471" t="e">
            <v>#N/A</v>
          </cell>
          <cell r="S1471">
            <v>0</v>
          </cell>
          <cell r="T1471">
            <v>3138400</v>
          </cell>
          <cell r="V1471">
            <v>0</v>
          </cell>
          <cell r="W1471">
            <v>0</v>
          </cell>
          <cell r="X1471">
            <v>0</v>
          </cell>
          <cell r="Z1471">
            <v>0</v>
          </cell>
          <cell r="AB1471">
            <v>0</v>
          </cell>
          <cell r="AD1471">
            <v>0</v>
          </cell>
          <cell r="AF1471">
            <v>0</v>
          </cell>
        </row>
        <row r="1472">
          <cell r="A1472">
            <v>1471</v>
          </cell>
          <cell r="C1472" t="e">
            <v>#N/A</v>
          </cell>
          <cell r="D1472" t="e">
            <v>#N/A</v>
          </cell>
          <cell r="E1472" t="e">
            <v>#N/A</v>
          </cell>
          <cell r="F1472" t="e">
            <v>#N/A</v>
          </cell>
          <cell r="G1472" t="e">
            <v>#N/A</v>
          </cell>
          <cell r="O1472" t="e">
            <v>#N/A</v>
          </cell>
          <cell r="S1472">
            <v>0</v>
          </cell>
          <cell r="T1472">
            <v>3138400</v>
          </cell>
          <cell r="V1472">
            <v>0</v>
          </cell>
          <cell r="W1472">
            <v>0</v>
          </cell>
          <cell r="X1472">
            <v>0</v>
          </cell>
          <cell r="Z1472">
            <v>0</v>
          </cell>
          <cell r="AB1472">
            <v>0</v>
          </cell>
          <cell r="AD1472">
            <v>0</v>
          </cell>
          <cell r="AF1472">
            <v>0</v>
          </cell>
        </row>
        <row r="1473">
          <cell r="A1473">
            <v>1472</v>
          </cell>
          <cell r="C1473" t="e">
            <v>#N/A</v>
          </cell>
          <cell r="D1473" t="e">
            <v>#N/A</v>
          </cell>
          <cell r="E1473" t="e">
            <v>#N/A</v>
          </cell>
          <cell r="F1473" t="e">
            <v>#N/A</v>
          </cell>
          <cell r="G1473" t="e">
            <v>#N/A</v>
          </cell>
          <cell r="O1473" t="e">
            <v>#N/A</v>
          </cell>
          <cell r="S1473">
            <v>0</v>
          </cell>
          <cell r="T1473">
            <v>3138400</v>
          </cell>
          <cell r="U1473" t="str">
            <v>ya</v>
          </cell>
          <cell r="V1473" t="e">
            <v>#N/A</v>
          </cell>
          <cell r="W1473" t="e">
            <v>#N/A</v>
          </cell>
          <cell r="X1473" t="e">
            <v>#N/A</v>
          </cell>
          <cell r="Z1473">
            <v>0</v>
          </cell>
          <cell r="AB1473">
            <v>0</v>
          </cell>
          <cell r="AD1473">
            <v>0</v>
          </cell>
          <cell r="AF1473">
            <v>0</v>
          </cell>
        </row>
        <row r="1474">
          <cell r="A1474">
            <v>1473</v>
          </cell>
          <cell r="C1474" t="e">
            <v>#N/A</v>
          </cell>
          <cell r="D1474" t="e">
            <v>#N/A</v>
          </cell>
          <cell r="E1474" t="e">
            <v>#N/A</v>
          </cell>
          <cell r="F1474" t="e">
            <v>#N/A</v>
          </cell>
          <cell r="G1474" t="e">
            <v>#N/A</v>
          </cell>
          <cell r="O1474" t="e">
            <v>#N/A</v>
          </cell>
          <cell r="S1474">
            <v>0</v>
          </cell>
          <cell r="T1474">
            <v>3138400</v>
          </cell>
          <cell r="V1474">
            <v>0</v>
          </cell>
          <cell r="W1474">
            <v>0</v>
          </cell>
          <cell r="X1474">
            <v>0</v>
          </cell>
          <cell r="Z1474">
            <v>0</v>
          </cell>
          <cell r="AB1474">
            <v>0</v>
          </cell>
          <cell r="AD1474">
            <v>0</v>
          </cell>
          <cell r="AF1474">
            <v>0</v>
          </cell>
        </row>
        <row r="1475">
          <cell r="A1475">
            <v>1474</v>
          </cell>
          <cell r="C1475" t="e">
            <v>#N/A</v>
          </cell>
          <cell r="D1475" t="e">
            <v>#N/A</v>
          </cell>
          <cell r="E1475" t="e">
            <v>#N/A</v>
          </cell>
          <cell r="F1475" t="e">
            <v>#N/A</v>
          </cell>
          <cell r="G1475" t="e">
            <v>#N/A</v>
          </cell>
          <cell r="O1475" t="e">
            <v>#N/A</v>
          </cell>
          <cell r="S1475">
            <v>0</v>
          </cell>
          <cell r="T1475">
            <v>3138400</v>
          </cell>
          <cell r="V1475">
            <v>0</v>
          </cell>
          <cell r="W1475">
            <v>0</v>
          </cell>
          <cell r="X1475">
            <v>0</v>
          </cell>
          <cell r="Z1475">
            <v>0</v>
          </cell>
          <cell r="AB1475">
            <v>0</v>
          </cell>
          <cell r="AD1475">
            <v>0</v>
          </cell>
          <cell r="AF1475">
            <v>0</v>
          </cell>
        </row>
        <row r="1476">
          <cell r="A1476">
            <v>1475</v>
          </cell>
          <cell r="C1476" t="e">
            <v>#N/A</v>
          </cell>
          <cell r="D1476" t="e">
            <v>#N/A</v>
          </cell>
          <cell r="E1476" t="e">
            <v>#N/A</v>
          </cell>
          <cell r="F1476" t="e">
            <v>#N/A</v>
          </cell>
          <cell r="G1476" t="e">
            <v>#N/A</v>
          </cell>
          <cell r="O1476" t="e">
            <v>#N/A</v>
          </cell>
          <cell r="S1476">
            <v>0</v>
          </cell>
          <cell r="T1476">
            <v>3138400</v>
          </cell>
          <cell r="U1476" t="str">
            <v>ya</v>
          </cell>
          <cell r="V1476" t="e">
            <v>#N/A</v>
          </cell>
          <cell r="W1476" t="e">
            <v>#N/A</v>
          </cell>
          <cell r="X1476" t="e">
            <v>#N/A</v>
          </cell>
          <cell r="Z1476">
            <v>0</v>
          </cell>
          <cell r="AB1476">
            <v>0</v>
          </cell>
          <cell r="AD1476">
            <v>0</v>
          </cell>
          <cell r="AF1476">
            <v>0</v>
          </cell>
        </row>
        <row r="1477">
          <cell r="A1477">
            <v>1476</v>
          </cell>
          <cell r="C1477" t="e">
            <v>#N/A</v>
          </cell>
          <cell r="D1477" t="e">
            <v>#N/A</v>
          </cell>
          <cell r="E1477" t="e">
            <v>#N/A</v>
          </cell>
          <cell r="F1477" t="e">
            <v>#N/A</v>
          </cell>
          <cell r="G1477" t="e">
            <v>#N/A</v>
          </cell>
          <cell r="O1477" t="e">
            <v>#N/A</v>
          </cell>
          <cell r="S1477">
            <v>0</v>
          </cell>
          <cell r="T1477">
            <v>3138400</v>
          </cell>
          <cell r="V1477">
            <v>0</v>
          </cell>
          <cell r="W1477">
            <v>0</v>
          </cell>
          <cell r="X1477">
            <v>0</v>
          </cell>
          <cell r="Z1477">
            <v>0</v>
          </cell>
          <cell r="AB1477">
            <v>0</v>
          </cell>
          <cell r="AD1477">
            <v>0</v>
          </cell>
          <cell r="AF1477">
            <v>0</v>
          </cell>
        </row>
        <row r="1478">
          <cell r="A1478">
            <v>1477</v>
          </cell>
          <cell r="C1478" t="e">
            <v>#N/A</v>
          </cell>
          <cell r="D1478" t="e">
            <v>#N/A</v>
          </cell>
          <cell r="E1478" t="e">
            <v>#N/A</v>
          </cell>
          <cell r="F1478" t="e">
            <v>#N/A</v>
          </cell>
          <cell r="G1478" t="e">
            <v>#N/A</v>
          </cell>
          <cell r="O1478" t="e">
            <v>#N/A</v>
          </cell>
          <cell r="S1478">
            <v>0</v>
          </cell>
          <cell r="T1478">
            <v>3138400</v>
          </cell>
          <cell r="V1478">
            <v>0</v>
          </cell>
          <cell r="W1478">
            <v>0</v>
          </cell>
          <cell r="X1478">
            <v>0</v>
          </cell>
          <cell r="Z1478">
            <v>0</v>
          </cell>
          <cell r="AB1478">
            <v>0</v>
          </cell>
          <cell r="AD1478">
            <v>0</v>
          </cell>
          <cell r="AF1478">
            <v>0</v>
          </cell>
        </row>
        <row r="1479">
          <cell r="A1479">
            <v>1478</v>
          </cell>
          <cell r="C1479" t="e">
            <v>#N/A</v>
          </cell>
          <cell r="D1479" t="e">
            <v>#N/A</v>
          </cell>
          <cell r="E1479" t="e">
            <v>#N/A</v>
          </cell>
          <cell r="F1479" t="e">
            <v>#N/A</v>
          </cell>
          <cell r="G1479" t="e">
            <v>#N/A</v>
          </cell>
          <cell r="O1479" t="e">
            <v>#N/A</v>
          </cell>
          <cell r="S1479">
            <v>0</v>
          </cell>
          <cell r="T1479">
            <v>3138400</v>
          </cell>
          <cell r="V1479">
            <v>0</v>
          </cell>
          <cell r="W1479">
            <v>0</v>
          </cell>
          <cell r="X1479">
            <v>0</v>
          </cell>
          <cell r="Z1479">
            <v>0</v>
          </cell>
          <cell r="AB1479">
            <v>0</v>
          </cell>
          <cell r="AD1479">
            <v>0</v>
          </cell>
          <cell r="AF1479">
            <v>0</v>
          </cell>
        </row>
        <row r="1480">
          <cell r="A1480">
            <v>1479</v>
          </cell>
          <cell r="C1480" t="e">
            <v>#N/A</v>
          </cell>
          <cell r="D1480" t="e">
            <v>#N/A</v>
          </cell>
          <cell r="E1480" t="e">
            <v>#N/A</v>
          </cell>
          <cell r="F1480" t="e">
            <v>#N/A</v>
          </cell>
          <cell r="G1480" t="e">
            <v>#N/A</v>
          </cell>
          <cell r="O1480" t="e">
            <v>#N/A</v>
          </cell>
          <cell r="S1480">
            <v>0</v>
          </cell>
          <cell r="T1480">
            <v>3138400</v>
          </cell>
          <cell r="V1480">
            <v>0</v>
          </cell>
          <cell r="W1480">
            <v>0</v>
          </cell>
          <cell r="X1480">
            <v>0</v>
          </cell>
          <cell r="Z1480">
            <v>0</v>
          </cell>
          <cell r="AB1480">
            <v>0</v>
          </cell>
          <cell r="AD1480">
            <v>0</v>
          </cell>
          <cell r="AF1480">
            <v>0</v>
          </cell>
        </row>
        <row r="1481">
          <cell r="A1481">
            <v>1480</v>
          </cell>
          <cell r="C1481" t="e">
            <v>#N/A</v>
          </cell>
          <cell r="D1481" t="e">
            <v>#N/A</v>
          </cell>
          <cell r="E1481" t="e">
            <v>#N/A</v>
          </cell>
          <cell r="F1481" t="e">
            <v>#N/A</v>
          </cell>
          <cell r="G1481" t="e">
            <v>#N/A</v>
          </cell>
          <cell r="O1481" t="e">
            <v>#N/A</v>
          </cell>
          <cell r="S1481">
            <v>0</v>
          </cell>
          <cell r="T1481">
            <v>3138400</v>
          </cell>
          <cell r="V1481">
            <v>0</v>
          </cell>
          <cell r="W1481">
            <v>0</v>
          </cell>
          <cell r="X1481">
            <v>0</v>
          </cell>
          <cell r="Z1481">
            <v>0</v>
          </cell>
          <cell r="AB1481">
            <v>0</v>
          </cell>
          <cell r="AD1481">
            <v>0</v>
          </cell>
          <cell r="AF1481">
            <v>0</v>
          </cell>
        </row>
        <row r="1482">
          <cell r="A1482">
            <v>1481</v>
          </cell>
          <cell r="C1482" t="e">
            <v>#N/A</v>
          </cell>
          <cell r="D1482" t="e">
            <v>#N/A</v>
          </cell>
          <cell r="E1482" t="e">
            <v>#N/A</v>
          </cell>
          <cell r="F1482" t="e">
            <v>#N/A</v>
          </cell>
          <cell r="G1482" t="e">
            <v>#N/A</v>
          </cell>
          <cell r="O1482" t="e">
            <v>#N/A</v>
          </cell>
          <cell r="S1482">
            <v>0</v>
          </cell>
          <cell r="T1482">
            <v>3138400</v>
          </cell>
          <cell r="V1482">
            <v>0</v>
          </cell>
          <cell r="W1482">
            <v>0</v>
          </cell>
          <cell r="X1482">
            <v>0</v>
          </cell>
          <cell r="Z1482">
            <v>0</v>
          </cell>
          <cell r="AB1482">
            <v>0</v>
          </cell>
          <cell r="AD1482">
            <v>0</v>
          </cell>
          <cell r="AF1482">
            <v>0</v>
          </cell>
        </row>
        <row r="1483">
          <cell r="A1483">
            <v>1482</v>
          </cell>
          <cell r="C1483" t="e">
            <v>#N/A</v>
          </cell>
          <cell r="D1483" t="e">
            <v>#N/A</v>
          </cell>
          <cell r="E1483" t="e">
            <v>#N/A</v>
          </cell>
          <cell r="F1483" t="e">
            <v>#N/A</v>
          </cell>
          <cell r="G1483" t="e">
            <v>#N/A</v>
          </cell>
          <cell r="O1483" t="e">
            <v>#N/A</v>
          </cell>
          <cell r="S1483">
            <v>0</v>
          </cell>
          <cell r="T1483">
            <v>3138400</v>
          </cell>
          <cell r="U1483" t="str">
            <v>ya</v>
          </cell>
          <cell r="V1483" t="e">
            <v>#N/A</v>
          </cell>
          <cell r="W1483" t="e">
            <v>#N/A</v>
          </cell>
          <cell r="X1483" t="e">
            <v>#N/A</v>
          </cell>
          <cell r="Z1483">
            <v>0</v>
          </cell>
          <cell r="AB1483">
            <v>0</v>
          </cell>
          <cell r="AD1483">
            <v>0</v>
          </cell>
          <cell r="AF1483">
            <v>0</v>
          </cell>
        </row>
        <row r="1484">
          <cell r="A1484">
            <v>1483</v>
          </cell>
          <cell r="C1484" t="e">
            <v>#N/A</v>
          </cell>
          <cell r="D1484" t="e">
            <v>#N/A</v>
          </cell>
          <cell r="E1484" t="e">
            <v>#N/A</v>
          </cell>
          <cell r="F1484" t="e">
            <v>#N/A</v>
          </cell>
          <cell r="G1484" t="e">
            <v>#N/A</v>
          </cell>
          <cell r="O1484" t="e">
            <v>#N/A</v>
          </cell>
          <cell r="S1484">
            <v>0</v>
          </cell>
          <cell r="T1484">
            <v>3138400</v>
          </cell>
          <cell r="U1484" t="str">
            <v>ya</v>
          </cell>
          <cell r="V1484" t="e">
            <v>#N/A</v>
          </cell>
          <cell r="W1484" t="e">
            <v>#N/A</v>
          </cell>
          <cell r="X1484" t="e">
            <v>#N/A</v>
          </cell>
          <cell r="Z1484">
            <v>0</v>
          </cell>
          <cell r="AB1484">
            <v>0</v>
          </cell>
          <cell r="AD1484">
            <v>0</v>
          </cell>
          <cell r="AF1484">
            <v>0</v>
          </cell>
        </row>
        <row r="1485">
          <cell r="A1485">
            <v>1484</v>
          </cell>
          <cell r="C1485" t="e">
            <v>#N/A</v>
          </cell>
          <cell r="D1485" t="e">
            <v>#N/A</v>
          </cell>
          <cell r="E1485" t="e">
            <v>#N/A</v>
          </cell>
          <cell r="F1485" t="e">
            <v>#N/A</v>
          </cell>
          <cell r="G1485" t="e">
            <v>#N/A</v>
          </cell>
          <cell r="O1485" t="e">
            <v>#N/A</v>
          </cell>
          <cell r="S1485">
            <v>0</v>
          </cell>
          <cell r="T1485">
            <v>3138400</v>
          </cell>
          <cell r="U1485" t="str">
            <v>ya</v>
          </cell>
          <cell r="V1485" t="e">
            <v>#N/A</v>
          </cell>
          <cell r="W1485" t="e">
            <v>#N/A</v>
          </cell>
          <cell r="X1485" t="e">
            <v>#N/A</v>
          </cell>
          <cell r="Z1485">
            <v>0</v>
          </cell>
          <cell r="AB1485">
            <v>0</v>
          </cell>
          <cell r="AD1485">
            <v>0</v>
          </cell>
          <cell r="AF1485">
            <v>0</v>
          </cell>
        </row>
        <row r="1486">
          <cell r="A1486">
            <v>1485</v>
          </cell>
          <cell r="C1486" t="e">
            <v>#N/A</v>
          </cell>
          <cell r="D1486" t="e">
            <v>#N/A</v>
          </cell>
          <cell r="E1486" t="e">
            <v>#N/A</v>
          </cell>
          <cell r="F1486" t="e">
            <v>#N/A</v>
          </cell>
          <cell r="G1486" t="e">
            <v>#N/A</v>
          </cell>
          <cell r="O1486" t="e">
            <v>#N/A</v>
          </cell>
          <cell r="S1486">
            <v>0</v>
          </cell>
          <cell r="T1486">
            <v>3138400</v>
          </cell>
          <cell r="U1486" t="str">
            <v>ya</v>
          </cell>
          <cell r="V1486" t="e">
            <v>#N/A</v>
          </cell>
          <cell r="W1486" t="e">
            <v>#N/A</v>
          </cell>
          <cell r="X1486" t="e">
            <v>#N/A</v>
          </cell>
          <cell r="Z1486">
            <v>0</v>
          </cell>
          <cell r="AB1486">
            <v>0</v>
          </cell>
          <cell r="AD1486">
            <v>0</v>
          </cell>
          <cell r="AF1486">
            <v>0</v>
          </cell>
        </row>
        <row r="1487">
          <cell r="A1487">
            <v>1486</v>
          </cell>
          <cell r="C1487" t="e">
            <v>#N/A</v>
          </cell>
          <cell r="D1487" t="e">
            <v>#N/A</v>
          </cell>
          <cell r="E1487" t="e">
            <v>#N/A</v>
          </cell>
          <cell r="F1487" t="e">
            <v>#N/A</v>
          </cell>
          <cell r="G1487" t="e">
            <v>#N/A</v>
          </cell>
          <cell r="O1487" t="e">
            <v>#N/A</v>
          </cell>
          <cell r="S1487">
            <v>0</v>
          </cell>
          <cell r="T1487">
            <v>3138400</v>
          </cell>
          <cell r="V1487">
            <v>0</v>
          </cell>
          <cell r="W1487">
            <v>0</v>
          </cell>
          <cell r="X1487">
            <v>0</v>
          </cell>
          <cell r="Z1487">
            <v>0</v>
          </cell>
          <cell r="AB1487">
            <v>0</v>
          </cell>
          <cell r="AD1487">
            <v>0</v>
          </cell>
          <cell r="AF1487">
            <v>0</v>
          </cell>
        </row>
        <row r="1488">
          <cell r="A1488">
            <v>1487</v>
          </cell>
          <cell r="C1488" t="e">
            <v>#N/A</v>
          </cell>
          <cell r="D1488" t="e">
            <v>#N/A</v>
          </cell>
          <cell r="E1488" t="e">
            <v>#N/A</v>
          </cell>
          <cell r="F1488" t="e">
            <v>#N/A</v>
          </cell>
          <cell r="G1488" t="e">
            <v>#N/A</v>
          </cell>
          <cell r="O1488" t="e">
            <v>#N/A</v>
          </cell>
          <cell r="S1488">
            <v>0</v>
          </cell>
          <cell r="T1488">
            <v>3138400</v>
          </cell>
          <cell r="V1488">
            <v>0</v>
          </cell>
          <cell r="W1488">
            <v>0</v>
          </cell>
          <cell r="X1488">
            <v>0</v>
          </cell>
          <cell r="Z1488">
            <v>0</v>
          </cell>
          <cell r="AB1488">
            <v>0</v>
          </cell>
          <cell r="AD1488">
            <v>0</v>
          </cell>
          <cell r="AF1488">
            <v>0</v>
          </cell>
        </row>
        <row r="1489">
          <cell r="A1489">
            <v>1488</v>
          </cell>
          <cell r="C1489" t="e">
            <v>#N/A</v>
          </cell>
          <cell r="D1489" t="e">
            <v>#N/A</v>
          </cell>
          <cell r="E1489" t="e">
            <v>#N/A</v>
          </cell>
          <cell r="F1489" t="e">
            <v>#N/A</v>
          </cell>
          <cell r="G1489" t="e">
            <v>#N/A</v>
          </cell>
          <cell r="O1489" t="e">
            <v>#N/A</v>
          </cell>
          <cell r="S1489">
            <v>0</v>
          </cell>
          <cell r="T1489">
            <v>3138400</v>
          </cell>
          <cell r="V1489">
            <v>0</v>
          </cell>
          <cell r="W1489">
            <v>0</v>
          </cell>
          <cell r="X1489">
            <v>0</v>
          </cell>
          <cell r="Z1489">
            <v>0</v>
          </cell>
          <cell r="AB1489">
            <v>0</v>
          </cell>
          <cell r="AD1489">
            <v>0</v>
          </cell>
          <cell r="AF1489">
            <v>0</v>
          </cell>
        </row>
        <row r="1490">
          <cell r="A1490">
            <v>1489</v>
          </cell>
          <cell r="C1490" t="e">
            <v>#N/A</v>
          </cell>
          <cell r="D1490" t="e">
            <v>#N/A</v>
          </cell>
          <cell r="E1490" t="e">
            <v>#N/A</v>
          </cell>
          <cell r="F1490" t="e">
            <v>#N/A</v>
          </cell>
          <cell r="G1490" t="e">
            <v>#N/A</v>
          </cell>
          <cell r="O1490" t="e">
            <v>#N/A</v>
          </cell>
          <cell r="S1490">
            <v>0</v>
          </cell>
          <cell r="T1490">
            <v>3138400</v>
          </cell>
          <cell r="V1490">
            <v>0</v>
          </cell>
          <cell r="W1490">
            <v>0</v>
          </cell>
          <cell r="X1490">
            <v>0</v>
          </cell>
          <cell r="Z1490">
            <v>0</v>
          </cell>
          <cell r="AB1490">
            <v>0</v>
          </cell>
          <cell r="AD1490">
            <v>0</v>
          </cell>
          <cell r="AF1490">
            <v>0</v>
          </cell>
        </row>
        <row r="1491">
          <cell r="A1491">
            <v>1490</v>
          </cell>
          <cell r="C1491" t="e">
            <v>#N/A</v>
          </cell>
          <cell r="D1491" t="e">
            <v>#N/A</v>
          </cell>
          <cell r="E1491" t="e">
            <v>#N/A</v>
          </cell>
          <cell r="F1491" t="e">
            <v>#N/A</v>
          </cell>
          <cell r="G1491" t="e">
            <v>#N/A</v>
          </cell>
          <cell r="O1491" t="e">
            <v>#N/A</v>
          </cell>
          <cell r="S1491">
            <v>0</v>
          </cell>
          <cell r="T1491">
            <v>3138400</v>
          </cell>
          <cell r="V1491">
            <v>0</v>
          </cell>
          <cell r="W1491">
            <v>0</v>
          </cell>
          <cell r="X1491">
            <v>0</v>
          </cell>
          <cell r="Z1491">
            <v>0</v>
          </cell>
          <cell r="AB1491">
            <v>0</v>
          </cell>
          <cell r="AD1491">
            <v>0</v>
          </cell>
          <cell r="AF1491">
            <v>0</v>
          </cell>
        </row>
        <row r="1492">
          <cell r="A1492">
            <v>1491</v>
          </cell>
          <cell r="C1492" t="e">
            <v>#N/A</v>
          </cell>
          <cell r="D1492" t="e">
            <v>#N/A</v>
          </cell>
          <cell r="E1492" t="e">
            <v>#N/A</v>
          </cell>
          <cell r="F1492" t="e">
            <v>#N/A</v>
          </cell>
          <cell r="G1492" t="e">
            <v>#N/A</v>
          </cell>
          <cell r="O1492" t="e">
            <v>#N/A</v>
          </cell>
          <cell r="S1492">
            <v>0</v>
          </cell>
          <cell r="T1492">
            <v>3138400</v>
          </cell>
          <cell r="U1492" t="str">
            <v>ya</v>
          </cell>
          <cell r="V1492" t="e">
            <v>#N/A</v>
          </cell>
          <cell r="W1492" t="e">
            <v>#N/A</v>
          </cell>
          <cell r="X1492" t="e">
            <v>#N/A</v>
          </cell>
          <cell r="Z1492">
            <v>0</v>
          </cell>
          <cell r="AB1492">
            <v>0</v>
          </cell>
          <cell r="AD1492">
            <v>0</v>
          </cell>
          <cell r="AF1492">
            <v>0</v>
          </cell>
        </row>
        <row r="1493">
          <cell r="A1493">
            <v>1492</v>
          </cell>
          <cell r="C1493" t="e">
            <v>#N/A</v>
          </cell>
          <cell r="D1493" t="e">
            <v>#N/A</v>
          </cell>
          <cell r="E1493" t="e">
            <v>#N/A</v>
          </cell>
          <cell r="F1493" t="e">
            <v>#N/A</v>
          </cell>
          <cell r="G1493" t="e">
            <v>#N/A</v>
          </cell>
          <cell r="O1493" t="e">
            <v>#N/A</v>
          </cell>
          <cell r="S1493">
            <v>0</v>
          </cell>
          <cell r="T1493">
            <v>3138400</v>
          </cell>
          <cell r="U1493" t="str">
            <v>ya</v>
          </cell>
          <cell r="V1493" t="e">
            <v>#N/A</v>
          </cell>
          <cell r="W1493" t="e">
            <v>#N/A</v>
          </cell>
          <cell r="X1493" t="e">
            <v>#N/A</v>
          </cell>
          <cell r="Z1493">
            <v>0</v>
          </cell>
          <cell r="AB1493">
            <v>0</v>
          </cell>
          <cell r="AD1493">
            <v>0</v>
          </cell>
          <cell r="AF1493">
            <v>0</v>
          </cell>
        </row>
        <row r="1494">
          <cell r="A1494">
            <v>1493</v>
          </cell>
          <cell r="C1494" t="e">
            <v>#N/A</v>
          </cell>
          <cell r="D1494" t="e">
            <v>#N/A</v>
          </cell>
          <cell r="E1494" t="e">
            <v>#N/A</v>
          </cell>
          <cell r="F1494" t="e">
            <v>#N/A</v>
          </cell>
          <cell r="G1494" t="e">
            <v>#N/A</v>
          </cell>
          <cell r="O1494" t="e">
            <v>#N/A</v>
          </cell>
          <cell r="S1494">
            <v>0</v>
          </cell>
          <cell r="T1494">
            <v>3138400</v>
          </cell>
          <cell r="U1494" t="str">
            <v>ya</v>
          </cell>
          <cell r="V1494" t="e">
            <v>#N/A</v>
          </cell>
          <cell r="W1494" t="e">
            <v>#N/A</v>
          </cell>
          <cell r="X1494" t="e">
            <v>#N/A</v>
          </cell>
          <cell r="Z1494">
            <v>0</v>
          </cell>
          <cell r="AB1494">
            <v>0</v>
          </cell>
          <cell r="AD1494">
            <v>0</v>
          </cell>
          <cell r="AF1494">
            <v>0</v>
          </cell>
        </row>
        <row r="1495">
          <cell r="A1495">
            <v>1494</v>
          </cell>
          <cell r="C1495" t="e">
            <v>#N/A</v>
          </cell>
          <cell r="D1495" t="e">
            <v>#N/A</v>
          </cell>
          <cell r="E1495" t="e">
            <v>#N/A</v>
          </cell>
          <cell r="F1495" t="e">
            <v>#N/A</v>
          </cell>
          <cell r="G1495" t="e">
            <v>#N/A</v>
          </cell>
          <cell r="O1495" t="e">
            <v>#N/A</v>
          </cell>
          <cell r="S1495">
            <v>0</v>
          </cell>
          <cell r="T1495">
            <v>3138400</v>
          </cell>
          <cell r="V1495">
            <v>0</v>
          </cell>
          <cell r="W1495">
            <v>0</v>
          </cell>
          <cell r="X1495">
            <v>0</v>
          </cell>
          <cell r="Z1495">
            <v>0</v>
          </cell>
          <cell r="AB1495">
            <v>0</v>
          </cell>
          <cell r="AD1495">
            <v>0</v>
          </cell>
          <cell r="AF1495">
            <v>0</v>
          </cell>
        </row>
        <row r="1496">
          <cell r="A1496">
            <v>1495</v>
          </cell>
          <cell r="C1496" t="e">
            <v>#N/A</v>
          </cell>
          <cell r="D1496" t="e">
            <v>#N/A</v>
          </cell>
          <cell r="E1496" t="e">
            <v>#N/A</v>
          </cell>
          <cell r="F1496" t="e">
            <v>#N/A</v>
          </cell>
          <cell r="G1496" t="e">
            <v>#N/A</v>
          </cell>
          <cell r="O1496" t="e">
            <v>#N/A</v>
          </cell>
          <cell r="S1496">
            <v>0</v>
          </cell>
          <cell r="T1496">
            <v>3138400</v>
          </cell>
          <cell r="V1496">
            <v>0</v>
          </cell>
          <cell r="W1496">
            <v>0</v>
          </cell>
          <cell r="X1496">
            <v>0</v>
          </cell>
          <cell r="Z1496">
            <v>0</v>
          </cell>
          <cell r="AB1496">
            <v>0</v>
          </cell>
          <cell r="AD1496">
            <v>0</v>
          </cell>
          <cell r="AF1496">
            <v>0</v>
          </cell>
        </row>
        <row r="1497">
          <cell r="A1497">
            <v>1496</v>
          </cell>
          <cell r="C1497" t="e">
            <v>#N/A</v>
          </cell>
          <cell r="D1497" t="e">
            <v>#N/A</v>
          </cell>
          <cell r="E1497" t="e">
            <v>#N/A</v>
          </cell>
          <cell r="F1497" t="e">
            <v>#N/A</v>
          </cell>
          <cell r="G1497" t="e">
            <v>#N/A</v>
          </cell>
          <cell r="O1497" t="e">
            <v>#N/A</v>
          </cell>
          <cell r="S1497">
            <v>0</v>
          </cell>
          <cell r="T1497">
            <v>3138400</v>
          </cell>
          <cell r="V1497">
            <v>0</v>
          </cell>
          <cell r="W1497">
            <v>0</v>
          </cell>
          <cell r="X1497">
            <v>0</v>
          </cell>
          <cell r="Z1497">
            <v>0</v>
          </cell>
          <cell r="AB1497">
            <v>0</v>
          </cell>
          <cell r="AD1497">
            <v>0</v>
          </cell>
          <cell r="AF1497">
            <v>0</v>
          </cell>
        </row>
        <row r="1498">
          <cell r="A1498">
            <v>1497</v>
          </cell>
          <cell r="C1498" t="e">
            <v>#N/A</v>
          </cell>
          <cell r="D1498" t="e">
            <v>#N/A</v>
          </cell>
          <cell r="E1498" t="e">
            <v>#N/A</v>
          </cell>
          <cell r="F1498" t="e">
            <v>#N/A</v>
          </cell>
          <cell r="G1498" t="e">
            <v>#N/A</v>
          </cell>
          <cell r="O1498" t="e">
            <v>#N/A</v>
          </cell>
          <cell r="S1498">
            <v>0</v>
          </cell>
          <cell r="T1498">
            <v>3138400</v>
          </cell>
          <cell r="V1498">
            <v>0</v>
          </cell>
          <cell r="W1498">
            <v>0</v>
          </cell>
          <cell r="X1498">
            <v>0</v>
          </cell>
          <cell r="Z1498">
            <v>0</v>
          </cell>
          <cell r="AB1498">
            <v>0</v>
          </cell>
          <cell r="AD1498">
            <v>0</v>
          </cell>
          <cell r="AF1498">
            <v>0</v>
          </cell>
        </row>
        <row r="1499">
          <cell r="A1499">
            <v>1498</v>
          </cell>
          <cell r="C1499" t="e">
            <v>#N/A</v>
          </cell>
          <cell r="D1499" t="e">
            <v>#N/A</v>
          </cell>
          <cell r="E1499" t="e">
            <v>#N/A</v>
          </cell>
          <cell r="F1499" t="e">
            <v>#N/A</v>
          </cell>
          <cell r="G1499" t="e">
            <v>#N/A</v>
          </cell>
          <cell r="O1499" t="e">
            <v>#N/A</v>
          </cell>
          <cell r="S1499">
            <v>0</v>
          </cell>
          <cell r="T1499">
            <v>3138400</v>
          </cell>
          <cell r="V1499">
            <v>0</v>
          </cell>
          <cell r="W1499">
            <v>0</v>
          </cell>
          <cell r="X1499">
            <v>0</v>
          </cell>
          <cell r="Z1499">
            <v>0</v>
          </cell>
          <cell r="AB1499">
            <v>0</v>
          </cell>
          <cell r="AD1499">
            <v>0</v>
          </cell>
          <cell r="AF1499">
            <v>0</v>
          </cell>
        </row>
        <row r="1500">
          <cell r="A1500">
            <v>1499</v>
          </cell>
          <cell r="C1500" t="e">
            <v>#N/A</v>
          </cell>
          <cell r="D1500" t="e">
            <v>#N/A</v>
          </cell>
          <cell r="E1500" t="e">
            <v>#N/A</v>
          </cell>
          <cell r="F1500" t="e">
            <v>#N/A</v>
          </cell>
          <cell r="G1500" t="e">
            <v>#N/A</v>
          </cell>
          <cell r="O1500" t="e">
            <v>#N/A</v>
          </cell>
          <cell r="S1500">
            <v>0</v>
          </cell>
          <cell r="T1500">
            <v>3138400</v>
          </cell>
          <cell r="U1500" t="str">
            <v>ya</v>
          </cell>
          <cell r="V1500" t="e">
            <v>#N/A</v>
          </cell>
          <cell r="W1500" t="e">
            <v>#N/A</v>
          </cell>
          <cell r="X1500" t="e">
            <v>#N/A</v>
          </cell>
          <cell r="Z1500">
            <v>0</v>
          </cell>
          <cell r="AB1500">
            <v>0</v>
          </cell>
          <cell r="AD1500">
            <v>0</v>
          </cell>
          <cell r="AF1500">
            <v>0</v>
          </cell>
        </row>
        <row r="1501">
          <cell r="A1501">
            <v>1500</v>
          </cell>
          <cell r="C1501" t="e">
            <v>#N/A</v>
          </cell>
          <cell r="D1501" t="e">
            <v>#N/A</v>
          </cell>
          <cell r="E1501" t="e">
            <v>#N/A</v>
          </cell>
          <cell r="F1501" t="e">
            <v>#N/A</v>
          </cell>
          <cell r="G1501" t="e">
            <v>#N/A</v>
          </cell>
          <cell r="O1501" t="e">
            <v>#N/A</v>
          </cell>
          <cell r="S1501">
            <v>0</v>
          </cell>
          <cell r="T1501">
            <v>3138400</v>
          </cell>
          <cell r="U1501" t="str">
            <v>ya</v>
          </cell>
          <cell r="V1501" t="e">
            <v>#N/A</v>
          </cell>
          <cell r="W1501" t="e">
            <v>#N/A</v>
          </cell>
          <cell r="X1501" t="e">
            <v>#N/A</v>
          </cell>
          <cell r="Z1501">
            <v>0</v>
          </cell>
          <cell r="AB1501">
            <v>0</v>
          </cell>
          <cell r="AD1501">
            <v>0</v>
          </cell>
          <cell r="AF1501">
            <v>0</v>
          </cell>
        </row>
        <row r="1502">
          <cell r="A1502">
            <v>1501</v>
          </cell>
          <cell r="C1502" t="e">
            <v>#N/A</v>
          </cell>
          <cell r="D1502" t="e">
            <v>#N/A</v>
          </cell>
          <cell r="E1502" t="e">
            <v>#N/A</v>
          </cell>
          <cell r="F1502" t="e">
            <v>#N/A</v>
          </cell>
          <cell r="G1502" t="e">
            <v>#N/A</v>
          </cell>
          <cell r="O1502" t="e">
            <v>#N/A</v>
          </cell>
          <cell r="S1502">
            <v>0</v>
          </cell>
          <cell r="T1502">
            <v>3138400</v>
          </cell>
          <cell r="U1502" t="str">
            <v>ya</v>
          </cell>
          <cell r="V1502" t="e">
            <v>#N/A</v>
          </cell>
          <cell r="W1502" t="e">
            <v>#N/A</v>
          </cell>
          <cell r="X1502" t="e">
            <v>#N/A</v>
          </cell>
          <cell r="Z1502">
            <v>0</v>
          </cell>
          <cell r="AB1502">
            <v>0</v>
          </cell>
          <cell r="AD1502">
            <v>0</v>
          </cell>
          <cell r="AF1502">
            <v>0</v>
          </cell>
        </row>
        <row r="1503">
          <cell r="A1503">
            <v>1502</v>
          </cell>
          <cell r="C1503" t="e">
            <v>#N/A</v>
          </cell>
          <cell r="D1503" t="e">
            <v>#N/A</v>
          </cell>
          <cell r="E1503" t="e">
            <v>#N/A</v>
          </cell>
          <cell r="F1503" t="e">
            <v>#N/A</v>
          </cell>
          <cell r="G1503" t="e">
            <v>#N/A</v>
          </cell>
          <cell r="O1503" t="e">
            <v>#N/A</v>
          </cell>
          <cell r="S1503">
            <v>0</v>
          </cell>
          <cell r="T1503">
            <v>3138400</v>
          </cell>
          <cell r="U1503" t="str">
            <v>ya</v>
          </cell>
          <cell r="V1503" t="e">
            <v>#N/A</v>
          </cell>
          <cell r="W1503" t="e">
            <v>#N/A</v>
          </cell>
          <cell r="X1503" t="e">
            <v>#N/A</v>
          </cell>
          <cell r="Z1503">
            <v>0</v>
          </cell>
          <cell r="AB1503">
            <v>0</v>
          </cell>
          <cell r="AD1503">
            <v>0</v>
          </cell>
          <cell r="AF1503">
            <v>0</v>
          </cell>
        </row>
        <row r="1504">
          <cell r="A1504">
            <v>1503</v>
          </cell>
          <cell r="C1504" t="e">
            <v>#N/A</v>
          </cell>
          <cell r="D1504" t="e">
            <v>#N/A</v>
          </cell>
          <cell r="E1504" t="e">
            <v>#N/A</v>
          </cell>
          <cell r="F1504" t="e">
            <v>#N/A</v>
          </cell>
          <cell r="G1504" t="e">
            <v>#N/A</v>
          </cell>
          <cell r="O1504" t="e">
            <v>#N/A</v>
          </cell>
          <cell r="S1504">
            <v>0</v>
          </cell>
          <cell r="T1504">
            <v>3138400</v>
          </cell>
          <cell r="V1504">
            <v>0</v>
          </cell>
          <cell r="W1504">
            <v>0</v>
          </cell>
          <cell r="X1504">
            <v>0</v>
          </cell>
          <cell r="Z1504">
            <v>0</v>
          </cell>
          <cell r="AB1504">
            <v>0</v>
          </cell>
          <cell r="AD1504">
            <v>0</v>
          </cell>
          <cell r="AF1504">
            <v>0</v>
          </cell>
        </row>
        <row r="1505">
          <cell r="A1505">
            <v>1504</v>
          </cell>
          <cell r="C1505" t="e">
            <v>#N/A</v>
          </cell>
          <cell r="D1505" t="e">
            <v>#N/A</v>
          </cell>
          <cell r="E1505" t="e">
            <v>#N/A</v>
          </cell>
          <cell r="F1505" t="e">
            <v>#N/A</v>
          </cell>
          <cell r="G1505" t="e">
            <v>#N/A</v>
          </cell>
          <cell r="O1505" t="e">
            <v>#N/A</v>
          </cell>
          <cell r="S1505">
            <v>0</v>
          </cell>
          <cell r="T1505">
            <v>3138400</v>
          </cell>
          <cell r="V1505">
            <v>0</v>
          </cell>
          <cell r="W1505">
            <v>0</v>
          </cell>
          <cell r="X1505">
            <v>0</v>
          </cell>
          <cell r="Z1505">
            <v>0</v>
          </cell>
          <cell r="AB1505">
            <v>0</v>
          </cell>
          <cell r="AD1505">
            <v>0</v>
          </cell>
          <cell r="AF1505">
            <v>0</v>
          </cell>
        </row>
        <row r="1506">
          <cell r="A1506">
            <v>1505</v>
          </cell>
          <cell r="C1506" t="e">
            <v>#N/A</v>
          </cell>
          <cell r="D1506" t="e">
            <v>#N/A</v>
          </cell>
          <cell r="E1506" t="e">
            <v>#N/A</v>
          </cell>
          <cell r="F1506" t="e">
            <v>#N/A</v>
          </cell>
          <cell r="G1506" t="e">
            <v>#N/A</v>
          </cell>
          <cell r="O1506" t="e">
            <v>#N/A</v>
          </cell>
          <cell r="S1506">
            <v>0</v>
          </cell>
          <cell r="T1506">
            <v>3138400</v>
          </cell>
          <cell r="V1506">
            <v>0</v>
          </cell>
          <cell r="W1506">
            <v>0</v>
          </cell>
          <cell r="X1506">
            <v>0</v>
          </cell>
          <cell r="Z1506">
            <v>0</v>
          </cell>
          <cell r="AB1506">
            <v>0</v>
          </cell>
          <cell r="AD1506">
            <v>0</v>
          </cell>
          <cell r="AF1506">
            <v>0</v>
          </cell>
        </row>
        <row r="1507">
          <cell r="A1507">
            <v>1506</v>
          </cell>
          <cell r="C1507" t="e">
            <v>#N/A</v>
          </cell>
          <cell r="D1507" t="e">
            <v>#N/A</v>
          </cell>
          <cell r="E1507" t="e">
            <v>#N/A</v>
          </cell>
          <cell r="F1507" t="e">
            <v>#N/A</v>
          </cell>
          <cell r="G1507" t="e">
            <v>#N/A</v>
          </cell>
          <cell r="O1507" t="e">
            <v>#N/A</v>
          </cell>
          <cell r="S1507">
            <v>0</v>
          </cell>
          <cell r="T1507">
            <v>3138400</v>
          </cell>
          <cell r="V1507">
            <v>0</v>
          </cell>
          <cell r="W1507">
            <v>0</v>
          </cell>
          <cell r="X1507">
            <v>0</v>
          </cell>
          <cell r="Z1507">
            <v>0</v>
          </cell>
          <cell r="AB1507">
            <v>0</v>
          </cell>
          <cell r="AD1507">
            <v>0</v>
          </cell>
          <cell r="AF1507">
            <v>0</v>
          </cell>
        </row>
        <row r="1508">
          <cell r="A1508">
            <v>1507</v>
          </cell>
          <cell r="C1508" t="e">
            <v>#N/A</v>
          </cell>
          <cell r="D1508" t="e">
            <v>#N/A</v>
          </cell>
          <cell r="E1508" t="e">
            <v>#N/A</v>
          </cell>
          <cell r="F1508" t="e">
            <v>#N/A</v>
          </cell>
          <cell r="G1508" t="e">
            <v>#N/A</v>
          </cell>
          <cell r="O1508" t="e">
            <v>#N/A</v>
          </cell>
          <cell r="S1508">
            <v>0</v>
          </cell>
          <cell r="T1508">
            <v>3138400</v>
          </cell>
          <cell r="U1508" t="str">
            <v>ya</v>
          </cell>
          <cell r="V1508" t="e">
            <v>#N/A</v>
          </cell>
          <cell r="W1508" t="e">
            <v>#N/A</v>
          </cell>
          <cell r="X1508" t="e">
            <v>#N/A</v>
          </cell>
          <cell r="Z1508">
            <v>0</v>
          </cell>
          <cell r="AB1508">
            <v>0</v>
          </cell>
          <cell r="AD1508">
            <v>0</v>
          </cell>
          <cell r="AF1508">
            <v>0</v>
          </cell>
        </row>
        <row r="1509">
          <cell r="A1509">
            <v>1508</v>
          </cell>
          <cell r="C1509" t="e">
            <v>#N/A</v>
          </cell>
          <cell r="D1509" t="e">
            <v>#N/A</v>
          </cell>
          <cell r="E1509" t="e">
            <v>#N/A</v>
          </cell>
          <cell r="F1509" t="e">
            <v>#N/A</v>
          </cell>
          <cell r="G1509" t="e">
            <v>#N/A</v>
          </cell>
          <cell r="O1509" t="e">
            <v>#N/A</v>
          </cell>
          <cell r="S1509">
            <v>0</v>
          </cell>
          <cell r="T1509">
            <v>3138400</v>
          </cell>
          <cell r="U1509" t="str">
            <v>ya</v>
          </cell>
          <cell r="V1509" t="e">
            <v>#N/A</v>
          </cell>
          <cell r="W1509" t="e">
            <v>#N/A</v>
          </cell>
          <cell r="X1509" t="e">
            <v>#N/A</v>
          </cell>
          <cell r="Z1509">
            <v>0</v>
          </cell>
          <cell r="AB1509">
            <v>0</v>
          </cell>
          <cell r="AD1509">
            <v>0</v>
          </cell>
          <cell r="AF1509">
            <v>0</v>
          </cell>
        </row>
        <row r="1510">
          <cell r="A1510">
            <v>1509</v>
          </cell>
          <cell r="C1510" t="e">
            <v>#N/A</v>
          </cell>
          <cell r="D1510" t="e">
            <v>#N/A</v>
          </cell>
          <cell r="E1510" t="e">
            <v>#N/A</v>
          </cell>
          <cell r="F1510" t="e">
            <v>#N/A</v>
          </cell>
          <cell r="G1510" t="e">
            <v>#N/A</v>
          </cell>
          <cell r="O1510" t="e">
            <v>#N/A</v>
          </cell>
          <cell r="S1510">
            <v>0</v>
          </cell>
          <cell r="T1510">
            <v>3138400</v>
          </cell>
          <cell r="U1510" t="str">
            <v>ya</v>
          </cell>
          <cell r="V1510" t="e">
            <v>#N/A</v>
          </cell>
          <cell r="W1510" t="e">
            <v>#N/A</v>
          </cell>
          <cell r="X1510" t="e">
            <v>#N/A</v>
          </cell>
          <cell r="Z1510">
            <v>0</v>
          </cell>
          <cell r="AB1510">
            <v>0</v>
          </cell>
          <cell r="AD1510">
            <v>0</v>
          </cell>
          <cell r="AF1510">
            <v>0</v>
          </cell>
        </row>
        <row r="1511">
          <cell r="A1511">
            <v>1510</v>
          </cell>
          <cell r="C1511" t="e">
            <v>#N/A</v>
          </cell>
          <cell r="D1511" t="e">
            <v>#N/A</v>
          </cell>
          <cell r="E1511" t="e">
            <v>#N/A</v>
          </cell>
          <cell r="F1511" t="e">
            <v>#N/A</v>
          </cell>
          <cell r="G1511" t="e">
            <v>#N/A</v>
          </cell>
          <cell r="O1511" t="e">
            <v>#N/A</v>
          </cell>
          <cell r="S1511">
            <v>0</v>
          </cell>
          <cell r="T1511">
            <v>3138400</v>
          </cell>
          <cell r="U1511" t="str">
            <v>ya</v>
          </cell>
          <cell r="V1511" t="e">
            <v>#N/A</v>
          </cell>
          <cell r="W1511" t="e">
            <v>#N/A</v>
          </cell>
          <cell r="X1511" t="e">
            <v>#N/A</v>
          </cell>
          <cell r="Z1511">
            <v>0</v>
          </cell>
          <cell r="AB1511">
            <v>0</v>
          </cell>
          <cell r="AD1511">
            <v>0</v>
          </cell>
          <cell r="AF1511">
            <v>0</v>
          </cell>
        </row>
        <row r="1512">
          <cell r="A1512">
            <v>1511</v>
          </cell>
          <cell r="C1512" t="e">
            <v>#N/A</v>
          </cell>
          <cell r="D1512" t="e">
            <v>#N/A</v>
          </cell>
          <cell r="E1512" t="e">
            <v>#N/A</v>
          </cell>
          <cell r="F1512" t="e">
            <v>#N/A</v>
          </cell>
          <cell r="G1512" t="e">
            <v>#N/A</v>
          </cell>
          <cell r="O1512" t="e">
            <v>#N/A</v>
          </cell>
          <cell r="S1512">
            <v>0</v>
          </cell>
          <cell r="T1512">
            <v>3138400</v>
          </cell>
          <cell r="V1512">
            <v>0</v>
          </cell>
          <cell r="W1512">
            <v>0</v>
          </cell>
          <cell r="X1512">
            <v>0</v>
          </cell>
          <cell r="Z1512">
            <v>0</v>
          </cell>
          <cell r="AB1512">
            <v>0</v>
          </cell>
          <cell r="AD1512">
            <v>0</v>
          </cell>
          <cell r="AF1512">
            <v>0</v>
          </cell>
        </row>
        <row r="1513">
          <cell r="A1513">
            <v>1512</v>
          </cell>
          <cell r="C1513" t="e">
            <v>#N/A</v>
          </cell>
          <cell r="D1513" t="e">
            <v>#N/A</v>
          </cell>
          <cell r="E1513" t="e">
            <v>#N/A</v>
          </cell>
          <cell r="F1513" t="e">
            <v>#N/A</v>
          </cell>
          <cell r="G1513" t="e">
            <v>#N/A</v>
          </cell>
          <cell r="O1513" t="e">
            <v>#N/A</v>
          </cell>
          <cell r="S1513">
            <v>0</v>
          </cell>
          <cell r="T1513">
            <v>3138400</v>
          </cell>
          <cell r="U1513" t="str">
            <v>ya</v>
          </cell>
          <cell r="V1513" t="e">
            <v>#N/A</v>
          </cell>
          <cell r="W1513" t="e">
            <v>#N/A</v>
          </cell>
          <cell r="X1513" t="e">
            <v>#N/A</v>
          </cell>
          <cell r="Z1513">
            <v>0</v>
          </cell>
          <cell r="AB1513">
            <v>0</v>
          </cell>
          <cell r="AD1513">
            <v>0</v>
          </cell>
          <cell r="AF1513">
            <v>0</v>
          </cell>
        </row>
        <row r="1514">
          <cell r="A1514">
            <v>1513</v>
          </cell>
          <cell r="C1514" t="e">
            <v>#N/A</v>
          </cell>
          <cell r="D1514" t="e">
            <v>#N/A</v>
          </cell>
          <cell r="E1514" t="e">
            <v>#N/A</v>
          </cell>
          <cell r="F1514" t="e">
            <v>#N/A</v>
          </cell>
          <cell r="G1514" t="e">
            <v>#N/A</v>
          </cell>
          <cell r="O1514" t="e">
            <v>#N/A</v>
          </cell>
          <cell r="S1514">
            <v>0</v>
          </cell>
          <cell r="T1514">
            <v>3138400</v>
          </cell>
          <cell r="U1514" t="str">
            <v>ya</v>
          </cell>
          <cell r="V1514" t="e">
            <v>#N/A</v>
          </cell>
          <cell r="W1514" t="e">
            <v>#N/A</v>
          </cell>
          <cell r="X1514" t="e">
            <v>#N/A</v>
          </cell>
          <cell r="Z1514">
            <v>0</v>
          </cell>
          <cell r="AB1514">
            <v>0</v>
          </cell>
          <cell r="AD1514">
            <v>0</v>
          </cell>
          <cell r="AF1514">
            <v>0</v>
          </cell>
        </row>
        <row r="1515">
          <cell r="A1515">
            <v>1514</v>
          </cell>
          <cell r="C1515" t="e">
            <v>#N/A</v>
          </cell>
          <cell r="D1515" t="e">
            <v>#N/A</v>
          </cell>
          <cell r="E1515" t="e">
            <v>#N/A</v>
          </cell>
          <cell r="F1515" t="e">
            <v>#N/A</v>
          </cell>
          <cell r="G1515" t="e">
            <v>#N/A</v>
          </cell>
          <cell r="O1515" t="e">
            <v>#N/A</v>
          </cell>
          <cell r="S1515">
            <v>0</v>
          </cell>
          <cell r="T1515">
            <v>3138400</v>
          </cell>
          <cell r="V1515">
            <v>0</v>
          </cell>
          <cell r="W1515">
            <v>0</v>
          </cell>
          <cell r="X1515">
            <v>0</v>
          </cell>
          <cell r="Z1515">
            <v>0</v>
          </cell>
          <cell r="AB1515">
            <v>0</v>
          </cell>
          <cell r="AD1515">
            <v>0</v>
          </cell>
          <cell r="AF1515">
            <v>0</v>
          </cell>
        </row>
        <row r="1516">
          <cell r="A1516">
            <v>1515</v>
          </cell>
          <cell r="C1516" t="e">
            <v>#N/A</v>
          </cell>
          <cell r="D1516" t="e">
            <v>#N/A</v>
          </cell>
          <cell r="E1516" t="e">
            <v>#N/A</v>
          </cell>
          <cell r="F1516" t="e">
            <v>#N/A</v>
          </cell>
          <cell r="G1516" t="e">
            <v>#N/A</v>
          </cell>
          <cell r="O1516" t="e">
            <v>#N/A</v>
          </cell>
          <cell r="S1516">
            <v>0</v>
          </cell>
          <cell r="T1516">
            <v>3138400</v>
          </cell>
          <cell r="V1516">
            <v>0</v>
          </cell>
          <cell r="W1516">
            <v>0</v>
          </cell>
          <cell r="X1516">
            <v>0</v>
          </cell>
          <cell r="Z1516">
            <v>0</v>
          </cell>
          <cell r="AB1516">
            <v>0</v>
          </cell>
          <cell r="AD1516">
            <v>0</v>
          </cell>
          <cell r="AF1516">
            <v>0</v>
          </cell>
        </row>
        <row r="1517">
          <cell r="A1517">
            <v>1516</v>
          </cell>
          <cell r="C1517" t="e">
            <v>#N/A</v>
          </cell>
          <cell r="D1517" t="e">
            <v>#N/A</v>
          </cell>
          <cell r="E1517" t="e">
            <v>#N/A</v>
          </cell>
          <cell r="F1517" t="e">
            <v>#N/A</v>
          </cell>
          <cell r="G1517" t="e">
            <v>#N/A</v>
          </cell>
          <cell r="O1517" t="e">
            <v>#N/A</v>
          </cell>
          <cell r="S1517">
            <v>0</v>
          </cell>
          <cell r="T1517">
            <v>3138400</v>
          </cell>
          <cell r="V1517">
            <v>0</v>
          </cell>
          <cell r="W1517">
            <v>0</v>
          </cell>
          <cell r="X1517">
            <v>0</v>
          </cell>
          <cell r="Z1517">
            <v>0</v>
          </cell>
          <cell r="AB1517">
            <v>0</v>
          </cell>
          <cell r="AD1517">
            <v>0</v>
          </cell>
          <cell r="AF1517">
            <v>0</v>
          </cell>
        </row>
        <row r="1518">
          <cell r="A1518">
            <v>1517</v>
          </cell>
          <cell r="C1518" t="e">
            <v>#N/A</v>
          </cell>
          <cell r="D1518" t="e">
            <v>#N/A</v>
          </cell>
          <cell r="E1518" t="e">
            <v>#N/A</v>
          </cell>
          <cell r="F1518" t="e">
            <v>#N/A</v>
          </cell>
          <cell r="G1518" t="e">
            <v>#N/A</v>
          </cell>
          <cell r="O1518" t="e">
            <v>#N/A</v>
          </cell>
          <cell r="S1518">
            <v>0</v>
          </cell>
          <cell r="T1518">
            <v>3138400</v>
          </cell>
          <cell r="U1518" t="str">
            <v>ya</v>
          </cell>
          <cell r="V1518" t="e">
            <v>#N/A</v>
          </cell>
          <cell r="W1518" t="e">
            <v>#N/A</v>
          </cell>
          <cell r="X1518" t="e">
            <v>#N/A</v>
          </cell>
          <cell r="Z1518">
            <v>0</v>
          </cell>
          <cell r="AB1518">
            <v>0</v>
          </cell>
          <cell r="AD1518">
            <v>0</v>
          </cell>
          <cell r="AF1518">
            <v>0</v>
          </cell>
        </row>
        <row r="1519">
          <cell r="A1519">
            <v>1518</v>
          </cell>
          <cell r="C1519" t="e">
            <v>#N/A</v>
          </cell>
          <cell r="D1519" t="e">
            <v>#N/A</v>
          </cell>
          <cell r="E1519" t="e">
            <v>#N/A</v>
          </cell>
          <cell r="F1519" t="e">
            <v>#N/A</v>
          </cell>
          <cell r="G1519" t="e">
            <v>#N/A</v>
          </cell>
          <cell r="O1519" t="e">
            <v>#N/A</v>
          </cell>
          <cell r="S1519">
            <v>0</v>
          </cell>
          <cell r="T1519">
            <v>3138400</v>
          </cell>
          <cell r="U1519" t="str">
            <v>ya</v>
          </cell>
          <cell r="V1519" t="e">
            <v>#N/A</v>
          </cell>
          <cell r="W1519" t="e">
            <v>#N/A</v>
          </cell>
          <cell r="X1519" t="e">
            <v>#N/A</v>
          </cell>
          <cell r="Z1519">
            <v>0</v>
          </cell>
          <cell r="AB1519">
            <v>0</v>
          </cell>
          <cell r="AD1519">
            <v>0</v>
          </cell>
          <cell r="AF1519">
            <v>0</v>
          </cell>
        </row>
        <row r="1520">
          <cell r="A1520">
            <v>1519</v>
          </cell>
          <cell r="C1520" t="e">
            <v>#N/A</v>
          </cell>
          <cell r="D1520" t="e">
            <v>#N/A</v>
          </cell>
          <cell r="E1520" t="e">
            <v>#N/A</v>
          </cell>
          <cell r="F1520" t="e">
            <v>#N/A</v>
          </cell>
          <cell r="G1520" t="e">
            <v>#N/A</v>
          </cell>
          <cell r="O1520" t="e">
            <v>#N/A</v>
          </cell>
          <cell r="S1520">
            <v>0</v>
          </cell>
          <cell r="T1520">
            <v>3138400</v>
          </cell>
          <cell r="U1520" t="str">
            <v>ya</v>
          </cell>
          <cell r="V1520" t="e">
            <v>#N/A</v>
          </cell>
          <cell r="W1520" t="e">
            <v>#N/A</v>
          </cell>
          <cell r="X1520" t="e">
            <v>#N/A</v>
          </cell>
          <cell r="Z1520">
            <v>0</v>
          </cell>
          <cell r="AB1520">
            <v>0</v>
          </cell>
          <cell r="AD1520">
            <v>0</v>
          </cell>
          <cell r="AF1520">
            <v>0</v>
          </cell>
        </row>
        <row r="1521">
          <cell r="A1521">
            <v>1520</v>
          </cell>
          <cell r="C1521" t="e">
            <v>#N/A</v>
          </cell>
          <cell r="D1521" t="e">
            <v>#N/A</v>
          </cell>
          <cell r="E1521" t="e">
            <v>#N/A</v>
          </cell>
          <cell r="F1521" t="e">
            <v>#N/A</v>
          </cell>
          <cell r="G1521" t="e">
            <v>#N/A</v>
          </cell>
          <cell r="O1521" t="e">
            <v>#N/A</v>
          </cell>
          <cell r="S1521">
            <v>0</v>
          </cell>
          <cell r="T1521">
            <v>3138400</v>
          </cell>
          <cell r="U1521" t="str">
            <v>ya</v>
          </cell>
          <cell r="V1521" t="e">
            <v>#N/A</v>
          </cell>
          <cell r="W1521" t="e">
            <v>#N/A</v>
          </cell>
          <cell r="X1521" t="e">
            <v>#N/A</v>
          </cell>
          <cell r="Z1521">
            <v>0</v>
          </cell>
          <cell r="AB1521">
            <v>0</v>
          </cell>
          <cell r="AD1521">
            <v>0</v>
          </cell>
          <cell r="AF1521">
            <v>0</v>
          </cell>
        </row>
        <row r="1522">
          <cell r="A1522">
            <v>1521</v>
          </cell>
          <cell r="C1522" t="e">
            <v>#N/A</v>
          </cell>
          <cell r="D1522" t="e">
            <v>#N/A</v>
          </cell>
          <cell r="E1522" t="e">
            <v>#N/A</v>
          </cell>
          <cell r="F1522" t="e">
            <v>#N/A</v>
          </cell>
          <cell r="G1522" t="e">
            <v>#N/A</v>
          </cell>
          <cell r="O1522" t="e">
            <v>#N/A</v>
          </cell>
          <cell r="S1522">
            <v>0</v>
          </cell>
          <cell r="T1522">
            <v>3138400</v>
          </cell>
          <cell r="V1522">
            <v>0</v>
          </cell>
          <cell r="W1522">
            <v>0</v>
          </cell>
          <cell r="X1522">
            <v>0</v>
          </cell>
          <cell r="Z1522">
            <v>0</v>
          </cell>
          <cell r="AB1522">
            <v>0</v>
          </cell>
          <cell r="AD1522">
            <v>0</v>
          </cell>
          <cell r="AF1522">
            <v>0</v>
          </cell>
        </row>
        <row r="1523">
          <cell r="A1523">
            <v>1522</v>
          </cell>
          <cell r="C1523" t="e">
            <v>#N/A</v>
          </cell>
          <cell r="D1523" t="e">
            <v>#N/A</v>
          </cell>
          <cell r="E1523" t="e">
            <v>#N/A</v>
          </cell>
          <cell r="F1523" t="e">
            <v>#N/A</v>
          </cell>
          <cell r="G1523" t="e">
            <v>#N/A</v>
          </cell>
          <cell r="O1523" t="e">
            <v>#N/A</v>
          </cell>
          <cell r="S1523">
            <v>0</v>
          </cell>
          <cell r="T1523">
            <v>3138400</v>
          </cell>
          <cell r="V1523">
            <v>0</v>
          </cell>
          <cell r="W1523">
            <v>0</v>
          </cell>
          <cell r="X1523">
            <v>0</v>
          </cell>
          <cell r="Z1523">
            <v>0</v>
          </cell>
          <cell r="AB1523">
            <v>0</v>
          </cell>
          <cell r="AD1523">
            <v>0</v>
          </cell>
          <cell r="AF1523">
            <v>0</v>
          </cell>
        </row>
        <row r="1524">
          <cell r="A1524">
            <v>1523</v>
          </cell>
          <cell r="C1524" t="e">
            <v>#N/A</v>
          </cell>
          <cell r="D1524" t="e">
            <v>#N/A</v>
          </cell>
          <cell r="E1524" t="e">
            <v>#N/A</v>
          </cell>
          <cell r="F1524" t="e">
            <v>#N/A</v>
          </cell>
          <cell r="G1524" t="e">
            <v>#N/A</v>
          </cell>
          <cell r="O1524" t="e">
            <v>#N/A</v>
          </cell>
          <cell r="S1524">
            <v>0</v>
          </cell>
          <cell r="T1524">
            <v>3138400</v>
          </cell>
          <cell r="V1524">
            <v>0</v>
          </cell>
          <cell r="W1524">
            <v>0</v>
          </cell>
          <cell r="X1524">
            <v>0</v>
          </cell>
          <cell r="Z1524">
            <v>0</v>
          </cell>
          <cell r="AB1524">
            <v>0</v>
          </cell>
          <cell r="AD1524">
            <v>0</v>
          </cell>
          <cell r="AF1524">
            <v>0</v>
          </cell>
        </row>
        <row r="1525">
          <cell r="A1525">
            <v>1524</v>
          </cell>
          <cell r="C1525" t="e">
            <v>#N/A</v>
          </cell>
          <cell r="D1525" t="e">
            <v>#N/A</v>
          </cell>
          <cell r="E1525" t="e">
            <v>#N/A</v>
          </cell>
          <cell r="F1525" t="e">
            <v>#N/A</v>
          </cell>
          <cell r="G1525" t="e">
            <v>#N/A</v>
          </cell>
          <cell r="O1525" t="e">
            <v>#N/A</v>
          </cell>
          <cell r="S1525">
            <v>0</v>
          </cell>
          <cell r="T1525">
            <v>3138400</v>
          </cell>
          <cell r="V1525">
            <v>0</v>
          </cell>
          <cell r="W1525">
            <v>0</v>
          </cell>
          <cell r="X1525">
            <v>0</v>
          </cell>
          <cell r="Z1525">
            <v>0</v>
          </cell>
          <cell r="AB1525">
            <v>0</v>
          </cell>
          <cell r="AD1525">
            <v>0</v>
          </cell>
          <cell r="AF1525">
            <v>0</v>
          </cell>
        </row>
        <row r="1526">
          <cell r="A1526">
            <v>1525</v>
          </cell>
          <cell r="C1526" t="e">
            <v>#N/A</v>
          </cell>
          <cell r="D1526" t="e">
            <v>#N/A</v>
          </cell>
          <cell r="E1526" t="e">
            <v>#N/A</v>
          </cell>
          <cell r="F1526" t="e">
            <v>#N/A</v>
          </cell>
          <cell r="G1526" t="e">
            <v>#N/A</v>
          </cell>
          <cell r="O1526" t="e">
            <v>#N/A</v>
          </cell>
          <cell r="S1526">
            <v>0</v>
          </cell>
          <cell r="T1526">
            <v>3138400</v>
          </cell>
          <cell r="V1526">
            <v>0</v>
          </cell>
          <cell r="W1526">
            <v>0</v>
          </cell>
          <cell r="X1526">
            <v>0</v>
          </cell>
          <cell r="Z1526">
            <v>0</v>
          </cell>
          <cell r="AB1526">
            <v>0</v>
          </cell>
          <cell r="AD1526">
            <v>0</v>
          </cell>
          <cell r="AF1526">
            <v>0</v>
          </cell>
        </row>
        <row r="1527">
          <cell r="A1527">
            <v>1526</v>
          </cell>
          <cell r="C1527" t="e">
            <v>#N/A</v>
          </cell>
          <cell r="D1527" t="e">
            <v>#N/A</v>
          </cell>
          <cell r="E1527" t="e">
            <v>#N/A</v>
          </cell>
          <cell r="F1527" t="e">
            <v>#N/A</v>
          </cell>
          <cell r="G1527" t="e">
            <v>#N/A</v>
          </cell>
          <cell r="O1527" t="e">
            <v>#N/A</v>
          </cell>
          <cell r="S1527">
            <v>0</v>
          </cell>
          <cell r="T1527">
            <v>3138400</v>
          </cell>
          <cell r="V1527">
            <v>0</v>
          </cell>
          <cell r="W1527">
            <v>0</v>
          </cell>
          <cell r="X1527">
            <v>0</v>
          </cell>
          <cell r="Z1527">
            <v>0</v>
          </cell>
          <cell r="AB1527">
            <v>0</v>
          </cell>
          <cell r="AD1527">
            <v>0</v>
          </cell>
          <cell r="AF1527">
            <v>0</v>
          </cell>
        </row>
        <row r="1528">
          <cell r="A1528">
            <v>1527</v>
          </cell>
          <cell r="C1528" t="e">
            <v>#N/A</v>
          </cell>
          <cell r="D1528" t="e">
            <v>#N/A</v>
          </cell>
          <cell r="E1528" t="e">
            <v>#N/A</v>
          </cell>
          <cell r="F1528" t="e">
            <v>#N/A</v>
          </cell>
          <cell r="G1528" t="e">
            <v>#N/A</v>
          </cell>
          <cell r="O1528" t="e">
            <v>#N/A</v>
          </cell>
          <cell r="S1528">
            <v>0</v>
          </cell>
          <cell r="T1528">
            <v>3138400</v>
          </cell>
          <cell r="V1528">
            <v>0</v>
          </cell>
          <cell r="W1528">
            <v>0</v>
          </cell>
          <cell r="X1528">
            <v>0</v>
          </cell>
          <cell r="Z1528">
            <v>0</v>
          </cell>
          <cell r="AB1528">
            <v>0</v>
          </cell>
          <cell r="AD1528">
            <v>0</v>
          </cell>
          <cell r="AF1528">
            <v>0</v>
          </cell>
        </row>
        <row r="1529">
          <cell r="A1529">
            <v>1528</v>
          </cell>
          <cell r="C1529" t="e">
            <v>#N/A</v>
          </cell>
          <cell r="D1529" t="e">
            <v>#N/A</v>
          </cell>
          <cell r="E1529" t="e">
            <v>#N/A</v>
          </cell>
          <cell r="F1529" t="e">
            <v>#N/A</v>
          </cell>
          <cell r="G1529" t="e">
            <v>#N/A</v>
          </cell>
          <cell r="O1529" t="e">
            <v>#N/A</v>
          </cell>
          <cell r="S1529">
            <v>0</v>
          </cell>
          <cell r="T1529">
            <v>3138400</v>
          </cell>
          <cell r="V1529">
            <v>0</v>
          </cell>
          <cell r="W1529">
            <v>0</v>
          </cell>
          <cell r="X1529">
            <v>0</v>
          </cell>
          <cell r="Z1529">
            <v>0</v>
          </cell>
          <cell r="AB1529">
            <v>0</v>
          </cell>
          <cell r="AD1529">
            <v>0</v>
          </cell>
          <cell r="AF1529">
            <v>0</v>
          </cell>
        </row>
        <row r="1530">
          <cell r="A1530">
            <v>1529</v>
          </cell>
          <cell r="C1530" t="e">
            <v>#N/A</v>
          </cell>
          <cell r="D1530" t="e">
            <v>#N/A</v>
          </cell>
          <cell r="E1530" t="e">
            <v>#N/A</v>
          </cell>
          <cell r="F1530" t="e">
            <v>#N/A</v>
          </cell>
          <cell r="G1530" t="e">
            <v>#N/A</v>
          </cell>
          <cell r="O1530" t="e">
            <v>#N/A</v>
          </cell>
          <cell r="S1530">
            <v>0</v>
          </cell>
          <cell r="T1530">
            <v>3138400</v>
          </cell>
          <cell r="V1530">
            <v>0</v>
          </cell>
          <cell r="W1530">
            <v>0</v>
          </cell>
          <cell r="X1530">
            <v>0</v>
          </cell>
          <cell r="Z1530">
            <v>0</v>
          </cell>
          <cell r="AB1530">
            <v>0</v>
          </cell>
          <cell r="AD1530">
            <v>0</v>
          </cell>
          <cell r="AF1530">
            <v>0</v>
          </cell>
        </row>
        <row r="1531">
          <cell r="A1531">
            <v>1530</v>
          </cell>
          <cell r="C1531" t="e">
            <v>#N/A</v>
          </cell>
          <cell r="D1531" t="e">
            <v>#N/A</v>
          </cell>
          <cell r="E1531" t="e">
            <v>#N/A</v>
          </cell>
          <cell r="F1531" t="e">
            <v>#N/A</v>
          </cell>
          <cell r="G1531" t="e">
            <v>#N/A</v>
          </cell>
          <cell r="O1531" t="e">
            <v>#N/A</v>
          </cell>
          <cell r="S1531">
            <v>0</v>
          </cell>
          <cell r="T1531">
            <v>3138400</v>
          </cell>
          <cell r="V1531">
            <v>0</v>
          </cell>
          <cell r="W1531">
            <v>0</v>
          </cell>
          <cell r="X1531">
            <v>0</v>
          </cell>
          <cell r="Z1531">
            <v>0</v>
          </cell>
          <cell r="AB1531">
            <v>0</v>
          </cell>
          <cell r="AD1531">
            <v>0</v>
          </cell>
          <cell r="AF1531">
            <v>0</v>
          </cell>
        </row>
        <row r="1532">
          <cell r="A1532">
            <v>1531</v>
          </cell>
          <cell r="C1532" t="e">
            <v>#N/A</v>
          </cell>
          <cell r="D1532" t="e">
            <v>#N/A</v>
          </cell>
          <cell r="E1532" t="e">
            <v>#N/A</v>
          </cell>
          <cell r="F1532" t="e">
            <v>#N/A</v>
          </cell>
          <cell r="G1532" t="e">
            <v>#N/A</v>
          </cell>
          <cell r="O1532" t="e">
            <v>#N/A</v>
          </cell>
          <cell r="S1532">
            <v>0</v>
          </cell>
          <cell r="T1532">
            <v>3138400</v>
          </cell>
          <cell r="V1532">
            <v>0</v>
          </cell>
          <cell r="W1532">
            <v>0</v>
          </cell>
          <cell r="X1532">
            <v>0</v>
          </cell>
          <cell r="Z1532">
            <v>0</v>
          </cell>
          <cell r="AB1532">
            <v>0</v>
          </cell>
          <cell r="AD1532">
            <v>0</v>
          </cell>
          <cell r="AF1532">
            <v>0</v>
          </cell>
        </row>
        <row r="1533">
          <cell r="A1533">
            <v>1532</v>
          </cell>
          <cell r="C1533" t="e">
            <v>#N/A</v>
          </cell>
          <cell r="D1533" t="e">
            <v>#N/A</v>
          </cell>
          <cell r="E1533" t="e">
            <v>#N/A</v>
          </cell>
          <cell r="F1533" t="e">
            <v>#N/A</v>
          </cell>
          <cell r="G1533" t="e">
            <v>#N/A</v>
          </cell>
          <cell r="O1533" t="e">
            <v>#N/A</v>
          </cell>
          <cell r="S1533">
            <v>0</v>
          </cell>
          <cell r="T1533">
            <v>3138400</v>
          </cell>
          <cell r="U1533" t="str">
            <v>ya</v>
          </cell>
          <cell r="V1533" t="e">
            <v>#N/A</v>
          </cell>
          <cell r="W1533" t="e">
            <v>#N/A</v>
          </cell>
          <cell r="X1533" t="e">
            <v>#N/A</v>
          </cell>
          <cell r="Z1533">
            <v>0</v>
          </cell>
          <cell r="AB1533">
            <v>0</v>
          </cell>
          <cell r="AD1533">
            <v>0</v>
          </cell>
          <cell r="AF1533">
            <v>0</v>
          </cell>
        </row>
        <row r="1534">
          <cell r="A1534">
            <v>1533</v>
          </cell>
          <cell r="C1534" t="e">
            <v>#N/A</v>
          </cell>
          <cell r="D1534" t="e">
            <v>#N/A</v>
          </cell>
          <cell r="E1534" t="e">
            <v>#N/A</v>
          </cell>
          <cell r="F1534" t="e">
            <v>#N/A</v>
          </cell>
          <cell r="G1534" t="e">
            <v>#N/A</v>
          </cell>
          <cell r="O1534" t="e">
            <v>#N/A</v>
          </cell>
          <cell r="S1534">
            <v>0</v>
          </cell>
          <cell r="T1534">
            <v>3138400</v>
          </cell>
          <cell r="V1534">
            <v>0</v>
          </cell>
          <cell r="W1534">
            <v>0</v>
          </cell>
          <cell r="X1534">
            <v>0</v>
          </cell>
          <cell r="Z1534">
            <v>0</v>
          </cell>
          <cell r="AB1534">
            <v>0</v>
          </cell>
          <cell r="AD1534">
            <v>0</v>
          </cell>
          <cell r="AF1534">
            <v>0</v>
          </cell>
        </row>
        <row r="1535">
          <cell r="A1535">
            <v>1534</v>
          </cell>
          <cell r="C1535" t="e">
            <v>#N/A</v>
          </cell>
          <cell r="D1535" t="e">
            <v>#N/A</v>
          </cell>
          <cell r="E1535" t="e">
            <v>#N/A</v>
          </cell>
          <cell r="F1535" t="e">
            <v>#N/A</v>
          </cell>
          <cell r="G1535" t="e">
            <v>#N/A</v>
          </cell>
          <cell r="O1535" t="e">
            <v>#N/A</v>
          </cell>
          <cell r="S1535">
            <v>0</v>
          </cell>
          <cell r="T1535">
            <v>3138400</v>
          </cell>
          <cell r="V1535">
            <v>0</v>
          </cell>
          <cell r="W1535">
            <v>0</v>
          </cell>
          <cell r="X1535">
            <v>0</v>
          </cell>
          <cell r="Z1535">
            <v>0</v>
          </cell>
          <cell r="AB1535">
            <v>0</v>
          </cell>
          <cell r="AD1535">
            <v>0</v>
          </cell>
          <cell r="AF1535">
            <v>0</v>
          </cell>
        </row>
        <row r="1536">
          <cell r="A1536">
            <v>1535</v>
          </cell>
          <cell r="C1536" t="e">
            <v>#N/A</v>
          </cell>
          <cell r="D1536" t="e">
            <v>#N/A</v>
          </cell>
          <cell r="E1536" t="e">
            <v>#N/A</v>
          </cell>
          <cell r="F1536" t="e">
            <v>#N/A</v>
          </cell>
          <cell r="G1536" t="e">
            <v>#N/A</v>
          </cell>
          <cell r="O1536" t="e">
            <v>#N/A</v>
          </cell>
          <cell r="S1536">
            <v>0</v>
          </cell>
          <cell r="T1536">
            <v>3138400</v>
          </cell>
          <cell r="V1536">
            <v>0</v>
          </cell>
          <cell r="W1536">
            <v>0</v>
          </cell>
          <cell r="X1536">
            <v>0</v>
          </cell>
          <cell r="Z1536">
            <v>0</v>
          </cell>
          <cell r="AB1536">
            <v>0</v>
          </cell>
          <cell r="AD1536">
            <v>0</v>
          </cell>
          <cell r="AF1536">
            <v>0</v>
          </cell>
        </row>
        <row r="1537">
          <cell r="A1537">
            <v>1536</v>
          </cell>
          <cell r="C1537" t="e">
            <v>#N/A</v>
          </cell>
          <cell r="D1537" t="e">
            <v>#N/A</v>
          </cell>
          <cell r="E1537" t="e">
            <v>#N/A</v>
          </cell>
          <cell r="F1537" t="e">
            <v>#N/A</v>
          </cell>
          <cell r="G1537" t="e">
            <v>#N/A</v>
          </cell>
          <cell r="O1537" t="e">
            <v>#N/A</v>
          </cell>
          <cell r="S1537">
            <v>0</v>
          </cell>
          <cell r="T1537">
            <v>3138400</v>
          </cell>
          <cell r="V1537">
            <v>0</v>
          </cell>
          <cell r="W1537">
            <v>0</v>
          </cell>
          <cell r="X1537">
            <v>0</v>
          </cell>
          <cell r="Z1537">
            <v>0</v>
          </cell>
          <cell r="AB1537">
            <v>0</v>
          </cell>
          <cell r="AD1537">
            <v>0</v>
          </cell>
          <cell r="AF1537">
            <v>0</v>
          </cell>
        </row>
        <row r="1538">
          <cell r="A1538">
            <v>1537</v>
          </cell>
          <cell r="C1538" t="e">
            <v>#N/A</v>
          </cell>
          <cell r="D1538" t="e">
            <v>#N/A</v>
          </cell>
          <cell r="E1538" t="e">
            <v>#N/A</v>
          </cell>
          <cell r="F1538" t="e">
            <v>#N/A</v>
          </cell>
          <cell r="G1538" t="e">
            <v>#N/A</v>
          </cell>
          <cell r="O1538" t="e">
            <v>#N/A</v>
          </cell>
          <cell r="S1538">
            <v>0</v>
          </cell>
          <cell r="T1538">
            <v>3138400</v>
          </cell>
          <cell r="V1538">
            <v>0</v>
          </cell>
          <cell r="W1538">
            <v>0</v>
          </cell>
          <cell r="X1538">
            <v>0</v>
          </cell>
          <cell r="Z1538">
            <v>0</v>
          </cell>
          <cell r="AB1538">
            <v>0</v>
          </cell>
          <cell r="AD1538">
            <v>0</v>
          </cell>
          <cell r="AF1538">
            <v>0</v>
          </cell>
        </row>
        <row r="1539">
          <cell r="A1539">
            <v>1538</v>
          </cell>
          <cell r="C1539" t="e">
            <v>#N/A</v>
          </cell>
          <cell r="D1539" t="e">
            <v>#N/A</v>
          </cell>
          <cell r="E1539" t="e">
            <v>#N/A</v>
          </cell>
          <cell r="F1539" t="e">
            <v>#N/A</v>
          </cell>
          <cell r="G1539" t="e">
            <v>#N/A</v>
          </cell>
          <cell r="O1539" t="e">
            <v>#N/A</v>
          </cell>
          <cell r="S1539">
            <v>0</v>
          </cell>
          <cell r="T1539">
            <v>3138400</v>
          </cell>
          <cell r="V1539">
            <v>0</v>
          </cell>
          <cell r="W1539">
            <v>0</v>
          </cell>
          <cell r="X1539">
            <v>0</v>
          </cell>
          <cell r="Z1539">
            <v>0</v>
          </cell>
          <cell r="AB1539">
            <v>0</v>
          </cell>
          <cell r="AD1539">
            <v>0</v>
          </cell>
          <cell r="AF1539">
            <v>0</v>
          </cell>
        </row>
        <row r="1540">
          <cell r="A1540">
            <v>1539</v>
          </cell>
          <cell r="C1540" t="e">
            <v>#N/A</v>
          </cell>
          <cell r="D1540" t="e">
            <v>#N/A</v>
          </cell>
          <cell r="E1540" t="e">
            <v>#N/A</v>
          </cell>
          <cell r="F1540" t="e">
            <v>#N/A</v>
          </cell>
          <cell r="G1540" t="e">
            <v>#N/A</v>
          </cell>
          <cell r="O1540" t="e">
            <v>#N/A</v>
          </cell>
          <cell r="S1540">
            <v>0</v>
          </cell>
          <cell r="T1540">
            <v>3138400</v>
          </cell>
          <cell r="U1540" t="str">
            <v>ya</v>
          </cell>
          <cell r="V1540" t="e">
            <v>#N/A</v>
          </cell>
          <cell r="W1540" t="e">
            <v>#N/A</v>
          </cell>
          <cell r="X1540" t="e">
            <v>#N/A</v>
          </cell>
          <cell r="Z1540">
            <v>0</v>
          </cell>
          <cell r="AB1540">
            <v>0</v>
          </cell>
          <cell r="AD1540">
            <v>0</v>
          </cell>
          <cell r="AF1540">
            <v>0</v>
          </cell>
        </row>
        <row r="1541">
          <cell r="A1541">
            <v>1540</v>
          </cell>
          <cell r="C1541" t="e">
            <v>#N/A</v>
          </cell>
          <cell r="D1541" t="e">
            <v>#N/A</v>
          </cell>
          <cell r="E1541" t="e">
            <v>#N/A</v>
          </cell>
          <cell r="F1541" t="e">
            <v>#N/A</v>
          </cell>
          <cell r="G1541" t="e">
            <v>#N/A</v>
          </cell>
          <cell r="O1541" t="e">
            <v>#N/A</v>
          </cell>
          <cell r="S1541">
            <v>0</v>
          </cell>
          <cell r="T1541">
            <v>3138400</v>
          </cell>
          <cell r="U1541" t="str">
            <v>ya</v>
          </cell>
          <cell r="V1541" t="e">
            <v>#N/A</v>
          </cell>
          <cell r="W1541" t="e">
            <v>#N/A</v>
          </cell>
          <cell r="X1541" t="e">
            <v>#N/A</v>
          </cell>
          <cell r="Z1541">
            <v>0</v>
          </cell>
          <cell r="AB1541">
            <v>0</v>
          </cell>
          <cell r="AD1541">
            <v>0</v>
          </cell>
          <cell r="AF1541">
            <v>0</v>
          </cell>
        </row>
        <row r="1542">
          <cell r="A1542">
            <v>1541</v>
          </cell>
          <cell r="C1542" t="e">
            <v>#N/A</v>
          </cell>
          <cell r="D1542" t="e">
            <v>#N/A</v>
          </cell>
          <cell r="E1542" t="e">
            <v>#N/A</v>
          </cell>
          <cell r="F1542" t="e">
            <v>#N/A</v>
          </cell>
          <cell r="G1542" t="e">
            <v>#N/A</v>
          </cell>
          <cell r="O1542" t="e">
            <v>#N/A</v>
          </cell>
          <cell r="S1542">
            <v>0</v>
          </cell>
          <cell r="T1542">
            <v>3138400</v>
          </cell>
          <cell r="U1542" t="str">
            <v>ya</v>
          </cell>
          <cell r="V1542" t="e">
            <v>#N/A</v>
          </cell>
          <cell r="W1542" t="e">
            <v>#N/A</v>
          </cell>
          <cell r="X1542" t="e">
            <v>#N/A</v>
          </cell>
          <cell r="Z1542">
            <v>0</v>
          </cell>
          <cell r="AB1542">
            <v>0</v>
          </cell>
          <cell r="AD1542">
            <v>0</v>
          </cell>
          <cell r="AF1542">
            <v>0</v>
          </cell>
        </row>
        <row r="1543">
          <cell r="A1543">
            <v>1542</v>
          </cell>
          <cell r="C1543" t="e">
            <v>#N/A</v>
          </cell>
          <cell r="D1543" t="e">
            <v>#N/A</v>
          </cell>
          <cell r="E1543" t="e">
            <v>#N/A</v>
          </cell>
          <cell r="F1543" t="e">
            <v>#N/A</v>
          </cell>
          <cell r="G1543" t="e">
            <v>#N/A</v>
          </cell>
          <cell r="O1543" t="e">
            <v>#N/A</v>
          </cell>
          <cell r="S1543">
            <v>0</v>
          </cell>
          <cell r="T1543">
            <v>3138400</v>
          </cell>
          <cell r="U1543" t="str">
            <v>ya</v>
          </cell>
          <cell r="V1543" t="e">
            <v>#N/A</v>
          </cell>
          <cell r="W1543" t="e">
            <v>#N/A</v>
          </cell>
          <cell r="X1543" t="e">
            <v>#N/A</v>
          </cell>
          <cell r="Z1543">
            <v>0</v>
          </cell>
          <cell r="AB1543">
            <v>0</v>
          </cell>
          <cell r="AD1543">
            <v>0</v>
          </cell>
          <cell r="AF1543">
            <v>0</v>
          </cell>
        </row>
        <row r="1544">
          <cell r="A1544">
            <v>1543</v>
          </cell>
          <cell r="C1544" t="e">
            <v>#N/A</v>
          </cell>
          <cell r="D1544" t="e">
            <v>#N/A</v>
          </cell>
          <cell r="E1544" t="e">
            <v>#N/A</v>
          </cell>
          <cell r="F1544" t="e">
            <v>#N/A</v>
          </cell>
          <cell r="G1544" t="e">
            <v>#N/A</v>
          </cell>
          <cell r="O1544" t="e">
            <v>#N/A</v>
          </cell>
          <cell r="S1544">
            <v>0</v>
          </cell>
          <cell r="T1544">
            <v>3138400</v>
          </cell>
          <cell r="V1544">
            <v>0</v>
          </cell>
          <cell r="W1544">
            <v>0</v>
          </cell>
          <cell r="X1544">
            <v>0</v>
          </cell>
          <cell r="Z1544">
            <v>0</v>
          </cell>
          <cell r="AB1544">
            <v>0</v>
          </cell>
          <cell r="AD1544">
            <v>0</v>
          </cell>
          <cell r="AF1544">
            <v>0</v>
          </cell>
        </row>
        <row r="1545">
          <cell r="A1545">
            <v>1544</v>
          </cell>
          <cell r="C1545" t="e">
            <v>#N/A</v>
          </cell>
          <cell r="D1545" t="e">
            <v>#N/A</v>
          </cell>
          <cell r="E1545" t="e">
            <v>#N/A</v>
          </cell>
          <cell r="F1545" t="e">
            <v>#N/A</v>
          </cell>
          <cell r="G1545" t="e">
            <v>#N/A</v>
          </cell>
          <cell r="O1545" t="e">
            <v>#N/A</v>
          </cell>
          <cell r="S1545">
            <v>0</v>
          </cell>
          <cell r="T1545">
            <v>3138400</v>
          </cell>
          <cell r="V1545">
            <v>0</v>
          </cell>
          <cell r="W1545">
            <v>0</v>
          </cell>
          <cell r="X1545">
            <v>0</v>
          </cell>
          <cell r="Z1545">
            <v>0</v>
          </cell>
          <cell r="AB1545">
            <v>0</v>
          </cell>
          <cell r="AD1545">
            <v>0</v>
          </cell>
          <cell r="AF1545">
            <v>0</v>
          </cell>
        </row>
        <row r="1546">
          <cell r="A1546">
            <v>1545</v>
          </cell>
          <cell r="C1546" t="e">
            <v>#N/A</v>
          </cell>
          <cell r="D1546" t="e">
            <v>#N/A</v>
          </cell>
          <cell r="E1546" t="e">
            <v>#N/A</v>
          </cell>
          <cell r="F1546" t="e">
            <v>#N/A</v>
          </cell>
          <cell r="G1546" t="e">
            <v>#N/A</v>
          </cell>
          <cell r="O1546" t="e">
            <v>#N/A</v>
          </cell>
          <cell r="S1546">
            <v>0</v>
          </cell>
          <cell r="T1546">
            <v>3138400</v>
          </cell>
          <cell r="V1546">
            <v>0</v>
          </cell>
          <cell r="W1546">
            <v>0</v>
          </cell>
          <cell r="X1546">
            <v>0</v>
          </cell>
          <cell r="Z1546">
            <v>0</v>
          </cell>
          <cell r="AB1546">
            <v>0</v>
          </cell>
          <cell r="AD1546">
            <v>0</v>
          </cell>
          <cell r="AF1546">
            <v>0</v>
          </cell>
        </row>
        <row r="1547">
          <cell r="A1547">
            <v>1546</v>
          </cell>
          <cell r="C1547" t="e">
            <v>#N/A</v>
          </cell>
          <cell r="D1547" t="e">
            <v>#N/A</v>
          </cell>
          <cell r="E1547" t="e">
            <v>#N/A</v>
          </cell>
          <cell r="F1547" t="e">
            <v>#N/A</v>
          </cell>
          <cell r="G1547" t="e">
            <v>#N/A</v>
          </cell>
          <cell r="O1547" t="e">
            <v>#N/A</v>
          </cell>
          <cell r="S1547">
            <v>0</v>
          </cell>
          <cell r="T1547">
            <v>3138400</v>
          </cell>
          <cell r="V1547">
            <v>0</v>
          </cell>
          <cell r="W1547">
            <v>0</v>
          </cell>
          <cell r="X1547">
            <v>0</v>
          </cell>
          <cell r="Z1547">
            <v>0</v>
          </cell>
          <cell r="AB1547">
            <v>0</v>
          </cell>
          <cell r="AD1547">
            <v>0</v>
          </cell>
          <cell r="AF1547">
            <v>0</v>
          </cell>
        </row>
        <row r="1548">
          <cell r="A1548">
            <v>1547</v>
          </cell>
          <cell r="C1548" t="e">
            <v>#N/A</v>
          </cell>
          <cell r="D1548" t="e">
            <v>#N/A</v>
          </cell>
          <cell r="E1548" t="e">
            <v>#N/A</v>
          </cell>
          <cell r="F1548" t="e">
            <v>#N/A</v>
          </cell>
          <cell r="G1548" t="e">
            <v>#N/A</v>
          </cell>
          <cell r="O1548" t="e">
            <v>#N/A</v>
          </cell>
          <cell r="S1548">
            <v>0</v>
          </cell>
          <cell r="T1548">
            <v>3138400</v>
          </cell>
          <cell r="V1548">
            <v>0</v>
          </cell>
          <cell r="W1548">
            <v>0</v>
          </cell>
          <cell r="X1548">
            <v>0</v>
          </cell>
          <cell r="Z1548">
            <v>0</v>
          </cell>
          <cell r="AB1548">
            <v>0</v>
          </cell>
          <cell r="AD1548">
            <v>0</v>
          </cell>
          <cell r="AF1548">
            <v>0</v>
          </cell>
        </row>
        <row r="1549">
          <cell r="A1549">
            <v>1548</v>
          </cell>
          <cell r="C1549" t="e">
            <v>#N/A</v>
          </cell>
          <cell r="D1549" t="e">
            <v>#N/A</v>
          </cell>
          <cell r="E1549" t="e">
            <v>#N/A</v>
          </cell>
          <cell r="F1549" t="e">
            <v>#N/A</v>
          </cell>
          <cell r="G1549" t="e">
            <v>#N/A</v>
          </cell>
          <cell r="O1549" t="e">
            <v>#N/A</v>
          </cell>
          <cell r="S1549">
            <v>0</v>
          </cell>
          <cell r="T1549">
            <v>3138400</v>
          </cell>
          <cell r="V1549">
            <v>0</v>
          </cell>
          <cell r="W1549">
            <v>0</v>
          </cell>
          <cell r="X1549">
            <v>0</v>
          </cell>
          <cell r="Z1549">
            <v>0</v>
          </cell>
          <cell r="AB1549">
            <v>0</v>
          </cell>
          <cell r="AD1549">
            <v>0</v>
          </cell>
          <cell r="AF1549">
            <v>0</v>
          </cell>
        </row>
        <row r="1550">
          <cell r="A1550">
            <v>1549</v>
          </cell>
          <cell r="C1550" t="e">
            <v>#N/A</v>
          </cell>
          <cell r="D1550" t="e">
            <v>#N/A</v>
          </cell>
          <cell r="E1550" t="e">
            <v>#N/A</v>
          </cell>
          <cell r="F1550" t="e">
            <v>#N/A</v>
          </cell>
          <cell r="G1550" t="e">
            <v>#N/A</v>
          </cell>
          <cell r="O1550" t="e">
            <v>#N/A</v>
          </cell>
          <cell r="S1550">
            <v>0</v>
          </cell>
          <cell r="T1550">
            <v>3138400</v>
          </cell>
          <cell r="V1550">
            <v>0</v>
          </cell>
          <cell r="W1550">
            <v>0</v>
          </cell>
          <cell r="X1550">
            <v>0</v>
          </cell>
          <cell r="Z1550">
            <v>0</v>
          </cell>
          <cell r="AB1550">
            <v>0</v>
          </cell>
          <cell r="AD1550">
            <v>0</v>
          </cell>
          <cell r="AF1550">
            <v>0</v>
          </cell>
        </row>
        <row r="1551">
          <cell r="A1551">
            <v>1550</v>
          </cell>
          <cell r="C1551" t="e">
            <v>#N/A</v>
          </cell>
          <cell r="D1551" t="e">
            <v>#N/A</v>
          </cell>
          <cell r="E1551" t="e">
            <v>#N/A</v>
          </cell>
          <cell r="F1551" t="e">
            <v>#N/A</v>
          </cell>
          <cell r="G1551" t="e">
            <v>#N/A</v>
          </cell>
          <cell r="O1551" t="e">
            <v>#N/A</v>
          </cell>
          <cell r="S1551">
            <v>0</v>
          </cell>
          <cell r="T1551">
            <v>3138400</v>
          </cell>
          <cell r="V1551">
            <v>0</v>
          </cell>
          <cell r="W1551">
            <v>0</v>
          </cell>
          <cell r="X1551">
            <v>0</v>
          </cell>
          <cell r="Z1551">
            <v>0</v>
          </cell>
          <cell r="AB1551">
            <v>0</v>
          </cell>
          <cell r="AD1551">
            <v>0</v>
          </cell>
          <cell r="AF1551">
            <v>0</v>
          </cell>
        </row>
        <row r="1552">
          <cell r="A1552">
            <v>1551</v>
          </cell>
          <cell r="C1552" t="e">
            <v>#N/A</v>
          </cell>
          <cell r="D1552" t="e">
            <v>#N/A</v>
          </cell>
          <cell r="E1552" t="e">
            <v>#N/A</v>
          </cell>
          <cell r="F1552" t="e">
            <v>#N/A</v>
          </cell>
          <cell r="G1552" t="e">
            <v>#N/A</v>
          </cell>
          <cell r="O1552" t="e">
            <v>#N/A</v>
          </cell>
          <cell r="S1552">
            <v>0</v>
          </cell>
          <cell r="T1552">
            <v>3138400</v>
          </cell>
          <cell r="V1552">
            <v>0</v>
          </cell>
          <cell r="W1552">
            <v>0</v>
          </cell>
          <cell r="X1552">
            <v>0</v>
          </cell>
          <cell r="Z1552">
            <v>0</v>
          </cell>
          <cell r="AB1552">
            <v>0</v>
          </cell>
          <cell r="AD1552">
            <v>0</v>
          </cell>
          <cell r="AF1552">
            <v>0</v>
          </cell>
        </row>
        <row r="1553">
          <cell r="A1553">
            <v>1552</v>
          </cell>
          <cell r="C1553" t="e">
            <v>#N/A</v>
          </cell>
          <cell r="D1553" t="e">
            <v>#N/A</v>
          </cell>
          <cell r="E1553" t="e">
            <v>#N/A</v>
          </cell>
          <cell r="F1553" t="e">
            <v>#N/A</v>
          </cell>
          <cell r="G1553" t="e">
            <v>#N/A</v>
          </cell>
          <cell r="O1553" t="e">
            <v>#N/A</v>
          </cell>
          <cell r="S1553">
            <v>0</v>
          </cell>
          <cell r="T1553">
            <v>3138400</v>
          </cell>
          <cell r="V1553">
            <v>0</v>
          </cell>
          <cell r="W1553">
            <v>0</v>
          </cell>
          <cell r="X1553">
            <v>0</v>
          </cell>
          <cell r="Z1553">
            <v>0</v>
          </cell>
          <cell r="AB1553">
            <v>0</v>
          </cell>
          <cell r="AD1553">
            <v>0</v>
          </cell>
          <cell r="AF1553">
            <v>0</v>
          </cell>
        </row>
        <row r="1554">
          <cell r="A1554">
            <v>1553</v>
          </cell>
          <cell r="C1554" t="e">
            <v>#N/A</v>
          </cell>
          <cell r="D1554" t="e">
            <v>#N/A</v>
          </cell>
          <cell r="E1554" t="e">
            <v>#N/A</v>
          </cell>
          <cell r="F1554" t="e">
            <v>#N/A</v>
          </cell>
          <cell r="G1554" t="e">
            <v>#N/A</v>
          </cell>
          <cell r="O1554" t="e">
            <v>#N/A</v>
          </cell>
          <cell r="S1554">
            <v>0</v>
          </cell>
          <cell r="T1554">
            <v>3138400</v>
          </cell>
          <cell r="V1554">
            <v>0</v>
          </cell>
          <cell r="W1554">
            <v>0</v>
          </cell>
          <cell r="X1554">
            <v>0</v>
          </cell>
          <cell r="Z1554">
            <v>0</v>
          </cell>
          <cell r="AB1554">
            <v>0</v>
          </cell>
          <cell r="AD1554">
            <v>0</v>
          </cell>
          <cell r="AF1554">
            <v>0</v>
          </cell>
        </row>
        <row r="1555">
          <cell r="A1555">
            <v>1554</v>
          </cell>
          <cell r="C1555" t="e">
            <v>#N/A</v>
          </cell>
          <cell r="D1555" t="e">
            <v>#N/A</v>
          </cell>
          <cell r="E1555" t="e">
            <v>#N/A</v>
          </cell>
          <cell r="F1555" t="e">
            <v>#N/A</v>
          </cell>
          <cell r="G1555" t="e">
            <v>#N/A</v>
          </cell>
          <cell r="O1555" t="e">
            <v>#N/A</v>
          </cell>
          <cell r="S1555">
            <v>0</v>
          </cell>
          <cell r="T1555">
            <v>3138400</v>
          </cell>
          <cell r="V1555">
            <v>0</v>
          </cell>
          <cell r="W1555">
            <v>0</v>
          </cell>
          <cell r="X1555">
            <v>0</v>
          </cell>
          <cell r="Z1555">
            <v>0</v>
          </cell>
          <cell r="AB1555">
            <v>0</v>
          </cell>
          <cell r="AD1555">
            <v>0</v>
          </cell>
          <cell r="AF1555">
            <v>0</v>
          </cell>
        </row>
        <row r="1556">
          <cell r="A1556">
            <v>1555</v>
          </cell>
          <cell r="C1556" t="e">
            <v>#N/A</v>
          </cell>
          <cell r="D1556" t="e">
            <v>#N/A</v>
          </cell>
          <cell r="E1556" t="e">
            <v>#N/A</v>
          </cell>
          <cell r="F1556" t="e">
            <v>#N/A</v>
          </cell>
          <cell r="G1556" t="e">
            <v>#N/A</v>
          </cell>
          <cell r="O1556" t="e">
            <v>#N/A</v>
          </cell>
          <cell r="S1556">
            <v>0</v>
          </cell>
          <cell r="T1556">
            <v>3138400</v>
          </cell>
          <cell r="V1556">
            <v>0</v>
          </cell>
          <cell r="W1556">
            <v>0</v>
          </cell>
          <cell r="X1556">
            <v>0</v>
          </cell>
          <cell r="Z1556">
            <v>0</v>
          </cell>
          <cell r="AB1556">
            <v>0</v>
          </cell>
          <cell r="AD1556">
            <v>0</v>
          </cell>
          <cell r="AF1556">
            <v>0</v>
          </cell>
        </row>
        <row r="1557">
          <cell r="A1557">
            <v>1556</v>
          </cell>
          <cell r="C1557" t="e">
            <v>#N/A</v>
          </cell>
          <cell r="D1557" t="e">
            <v>#N/A</v>
          </cell>
          <cell r="E1557" t="e">
            <v>#N/A</v>
          </cell>
          <cell r="F1557" t="e">
            <v>#N/A</v>
          </cell>
          <cell r="G1557" t="e">
            <v>#N/A</v>
          </cell>
          <cell r="O1557" t="e">
            <v>#N/A</v>
          </cell>
          <cell r="S1557">
            <v>0</v>
          </cell>
          <cell r="T1557">
            <v>3138400</v>
          </cell>
          <cell r="V1557">
            <v>0</v>
          </cell>
          <cell r="W1557">
            <v>0</v>
          </cell>
          <cell r="X1557">
            <v>0</v>
          </cell>
          <cell r="Z1557">
            <v>0</v>
          </cell>
          <cell r="AB1557">
            <v>0</v>
          </cell>
          <cell r="AD1557">
            <v>0</v>
          </cell>
          <cell r="AF1557">
            <v>0</v>
          </cell>
        </row>
        <row r="1558">
          <cell r="A1558">
            <v>1557</v>
          </cell>
          <cell r="C1558" t="e">
            <v>#N/A</v>
          </cell>
          <cell r="D1558" t="e">
            <v>#N/A</v>
          </cell>
          <cell r="E1558" t="e">
            <v>#N/A</v>
          </cell>
          <cell r="F1558" t="e">
            <v>#N/A</v>
          </cell>
          <cell r="G1558" t="e">
            <v>#N/A</v>
          </cell>
          <cell r="O1558" t="e">
            <v>#N/A</v>
          </cell>
          <cell r="S1558">
            <v>0</v>
          </cell>
          <cell r="T1558">
            <v>3138400</v>
          </cell>
          <cell r="V1558">
            <v>0</v>
          </cell>
          <cell r="W1558">
            <v>0</v>
          </cell>
          <cell r="X1558">
            <v>0</v>
          </cell>
          <cell r="Z1558">
            <v>0</v>
          </cell>
          <cell r="AB1558">
            <v>0</v>
          </cell>
          <cell r="AD1558">
            <v>0</v>
          </cell>
          <cell r="AF1558">
            <v>0</v>
          </cell>
        </row>
        <row r="1559">
          <cell r="A1559">
            <v>1558</v>
          </cell>
          <cell r="C1559" t="e">
            <v>#N/A</v>
          </cell>
          <cell r="D1559" t="e">
            <v>#N/A</v>
          </cell>
          <cell r="E1559" t="e">
            <v>#N/A</v>
          </cell>
          <cell r="F1559" t="e">
            <v>#N/A</v>
          </cell>
          <cell r="G1559" t="e">
            <v>#N/A</v>
          </cell>
          <cell r="O1559" t="e">
            <v>#N/A</v>
          </cell>
          <cell r="S1559">
            <v>0</v>
          </cell>
          <cell r="T1559">
            <v>3138400</v>
          </cell>
          <cell r="V1559">
            <v>0</v>
          </cell>
          <cell r="W1559">
            <v>0</v>
          </cell>
          <cell r="X1559">
            <v>0</v>
          </cell>
          <cell r="Z1559">
            <v>0</v>
          </cell>
          <cell r="AB1559">
            <v>0</v>
          </cell>
          <cell r="AD1559">
            <v>0</v>
          </cell>
          <cell r="AF1559">
            <v>0</v>
          </cell>
        </row>
        <row r="1560">
          <cell r="A1560">
            <v>1559</v>
          </cell>
          <cell r="C1560" t="e">
            <v>#N/A</v>
          </cell>
          <cell r="D1560" t="e">
            <v>#N/A</v>
          </cell>
          <cell r="E1560" t="e">
            <v>#N/A</v>
          </cell>
          <cell r="F1560" t="e">
            <v>#N/A</v>
          </cell>
          <cell r="G1560" t="e">
            <v>#N/A</v>
          </cell>
          <cell r="O1560" t="e">
            <v>#N/A</v>
          </cell>
          <cell r="S1560">
            <v>0</v>
          </cell>
          <cell r="T1560">
            <v>3138400</v>
          </cell>
          <cell r="V1560">
            <v>0</v>
          </cell>
          <cell r="W1560">
            <v>0</v>
          </cell>
          <cell r="X1560">
            <v>0</v>
          </cell>
          <cell r="Z1560">
            <v>0</v>
          </cell>
          <cell r="AB1560">
            <v>0</v>
          </cell>
          <cell r="AD1560">
            <v>0</v>
          </cell>
          <cell r="AF1560">
            <v>0</v>
          </cell>
        </row>
        <row r="1561">
          <cell r="A1561">
            <v>1560</v>
          </cell>
          <cell r="C1561" t="e">
            <v>#N/A</v>
          </cell>
          <cell r="D1561" t="e">
            <v>#N/A</v>
          </cell>
          <cell r="E1561" t="e">
            <v>#N/A</v>
          </cell>
          <cell r="F1561" t="e">
            <v>#N/A</v>
          </cell>
          <cell r="G1561" t="e">
            <v>#N/A</v>
          </cell>
          <cell r="O1561" t="e">
            <v>#N/A</v>
          </cell>
          <cell r="S1561">
            <v>0</v>
          </cell>
          <cell r="T1561">
            <v>3138400</v>
          </cell>
          <cell r="V1561">
            <v>0</v>
          </cell>
          <cell r="W1561">
            <v>0</v>
          </cell>
          <cell r="X1561">
            <v>0</v>
          </cell>
          <cell r="Z1561">
            <v>0</v>
          </cell>
          <cell r="AB1561">
            <v>0</v>
          </cell>
          <cell r="AD1561">
            <v>0</v>
          </cell>
          <cell r="AF1561">
            <v>0</v>
          </cell>
        </row>
        <row r="1562">
          <cell r="A1562">
            <v>1561</v>
          </cell>
          <cell r="C1562" t="e">
            <v>#N/A</v>
          </cell>
          <cell r="D1562" t="e">
            <v>#N/A</v>
          </cell>
          <cell r="E1562" t="e">
            <v>#N/A</v>
          </cell>
          <cell r="F1562" t="e">
            <v>#N/A</v>
          </cell>
          <cell r="G1562" t="e">
            <v>#N/A</v>
          </cell>
          <cell r="O1562" t="e">
            <v>#N/A</v>
          </cell>
          <cell r="S1562">
            <v>0</v>
          </cell>
          <cell r="T1562">
            <v>3138400</v>
          </cell>
          <cell r="V1562">
            <v>0</v>
          </cell>
          <cell r="W1562">
            <v>0</v>
          </cell>
          <cell r="X1562">
            <v>0</v>
          </cell>
          <cell r="Z1562">
            <v>0</v>
          </cell>
          <cell r="AB1562">
            <v>0</v>
          </cell>
          <cell r="AD1562">
            <v>0</v>
          </cell>
          <cell r="AF1562">
            <v>0</v>
          </cell>
        </row>
        <row r="1563">
          <cell r="A1563">
            <v>1562</v>
          </cell>
          <cell r="C1563" t="e">
            <v>#N/A</v>
          </cell>
          <cell r="D1563" t="e">
            <v>#N/A</v>
          </cell>
          <cell r="E1563" t="e">
            <v>#N/A</v>
          </cell>
          <cell r="F1563" t="e">
            <v>#N/A</v>
          </cell>
          <cell r="G1563" t="e">
            <v>#N/A</v>
          </cell>
          <cell r="O1563" t="e">
            <v>#N/A</v>
          </cell>
          <cell r="S1563">
            <v>0</v>
          </cell>
          <cell r="T1563">
            <v>3138400</v>
          </cell>
          <cell r="V1563">
            <v>0</v>
          </cell>
          <cell r="W1563">
            <v>0</v>
          </cell>
          <cell r="X1563">
            <v>0</v>
          </cell>
          <cell r="Z1563">
            <v>0</v>
          </cell>
          <cell r="AB1563">
            <v>0</v>
          </cell>
          <cell r="AD1563">
            <v>0</v>
          </cell>
          <cell r="AF1563">
            <v>0</v>
          </cell>
        </row>
        <row r="1564">
          <cell r="A1564">
            <v>1563</v>
          </cell>
          <cell r="C1564" t="e">
            <v>#N/A</v>
          </cell>
          <cell r="D1564" t="e">
            <v>#N/A</v>
          </cell>
          <cell r="E1564" t="e">
            <v>#N/A</v>
          </cell>
          <cell r="F1564" t="e">
            <v>#N/A</v>
          </cell>
          <cell r="G1564" t="e">
            <v>#N/A</v>
          </cell>
          <cell r="O1564" t="e">
            <v>#N/A</v>
          </cell>
          <cell r="S1564">
            <v>0</v>
          </cell>
          <cell r="T1564">
            <v>3138400</v>
          </cell>
          <cell r="V1564">
            <v>0</v>
          </cell>
          <cell r="W1564">
            <v>0</v>
          </cell>
          <cell r="X1564">
            <v>0</v>
          </cell>
          <cell r="Z1564">
            <v>0</v>
          </cell>
          <cell r="AB1564">
            <v>0</v>
          </cell>
          <cell r="AD1564">
            <v>0</v>
          </cell>
          <cell r="AF1564">
            <v>0</v>
          </cell>
        </row>
        <row r="1565">
          <cell r="A1565">
            <v>1564</v>
          </cell>
          <cell r="C1565" t="e">
            <v>#N/A</v>
          </cell>
          <cell r="D1565" t="e">
            <v>#N/A</v>
          </cell>
          <cell r="E1565" t="e">
            <v>#N/A</v>
          </cell>
          <cell r="F1565" t="e">
            <v>#N/A</v>
          </cell>
          <cell r="G1565" t="e">
            <v>#N/A</v>
          </cell>
          <cell r="O1565" t="e">
            <v>#N/A</v>
          </cell>
          <cell r="S1565">
            <v>0</v>
          </cell>
          <cell r="T1565">
            <v>3138400</v>
          </cell>
          <cell r="V1565">
            <v>0</v>
          </cell>
          <cell r="W1565">
            <v>0</v>
          </cell>
          <cell r="X1565">
            <v>0</v>
          </cell>
          <cell r="Z1565">
            <v>0</v>
          </cell>
          <cell r="AB1565">
            <v>0</v>
          </cell>
          <cell r="AD1565">
            <v>0</v>
          </cell>
          <cell r="AF1565">
            <v>0</v>
          </cell>
        </row>
        <row r="1566">
          <cell r="A1566">
            <v>1565</v>
          </cell>
          <cell r="C1566" t="e">
            <v>#N/A</v>
          </cell>
          <cell r="D1566" t="e">
            <v>#N/A</v>
          </cell>
          <cell r="E1566" t="e">
            <v>#N/A</v>
          </cell>
          <cell r="F1566" t="e">
            <v>#N/A</v>
          </cell>
          <cell r="G1566" t="e">
            <v>#N/A</v>
          </cell>
          <cell r="O1566" t="e">
            <v>#N/A</v>
          </cell>
          <cell r="S1566">
            <v>0</v>
          </cell>
          <cell r="T1566">
            <v>3138400</v>
          </cell>
          <cell r="V1566">
            <v>0</v>
          </cell>
          <cell r="W1566">
            <v>0</v>
          </cell>
          <cell r="X1566">
            <v>0</v>
          </cell>
          <cell r="Z1566">
            <v>0</v>
          </cell>
          <cell r="AB1566">
            <v>0</v>
          </cell>
          <cell r="AD1566">
            <v>0</v>
          </cell>
          <cell r="AF1566">
            <v>0</v>
          </cell>
        </row>
        <row r="1567">
          <cell r="A1567">
            <v>1566</v>
          </cell>
          <cell r="C1567" t="e">
            <v>#N/A</v>
          </cell>
          <cell r="D1567" t="e">
            <v>#N/A</v>
          </cell>
          <cell r="E1567" t="e">
            <v>#N/A</v>
          </cell>
          <cell r="F1567" t="e">
            <v>#N/A</v>
          </cell>
          <cell r="G1567" t="e">
            <v>#N/A</v>
          </cell>
          <cell r="O1567" t="e">
            <v>#N/A</v>
          </cell>
          <cell r="S1567">
            <v>0</v>
          </cell>
          <cell r="T1567">
            <v>3138400</v>
          </cell>
          <cell r="V1567">
            <v>0</v>
          </cell>
          <cell r="W1567">
            <v>0</v>
          </cell>
          <cell r="X1567">
            <v>0</v>
          </cell>
          <cell r="Z1567">
            <v>0</v>
          </cell>
          <cell r="AB1567">
            <v>0</v>
          </cell>
          <cell r="AD1567">
            <v>0</v>
          </cell>
          <cell r="AF1567">
            <v>0</v>
          </cell>
        </row>
        <row r="1568">
          <cell r="A1568">
            <v>1567</v>
          </cell>
          <cell r="C1568" t="e">
            <v>#N/A</v>
          </cell>
          <cell r="D1568" t="e">
            <v>#N/A</v>
          </cell>
          <cell r="E1568" t="e">
            <v>#N/A</v>
          </cell>
          <cell r="F1568" t="e">
            <v>#N/A</v>
          </cell>
          <cell r="G1568" t="e">
            <v>#N/A</v>
          </cell>
          <cell r="O1568" t="e">
            <v>#N/A</v>
          </cell>
          <cell r="S1568">
            <v>0</v>
          </cell>
          <cell r="T1568">
            <v>3138400</v>
          </cell>
          <cell r="V1568">
            <v>0</v>
          </cell>
          <cell r="W1568">
            <v>0</v>
          </cell>
          <cell r="X1568">
            <v>0</v>
          </cell>
          <cell r="Z1568">
            <v>0</v>
          </cell>
          <cell r="AB1568">
            <v>0</v>
          </cell>
          <cell r="AD1568">
            <v>0</v>
          </cell>
          <cell r="AF1568">
            <v>0</v>
          </cell>
        </row>
        <row r="1569">
          <cell r="A1569">
            <v>1568</v>
          </cell>
          <cell r="C1569" t="e">
            <v>#N/A</v>
          </cell>
          <cell r="D1569" t="e">
            <v>#N/A</v>
          </cell>
          <cell r="E1569" t="e">
            <v>#N/A</v>
          </cell>
          <cell r="F1569" t="e">
            <v>#N/A</v>
          </cell>
          <cell r="G1569" t="e">
            <v>#N/A</v>
          </cell>
          <cell r="O1569" t="e">
            <v>#N/A</v>
          </cell>
          <cell r="S1569">
            <v>0</v>
          </cell>
          <cell r="T1569">
            <v>3138400</v>
          </cell>
          <cell r="V1569">
            <v>0</v>
          </cell>
          <cell r="W1569">
            <v>0</v>
          </cell>
          <cell r="X1569">
            <v>0</v>
          </cell>
          <cell r="Z1569">
            <v>0</v>
          </cell>
          <cell r="AB1569">
            <v>0</v>
          </cell>
          <cell r="AD1569">
            <v>0</v>
          </cell>
          <cell r="AF1569">
            <v>0</v>
          </cell>
        </row>
        <row r="1570">
          <cell r="A1570">
            <v>1569</v>
          </cell>
          <cell r="C1570" t="e">
            <v>#N/A</v>
          </cell>
          <cell r="D1570" t="e">
            <v>#N/A</v>
          </cell>
          <cell r="E1570" t="e">
            <v>#N/A</v>
          </cell>
          <cell r="F1570" t="e">
            <v>#N/A</v>
          </cell>
          <cell r="G1570" t="e">
            <v>#N/A</v>
          </cell>
          <cell r="O1570" t="e">
            <v>#N/A</v>
          </cell>
          <cell r="S1570">
            <v>0</v>
          </cell>
          <cell r="T1570">
            <v>3138400</v>
          </cell>
          <cell r="V1570">
            <v>0</v>
          </cell>
          <cell r="W1570">
            <v>0</v>
          </cell>
          <cell r="X1570">
            <v>0</v>
          </cell>
          <cell r="Z1570">
            <v>0</v>
          </cell>
          <cell r="AB1570">
            <v>0</v>
          </cell>
          <cell r="AD1570">
            <v>0</v>
          </cell>
          <cell r="AF1570">
            <v>0</v>
          </cell>
        </row>
        <row r="1571">
          <cell r="A1571">
            <v>1570</v>
          </cell>
          <cell r="C1571" t="e">
            <v>#N/A</v>
          </cell>
          <cell r="D1571" t="e">
            <v>#N/A</v>
          </cell>
          <cell r="E1571" t="e">
            <v>#N/A</v>
          </cell>
          <cell r="F1571" t="e">
            <v>#N/A</v>
          </cell>
          <cell r="G1571" t="e">
            <v>#N/A</v>
          </cell>
          <cell r="O1571" t="e">
            <v>#N/A</v>
          </cell>
          <cell r="S1571">
            <v>0</v>
          </cell>
          <cell r="T1571">
            <v>3138400</v>
          </cell>
          <cell r="V1571">
            <v>0</v>
          </cell>
          <cell r="W1571">
            <v>0</v>
          </cell>
          <cell r="X1571">
            <v>0</v>
          </cell>
          <cell r="Z1571">
            <v>0</v>
          </cell>
          <cell r="AB1571">
            <v>0</v>
          </cell>
          <cell r="AD1571">
            <v>0</v>
          </cell>
          <cell r="AF1571">
            <v>0</v>
          </cell>
        </row>
        <row r="1572">
          <cell r="A1572">
            <v>1571</v>
          </cell>
          <cell r="C1572" t="e">
            <v>#N/A</v>
          </cell>
          <cell r="D1572" t="e">
            <v>#N/A</v>
          </cell>
          <cell r="E1572" t="e">
            <v>#N/A</v>
          </cell>
          <cell r="F1572" t="e">
            <v>#N/A</v>
          </cell>
          <cell r="G1572" t="e">
            <v>#N/A</v>
          </cell>
          <cell r="O1572" t="e">
            <v>#N/A</v>
          </cell>
          <cell r="S1572">
            <v>0</v>
          </cell>
          <cell r="T1572">
            <v>3138400</v>
          </cell>
          <cell r="V1572">
            <v>0</v>
          </cell>
          <cell r="W1572">
            <v>0</v>
          </cell>
          <cell r="X1572">
            <v>0</v>
          </cell>
          <cell r="Z1572">
            <v>0</v>
          </cell>
          <cell r="AB1572">
            <v>0</v>
          </cell>
          <cell r="AD1572">
            <v>0</v>
          </cell>
          <cell r="AF1572">
            <v>0</v>
          </cell>
        </row>
        <row r="1573">
          <cell r="A1573">
            <v>1572</v>
          </cell>
          <cell r="C1573" t="e">
            <v>#N/A</v>
          </cell>
          <cell r="D1573" t="e">
            <v>#N/A</v>
          </cell>
          <cell r="E1573" t="e">
            <v>#N/A</v>
          </cell>
          <cell r="F1573" t="e">
            <v>#N/A</v>
          </cell>
          <cell r="G1573" t="e">
            <v>#N/A</v>
          </cell>
          <cell r="O1573" t="e">
            <v>#N/A</v>
          </cell>
          <cell r="S1573">
            <v>0</v>
          </cell>
          <cell r="T1573">
            <v>3138400</v>
          </cell>
          <cell r="U1573" t="str">
            <v>ya</v>
          </cell>
          <cell r="V1573" t="e">
            <v>#N/A</v>
          </cell>
          <cell r="W1573" t="e">
            <v>#N/A</v>
          </cell>
          <cell r="X1573" t="e">
            <v>#N/A</v>
          </cell>
          <cell r="Z1573">
            <v>0</v>
          </cell>
          <cell r="AB1573">
            <v>0</v>
          </cell>
          <cell r="AD1573">
            <v>0</v>
          </cell>
          <cell r="AF1573">
            <v>0</v>
          </cell>
        </row>
        <row r="1574">
          <cell r="A1574">
            <v>1573</v>
          </cell>
          <cell r="C1574" t="e">
            <v>#N/A</v>
          </cell>
          <cell r="D1574" t="e">
            <v>#N/A</v>
          </cell>
          <cell r="E1574" t="e">
            <v>#N/A</v>
          </cell>
          <cell r="F1574" t="e">
            <v>#N/A</v>
          </cell>
          <cell r="G1574" t="e">
            <v>#N/A</v>
          </cell>
          <cell r="O1574" t="e">
            <v>#N/A</v>
          </cell>
          <cell r="S1574">
            <v>0</v>
          </cell>
          <cell r="T1574">
            <v>3138400</v>
          </cell>
          <cell r="U1574" t="str">
            <v>ya</v>
          </cell>
          <cell r="V1574" t="e">
            <v>#N/A</v>
          </cell>
          <cell r="W1574" t="e">
            <v>#N/A</v>
          </cell>
          <cell r="X1574" t="e">
            <v>#N/A</v>
          </cell>
          <cell r="Z1574">
            <v>0</v>
          </cell>
          <cell r="AB1574">
            <v>0</v>
          </cell>
          <cell r="AD1574">
            <v>0</v>
          </cell>
          <cell r="AF1574">
            <v>0</v>
          </cell>
        </row>
        <row r="1575">
          <cell r="A1575">
            <v>1574</v>
          </cell>
          <cell r="C1575" t="e">
            <v>#N/A</v>
          </cell>
          <cell r="D1575" t="e">
            <v>#N/A</v>
          </cell>
          <cell r="E1575" t="e">
            <v>#N/A</v>
          </cell>
          <cell r="F1575" t="e">
            <v>#N/A</v>
          </cell>
          <cell r="G1575" t="e">
            <v>#N/A</v>
          </cell>
          <cell r="O1575" t="e">
            <v>#N/A</v>
          </cell>
          <cell r="S1575">
            <v>0</v>
          </cell>
          <cell r="T1575">
            <v>3138400</v>
          </cell>
          <cell r="U1575" t="str">
            <v>ya</v>
          </cell>
          <cell r="V1575" t="e">
            <v>#N/A</v>
          </cell>
          <cell r="W1575" t="e">
            <v>#N/A</v>
          </cell>
          <cell r="X1575" t="e">
            <v>#N/A</v>
          </cell>
          <cell r="Z1575">
            <v>0</v>
          </cell>
          <cell r="AB1575">
            <v>0</v>
          </cell>
          <cell r="AD1575">
            <v>0</v>
          </cell>
          <cell r="AF1575">
            <v>0</v>
          </cell>
        </row>
        <row r="1576">
          <cell r="A1576">
            <v>1575</v>
          </cell>
          <cell r="C1576" t="e">
            <v>#N/A</v>
          </cell>
          <cell r="D1576" t="e">
            <v>#N/A</v>
          </cell>
          <cell r="E1576" t="e">
            <v>#N/A</v>
          </cell>
          <cell r="F1576" t="e">
            <v>#N/A</v>
          </cell>
          <cell r="G1576" t="e">
            <v>#N/A</v>
          </cell>
          <cell r="O1576" t="e">
            <v>#N/A</v>
          </cell>
          <cell r="S1576">
            <v>0</v>
          </cell>
          <cell r="T1576">
            <v>3138400</v>
          </cell>
          <cell r="U1576" t="str">
            <v>ya</v>
          </cell>
          <cell r="V1576" t="e">
            <v>#N/A</v>
          </cell>
          <cell r="W1576" t="e">
            <v>#N/A</v>
          </cell>
          <cell r="X1576" t="e">
            <v>#N/A</v>
          </cell>
          <cell r="Z1576">
            <v>0</v>
          </cell>
          <cell r="AB1576">
            <v>0</v>
          </cell>
          <cell r="AD1576">
            <v>0</v>
          </cell>
          <cell r="AF1576">
            <v>0</v>
          </cell>
        </row>
        <row r="1577">
          <cell r="A1577">
            <v>1576</v>
          </cell>
          <cell r="C1577" t="e">
            <v>#N/A</v>
          </cell>
          <cell r="D1577" t="e">
            <v>#N/A</v>
          </cell>
          <cell r="E1577" t="e">
            <v>#N/A</v>
          </cell>
          <cell r="F1577" t="e">
            <v>#N/A</v>
          </cell>
          <cell r="G1577" t="e">
            <v>#N/A</v>
          </cell>
          <cell r="O1577" t="e">
            <v>#N/A</v>
          </cell>
          <cell r="S1577">
            <v>0</v>
          </cell>
          <cell r="T1577">
            <v>3138400</v>
          </cell>
          <cell r="U1577" t="str">
            <v>ya</v>
          </cell>
          <cell r="V1577" t="e">
            <v>#N/A</v>
          </cell>
          <cell r="W1577" t="e">
            <v>#N/A</v>
          </cell>
          <cell r="X1577" t="e">
            <v>#N/A</v>
          </cell>
          <cell r="Z1577">
            <v>0</v>
          </cell>
          <cell r="AB1577">
            <v>0</v>
          </cell>
          <cell r="AD1577">
            <v>0</v>
          </cell>
          <cell r="AF1577">
            <v>0</v>
          </cell>
        </row>
        <row r="1578">
          <cell r="A1578">
            <v>1577</v>
          </cell>
          <cell r="C1578" t="e">
            <v>#N/A</v>
          </cell>
          <cell r="D1578" t="e">
            <v>#N/A</v>
          </cell>
          <cell r="E1578" t="e">
            <v>#N/A</v>
          </cell>
          <cell r="F1578" t="e">
            <v>#N/A</v>
          </cell>
          <cell r="G1578" t="e">
            <v>#N/A</v>
          </cell>
          <cell r="O1578" t="e">
            <v>#N/A</v>
          </cell>
          <cell r="S1578">
            <v>0</v>
          </cell>
          <cell r="T1578">
            <v>3138400</v>
          </cell>
          <cell r="U1578" t="str">
            <v>ya</v>
          </cell>
          <cell r="V1578" t="e">
            <v>#N/A</v>
          </cell>
          <cell r="W1578" t="e">
            <v>#N/A</v>
          </cell>
          <cell r="X1578" t="e">
            <v>#N/A</v>
          </cell>
          <cell r="Z1578">
            <v>0</v>
          </cell>
          <cell r="AB1578">
            <v>0</v>
          </cell>
          <cell r="AD1578">
            <v>0</v>
          </cell>
          <cell r="AF1578">
            <v>0</v>
          </cell>
        </row>
        <row r="1579">
          <cell r="A1579">
            <v>1578</v>
          </cell>
          <cell r="C1579" t="e">
            <v>#N/A</v>
          </cell>
          <cell r="D1579" t="e">
            <v>#N/A</v>
          </cell>
          <cell r="E1579" t="e">
            <v>#N/A</v>
          </cell>
          <cell r="F1579" t="e">
            <v>#N/A</v>
          </cell>
          <cell r="G1579" t="e">
            <v>#N/A</v>
          </cell>
          <cell r="O1579" t="e">
            <v>#N/A</v>
          </cell>
          <cell r="S1579">
            <v>0</v>
          </cell>
          <cell r="T1579">
            <v>3138400</v>
          </cell>
          <cell r="V1579">
            <v>0</v>
          </cell>
          <cell r="W1579">
            <v>0</v>
          </cell>
          <cell r="X1579">
            <v>0</v>
          </cell>
          <cell r="Z1579">
            <v>0</v>
          </cell>
          <cell r="AB1579">
            <v>0</v>
          </cell>
          <cell r="AD1579">
            <v>0</v>
          </cell>
          <cell r="AF1579">
            <v>0</v>
          </cell>
        </row>
        <row r="1580">
          <cell r="A1580">
            <v>1579</v>
          </cell>
          <cell r="C1580" t="e">
            <v>#N/A</v>
          </cell>
          <cell r="D1580" t="e">
            <v>#N/A</v>
          </cell>
          <cell r="E1580" t="e">
            <v>#N/A</v>
          </cell>
          <cell r="F1580" t="e">
            <v>#N/A</v>
          </cell>
          <cell r="G1580" t="e">
            <v>#N/A</v>
          </cell>
          <cell r="O1580" t="e">
            <v>#N/A</v>
          </cell>
          <cell r="S1580">
            <v>0</v>
          </cell>
          <cell r="T1580">
            <v>3138400</v>
          </cell>
          <cell r="V1580">
            <v>0</v>
          </cell>
          <cell r="W1580">
            <v>0</v>
          </cell>
          <cell r="X1580">
            <v>0</v>
          </cell>
          <cell r="Z1580">
            <v>0</v>
          </cell>
          <cell r="AB1580">
            <v>0</v>
          </cell>
          <cell r="AD1580">
            <v>0</v>
          </cell>
          <cell r="AF1580">
            <v>0</v>
          </cell>
        </row>
        <row r="1581">
          <cell r="A1581">
            <v>1580</v>
          </cell>
          <cell r="C1581" t="e">
            <v>#N/A</v>
          </cell>
          <cell r="D1581" t="e">
            <v>#N/A</v>
          </cell>
          <cell r="E1581" t="e">
            <v>#N/A</v>
          </cell>
          <cell r="F1581" t="e">
            <v>#N/A</v>
          </cell>
          <cell r="G1581" t="e">
            <v>#N/A</v>
          </cell>
          <cell r="O1581" t="e">
            <v>#N/A</v>
          </cell>
          <cell r="S1581">
            <v>0</v>
          </cell>
          <cell r="T1581">
            <v>3138400</v>
          </cell>
          <cell r="V1581">
            <v>0</v>
          </cell>
          <cell r="W1581">
            <v>0</v>
          </cell>
          <cell r="X1581">
            <v>0</v>
          </cell>
          <cell r="Z1581">
            <v>0</v>
          </cell>
          <cell r="AB1581">
            <v>0</v>
          </cell>
          <cell r="AD1581">
            <v>0</v>
          </cell>
          <cell r="AF1581">
            <v>0</v>
          </cell>
        </row>
        <row r="1582">
          <cell r="A1582">
            <v>1581</v>
          </cell>
          <cell r="C1582" t="e">
            <v>#N/A</v>
          </cell>
          <cell r="D1582" t="e">
            <v>#N/A</v>
          </cell>
          <cell r="E1582" t="e">
            <v>#N/A</v>
          </cell>
          <cell r="F1582" t="e">
            <v>#N/A</v>
          </cell>
          <cell r="G1582" t="e">
            <v>#N/A</v>
          </cell>
          <cell r="O1582" t="e">
            <v>#N/A</v>
          </cell>
          <cell r="S1582">
            <v>0</v>
          </cell>
          <cell r="T1582">
            <v>3138400</v>
          </cell>
          <cell r="V1582">
            <v>0</v>
          </cell>
          <cell r="W1582">
            <v>0</v>
          </cell>
          <cell r="X1582">
            <v>0</v>
          </cell>
          <cell r="Z1582">
            <v>0</v>
          </cell>
          <cell r="AB1582">
            <v>0</v>
          </cell>
          <cell r="AD1582">
            <v>0</v>
          </cell>
          <cell r="AF1582">
            <v>0</v>
          </cell>
        </row>
        <row r="1583">
          <cell r="A1583">
            <v>1582</v>
          </cell>
          <cell r="C1583" t="e">
            <v>#N/A</v>
          </cell>
          <cell r="D1583" t="e">
            <v>#N/A</v>
          </cell>
          <cell r="E1583" t="e">
            <v>#N/A</v>
          </cell>
          <cell r="F1583" t="e">
            <v>#N/A</v>
          </cell>
          <cell r="G1583" t="e">
            <v>#N/A</v>
          </cell>
          <cell r="O1583" t="e">
            <v>#N/A</v>
          </cell>
          <cell r="S1583">
            <v>0</v>
          </cell>
          <cell r="T1583">
            <v>3138400</v>
          </cell>
          <cell r="V1583">
            <v>0</v>
          </cell>
          <cell r="W1583">
            <v>0</v>
          </cell>
          <cell r="X1583">
            <v>0</v>
          </cell>
          <cell r="Z1583">
            <v>0</v>
          </cell>
          <cell r="AB1583">
            <v>0</v>
          </cell>
          <cell r="AD1583">
            <v>0</v>
          </cell>
          <cell r="AF1583">
            <v>0</v>
          </cell>
        </row>
        <row r="1584">
          <cell r="A1584">
            <v>1583</v>
          </cell>
          <cell r="C1584" t="e">
            <v>#N/A</v>
          </cell>
          <cell r="D1584" t="e">
            <v>#N/A</v>
          </cell>
          <cell r="E1584" t="e">
            <v>#N/A</v>
          </cell>
          <cell r="F1584" t="e">
            <v>#N/A</v>
          </cell>
          <cell r="G1584" t="e">
            <v>#N/A</v>
          </cell>
          <cell r="O1584" t="e">
            <v>#N/A</v>
          </cell>
          <cell r="S1584">
            <v>0</v>
          </cell>
          <cell r="T1584">
            <v>3138400</v>
          </cell>
          <cell r="V1584">
            <v>0</v>
          </cell>
          <cell r="W1584">
            <v>0</v>
          </cell>
          <cell r="X1584">
            <v>0</v>
          </cell>
          <cell r="Z1584">
            <v>0</v>
          </cell>
          <cell r="AB1584">
            <v>0</v>
          </cell>
          <cell r="AD1584">
            <v>0</v>
          </cell>
          <cell r="AF1584">
            <v>0</v>
          </cell>
        </row>
        <row r="1585">
          <cell r="A1585">
            <v>1584</v>
          </cell>
          <cell r="C1585" t="e">
            <v>#N/A</v>
          </cell>
          <cell r="D1585" t="e">
            <v>#N/A</v>
          </cell>
          <cell r="E1585" t="e">
            <v>#N/A</v>
          </cell>
          <cell r="F1585" t="e">
            <v>#N/A</v>
          </cell>
          <cell r="G1585" t="e">
            <v>#N/A</v>
          </cell>
          <cell r="O1585" t="e">
            <v>#N/A</v>
          </cell>
          <cell r="S1585">
            <v>0</v>
          </cell>
          <cell r="T1585">
            <v>3138400</v>
          </cell>
          <cell r="V1585">
            <v>0</v>
          </cell>
          <cell r="W1585">
            <v>0</v>
          </cell>
          <cell r="X1585">
            <v>0</v>
          </cell>
          <cell r="Z1585">
            <v>0</v>
          </cell>
          <cell r="AB1585">
            <v>0</v>
          </cell>
          <cell r="AD1585">
            <v>0</v>
          </cell>
          <cell r="AF1585">
            <v>0</v>
          </cell>
        </row>
        <row r="1586">
          <cell r="A1586">
            <v>1585</v>
          </cell>
          <cell r="C1586" t="e">
            <v>#N/A</v>
          </cell>
          <cell r="D1586" t="e">
            <v>#N/A</v>
          </cell>
          <cell r="E1586" t="e">
            <v>#N/A</v>
          </cell>
          <cell r="F1586" t="e">
            <v>#N/A</v>
          </cell>
          <cell r="G1586" t="e">
            <v>#N/A</v>
          </cell>
          <cell r="O1586" t="e">
            <v>#N/A</v>
          </cell>
          <cell r="S1586">
            <v>0</v>
          </cell>
          <cell r="T1586">
            <v>3138400</v>
          </cell>
          <cell r="U1586" t="str">
            <v>ya</v>
          </cell>
          <cell r="V1586" t="e">
            <v>#N/A</v>
          </cell>
          <cell r="W1586" t="e">
            <v>#N/A</v>
          </cell>
          <cell r="X1586" t="e">
            <v>#N/A</v>
          </cell>
          <cell r="Z1586">
            <v>0</v>
          </cell>
          <cell r="AB1586">
            <v>0</v>
          </cell>
          <cell r="AD1586">
            <v>0</v>
          </cell>
          <cell r="AF1586">
            <v>0</v>
          </cell>
        </row>
        <row r="1587">
          <cell r="A1587">
            <v>1586</v>
          </cell>
          <cell r="C1587" t="e">
            <v>#N/A</v>
          </cell>
          <cell r="D1587" t="e">
            <v>#N/A</v>
          </cell>
          <cell r="E1587" t="e">
            <v>#N/A</v>
          </cell>
          <cell r="F1587" t="e">
            <v>#N/A</v>
          </cell>
          <cell r="G1587" t="e">
            <v>#N/A</v>
          </cell>
          <cell r="O1587" t="e">
            <v>#N/A</v>
          </cell>
          <cell r="S1587">
            <v>0</v>
          </cell>
          <cell r="T1587">
            <v>3138400</v>
          </cell>
          <cell r="U1587" t="str">
            <v>ya</v>
          </cell>
          <cell r="V1587" t="e">
            <v>#N/A</v>
          </cell>
          <cell r="W1587" t="e">
            <v>#N/A</v>
          </cell>
          <cell r="X1587" t="e">
            <v>#N/A</v>
          </cell>
          <cell r="Z1587">
            <v>0</v>
          </cell>
          <cell r="AB1587">
            <v>0</v>
          </cell>
          <cell r="AD1587">
            <v>0</v>
          </cell>
          <cell r="AF1587">
            <v>0</v>
          </cell>
        </row>
        <row r="1588">
          <cell r="A1588">
            <v>1587</v>
          </cell>
          <cell r="C1588" t="e">
            <v>#N/A</v>
          </cell>
          <cell r="D1588" t="e">
            <v>#N/A</v>
          </cell>
          <cell r="E1588" t="e">
            <v>#N/A</v>
          </cell>
          <cell r="F1588" t="e">
            <v>#N/A</v>
          </cell>
          <cell r="G1588" t="e">
            <v>#N/A</v>
          </cell>
          <cell r="O1588" t="e">
            <v>#N/A</v>
          </cell>
          <cell r="S1588">
            <v>0</v>
          </cell>
          <cell r="T1588">
            <v>3138400</v>
          </cell>
          <cell r="U1588" t="str">
            <v>ya</v>
          </cell>
          <cell r="V1588" t="e">
            <v>#N/A</v>
          </cell>
          <cell r="W1588" t="e">
            <v>#N/A</v>
          </cell>
          <cell r="X1588" t="e">
            <v>#N/A</v>
          </cell>
          <cell r="Z1588">
            <v>0</v>
          </cell>
          <cell r="AB1588">
            <v>0</v>
          </cell>
          <cell r="AD1588">
            <v>0</v>
          </cell>
          <cell r="AF1588">
            <v>0</v>
          </cell>
        </row>
        <row r="1589">
          <cell r="A1589">
            <v>1588</v>
          </cell>
          <cell r="C1589" t="e">
            <v>#N/A</v>
          </cell>
          <cell r="D1589" t="e">
            <v>#N/A</v>
          </cell>
          <cell r="E1589" t="e">
            <v>#N/A</v>
          </cell>
          <cell r="F1589" t="str">
            <v xml:space="preserve">Pengemudi Pimpinan </v>
          </cell>
          <cell r="G1589" t="e">
            <v>#N/A</v>
          </cell>
          <cell r="O1589" t="e">
            <v>#N/A</v>
          </cell>
          <cell r="S1589">
            <v>0</v>
          </cell>
          <cell r="T1589">
            <v>3138400</v>
          </cell>
          <cell r="V1589">
            <v>0</v>
          </cell>
          <cell r="W1589">
            <v>0</v>
          </cell>
          <cell r="X1589">
            <v>0</v>
          </cell>
          <cell r="Z1589">
            <v>0</v>
          </cell>
          <cell r="AB1589">
            <v>0</v>
          </cell>
          <cell r="AD1589">
            <v>0</v>
          </cell>
          <cell r="AF1589">
            <v>0</v>
          </cell>
        </row>
        <row r="1590">
          <cell r="A1590">
            <v>1589</v>
          </cell>
          <cell r="C1590" t="e">
            <v>#N/A</v>
          </cell>
          <cell r="D1590" t="e">
            <v>#N/A</v>
          </cell>
          <cell r="E1590" t="e">
            <v>#N/A</v>
          </cell>
          <cell r="F1590" t="str">
            <v xml:space="preserve">Pengemudi Pimpinan </v>
          </cell>
          <cell r="G1590" t="e">
            <v>#N/A</v>
          </cell>
          <cell r="O1590" t="e">
            <v>#N/A</v>
          </cell>
          <cell r="S1590">
            <v>0</v>
          </cell>
          <cell r="T1590">
            <v>3138400</v>
          </cell>
          <cell r="V1590">
            <v>0</v>
          </cell>
          <cell r="W1590">
            <v>0</v>
          </cell>
          <cell r="X1590">
            <v>0</v>
          </cell>
          <cell r="Z1590">
            <v>0</v>
          </cell>
          <cell r="AB1590">
            <v>0</v>
          </cell>
          <cell r="AD1590">
            <v>0</v>
          </cell>
          <cell r="AF1590">
            <v>0</v>
          </cell>
        </row>
        <row r="1591">
          <cell r="A1591">
            <v>1590</v>
          </cell>
          <cell r="C1591" t="e">
            <v>#N/A</v>
          </cell>
          <cell r="D1591" t="e">
            <v>#N/A</v>
          </cell>
          <cell r="E1591" t="e">
            <v>#N/A</v>
          </cell>
          <cell r="F1591" t="e">
            <v>#N/A</v>
          </cell>
          <cell r="G1591" t="e">
            <v>#N/A</v>
          </cell>
          <cell r="O1591" t="e">
            <v>#N/A</v>
          </cell>
          <cell r="S1591">
            <v>0</v>
          </cell>
          <cell r="T1591">
            <v>3138400</v>
          </cell>
          <cell r="V1591">
            <v>0</v>
          </cell>
          <cell r="W1591">
            <v>0</v>
          </cell>
          <cell r="X1591">
            <v>0</v>
          </cell>
          <cell r="Z1591">
            <v>0</v>
          </cell>
          <cell r="AB1591">
            <v>0</v>
          </cell>
          <cell r="AD1591">
            <v>0</v>
          </cell>
          <cell r="AF1591">
            <v>0</v>
          </cell>
        </row>
        <row r="1592">
          <cell r="A1592">
            <v>1591</v>
          </cell>
          <cell r="C1592" t="e">
            <v>#N/A</v>
          </cell>
          <cell r="D1592" t="e">
            <v>#N/A</v>
          </cell>
          <cell r="E1592" t="e">
            <v>#N/A</v>
          </cell>
          <cell r="F1592" t="e">
            <v>#N/A</v>
          </cell>
          <cell r="G1592" t="e">
            <v>#N/A</v>
          </cell>
          <cell r="O1592" t="e">
            <v>#N/A</v>
          </cell>
          <cell r="S1592">
            <v>0</v>
          </cell>
          <cell r="T1592">
            <v>3138400</v>
          </cell>
          <cell r="V1592">
            <v>0</v>
          </cell>
          <cell r="W1592">
            <v>0</v>
          </cell>
          <cell r="X1592">
            <v>0</v>
          </cell>
          <cell r="Z1592">
            <v>0</v>
          </cell>
          <cell r="AB1592">
            <v>0</v>
          </cell>
          <cell r="AD1592">
            <v>0</v>
          </cell>
          <cell r="AF1592">
            <v>0</v>
          </cell>
        </row>
        <row r="1593">
          <cell r="A1593">
            <v>1592</v>
          </cell>
          <cell r="C1593" t="e">
            <v>#N/A</v>
          </cell>
          <cell r="D1593" t="e">
            <v>#N/A</v>
          </cell>
          <cell r="E1593" t="e">
            <v>#N/A</v>
          </cell>
          <cell r="F1593" t="e">
            <v>#N/A</v>
          </cell>
          <cell r="G1593" t="e">
            <v>#N/A</v>
          </cell>
          <cell r="O1593" t="e">
            <v>#N/A</v>
          </cell>
          <cell r="S1593">
            <v>0</v>
          </cell>
          <cell r="T1593">
            <v>3138400</v>
          </cell>
          <cell r="V1593">
            <v>0</v>
          </cell>
          <cell r="W1593">
            <v>0</v>
          </cell>
          <cell r="X1593">
            <v>0</v>
          </cell>
          <cell r="Z1593">
            <v>0</v>
          </cell>
          <cell r="AB1593">
            <v>0</v>
          </cell>
          <cell r="AD1593">
            <v>0</v>
          </cell>
          <cell r="AF1593">
            <v>0</v>
          </cell>
        </row>
        <row r="1594">
          <cell r="A1594">
            <v>1593</v>
          </cell>
          <cell r="C1594" t="e">
            <v>#N/A</v>
          </cell>
          <cell r="D1594" t="e">
            <v>#N/A</v>
          </cell>
          <cell r="E1594" t="e">
            <v>#N/A</v>
          </cell>
          <cell r="F1594" t="e">
            <v>#N/A</v>
          </cell>
          <cell r="G1594" t="e">
            <v>#N/A</v>
          </cell>
          <cell r="O1594" t="e">
            <v>#N/A</v>
          </cell>
          <cell r="S1594">
            <v>0</v>
          </cell>
          <cell r="T1594">
            <v>3138400</v>
          </cell>
          <cell r="V1594">
            <v>0</v>
          </cell>
          <cell r="W1594">
            <v>0</v>
          </cell>
          <cell r="X1594">
            <v>0</v>
          </cell>
          <cell r="Z1594">
            <v>0</v>
          </cell>
          <cell r="AB1594">
            <v>0</v>
          </cell>
          <cell r="AD1594">
            <v>0</v>
          </cell>
          <cell r="AF1594">
            <v>0</v>
          </cell>
        </row>
        <row r="1595">
          <cell r="A1595">
            <v>1594</v>
          </cell>
          <cell r="C1595" t="e">
            <v>#N/A</v>
          </cell>
          <cell r="D1595" t="e">
            <v>#N/A</v>
          </cell>
          <cell r="E1595" t="e">
            <v>#N/A</v>
          </cell>
          <cell r="F1595" t="e">
            <v>#N/A</v>
          </cell>
          <cell r="G1595" t="e">
            <v>#N/A</v>
          </cell>
          <cell r="O1595" t="e">
            <v>#N/A</v>
          </cell>
          <cell r="S1595">
            <v>0</v>
          </cell>
          <cell r="T1595">
            <v>3138400</v>
          </cell>
          <cell r="U1595" t="str">
            <v>ya</v>
          </cell>
          <cell r="V1595" t="e">
            <v>#N/A</v>
          </cell>
          <cell r="W1595" t="e">
            <v>#N/A</v>
          </cell>
          <cell r="X1595" t="e">
            <v>#N/A</v>
          </cell>
          <cell r="Z1595">
            <v>0</v>
          </cell>
          <cell r="AB1595">
            <v>0</v>
          </cell>
          <cell r="AD1595">
            <v>0</v>
          </cell>
          <cell r="AF1595">
            <v>0</v>
          </cell>
        </row>
        <row r="1596">
          <cell r="A1596">
            <v>1595</v>
          </cell>
          <cell r="C1596" t="e">
            <v>#N/A</v>
          </cell>
          <cell r="D1596" t="e">
            <v>#N/A</v>
          </cell>
          <cell r="E1596" t="e">
            <v>#N/A</v>
          </cell>
          <cell r="F1596" t="e">
            <v>#N/A</v>
          </cell>
          <cell r="G1596" t="e">
            <v>#N/A</v>
          </cell>
          <cell r="O1596" t="e">
            <v>#N/A</v>
          </cell>
          <cell r="S1596">
            <v>0</v>
          </cell>
          <cell r="T1596">
            <v>3138400</v>
          </cell>
          <cell r="U1596" t="str">
            <v>ya</v>
          </cell>
          <cell r="V1596" t="e">
            <v>#N/A</v>
          </cell>
          <cell r="W1596" t="e">
            <v>#N/A</v>
          </cell>
          <cell r="X1596" t="e">
            <v>#N/A</v>
          </cell>
          <cell r="Z1596">
            <v>0</v>
          </cell>
          <cell r="AB1596">
            <v>0</v>
          </cell>
          <cell r="AD1596">
            <v>0</v>
          </cell>
          <cell r="AF1596">
            <v>0</v>
          </cell>
        </row>
        <row r="1597">
          <cell r="A1597">
            <v>1596</v>
          </cell>
          <cell r="C1597" t="e">
            <v>#N/A</v>
          </cell>
          <cell r="D1597" t="e">
            <v>#N/A</v>
          </cell>
          <cell r="E1597" t="e">
            <v>#N/A</v>
          </cell>
          <cell r="F1597" t="e">
            <v>#N/A</v>
          </cell>
          <cell r="G1597" t="e">
            <v>#N/A</v>
          </cell>
          <cell r="O1597" t="e">
            <v>#N/A</v>
          </cell>
          <cell r="S1597">
            <v>0</v>
          </cell>
          <cell r="T1597">
            <v>3138400</v>
          </cell>
          <cell r="U1597" t="str">
            <v>ya</v>
          </cell>
          <cell r="V1597" t="e">
            <v>#N/A</v>
          </cell>
          <cell r="W1597" t="e">
            <v>#N/A</v>
          </cell>
          <cell r="X1597" t="e">
            <v>#N/A</v>
          </cell>
          <cell r="Z1597">
            <v>0</v>
          </cell>
          <cell r="AB1597">
            <v>0</v>
          </cell>
          <cell r="AD1597">
            <v>0</v>
          </cell>
          <cell r="AF1597">
            <v>0</v>
          </cell>
        </row>
        <row r="1598">
          <cell r="A1598">
            <v>1597</v>
          </cell>
          <cell r="C1598" t="e">
            <v>#N/A</v>
          </cell>
          <cell r="D1598" t="e">
            <v>#N/A</v>
          </cell>
          <cell r="E1598" t="e">
            <v>#N/A</v>
          </cell>
          <cell r="F1598" t="e">
            <v>#N/A</v>
          </cell>
          <cell r="G1598" t="e">
            <v>#N/A</v>
          </cell>
          <cell r="O1598" t="e">
            <v>#N/A</v>
          </cell>
          <cell r="S1598">
            <v>0</v>
          </cell>
          <cell r="T1598">
            <v>3138400</v>
          </cell>
          <cell r="U1598" t="str">
            <v>ya</v>
          </cell>
          <cell r="V1598" t="e">
            <v>#N/A</v>
          </cell>
          <cell r="W1598" t="e">
            <v>#N/A</v>
          </cell>
          <cell r="X1598" t="e">
            <v>#N/A</v>
          </cell>
          <cell r="Z1598">
            <v>0</v>
          </cell>
          <cell r="AB1598">
            <v>0</v>
          </cell>
          <cell r="AD1598">
            <v>0</v>
          </cell>
          <cell r="AF1598">
            <v>0</v>
          </cell>
        </row>
        <row r="1599">
          <cell r="A1599">
            <v>1598</v>
          </cell>
          <cell r="C1599" t="e">
            <v>#N/A</v>
          </cell>
          <cell r="D1599" t="e">
            <v>#N/A</v>
          </cell>
          <cell r="E1599" t="e">
            <v>#N/A</v>
          </cell>
          <cell r="F1599" t="e">
            <v>#N/A</v>
          </cell>
          <cell r="G1599" t="e">
            <v>#N/A</v>
          </cell>
          <cell r="O1599" t="e">
            <v>#N/A</v>
          </cell>
          <cell r="S1599">
            <v>0</v>
          </cell>
          <cell r="T1599">
            <v>3138400</v>
          </cell>
          <cell r="U1599" t="str">
            <v>ya</v>
          </cell>
          <cell r="V1599" t="e">
            <v>#N/A</v>
          </cell>
          <cell r="W1599" t="e">
            <v>#N/A</v>
          </cell>
          <cell r="X1599" t="e">
            <v>#N/A</v>
          </cell>
          <cell r="Z1599">
            <v>0</v>
          </cell>
          <cell r="AB1599">
            <v>0</v>
          </cell>
          <cell r="AD1599">
            <v>0</v>
          </cell>
          <cell r="AF1599">
            <v>0</v>
          </cell>
        </row>
        <row r="1600">
          <cell r="A1600">
            <v>1599</v>
          </cell>
          <cell r="C1600" t="e">
            <v>#N/A</v>
          </cell>
          <cell r="D1600" t="e">
            <v>#N/A</v>
          </cell>
          <cell r="E1600" t="e">
            <v>#N/A</v>
          </cell>
          <cell r="F1600" t="e">
            <v>#N/A</v>
          </cell>
          <cell r="G1600" t="e">
            <v>#N/A</v>
          </cell>
          <cell r="O1600" t="e">
            <v>#N/A</v>
          </cell>
          <cell r="S1600">
            <v>0</v>
          </cell>
          <cell r="T1600">
            <v>3138400</v>
          </cell>
          <cell r="V1600">
            <v>0</v>
          </cell>
          <cell r="W1600">
            <v>0</v>
          </cell>
          <cell r="X1600">
            <v>0</v>
          </cell>
          <cell r="Z1600">
            <v>0</v>
          </cell>
          <cell r="AB1600">
            <v>0</v>
          </cell>
          <cell r="AD1600">
            <v>0</v>
          </cell>
          <cell r="AF1600">
            <v>0</v>
          </cell>
        </row>
        <row r="1601">
          <cell r="A1601">
            <v>1600</v>
          </cell>
          <cell r="C1601" t="e">
            <v>#N/A</v>
          </cell>
          <cell r="D1601" t="e">
            <v>#N/A</v>
          </cell>
          <cell r="E1601" t="e">
            <v>#N/A</v>
          </cell>
          <cell r="F1601" t="e">
            <v>#N/A</v>
          </cell>
          <cell r="G1601" t="e">
            <v>#N/A</v>
          </cell>
          <cell r="O1601" t="e">
            <v>#N/A</v>
          </cell>
          <cell r="S1601">
            <v>0</v>
          </cell>
          <cell r="T1601">
            <v>3138400</v>
          </cell>
          <cell r="V1601">
            <v>0</v>
          </cell>
          <cell r="W1601">
            <v>0</v>
          </cell>
          <cell r="X1601">
            <v>0</v>
          </cell>
          <cell r="Z1601">
            <v>0</v>
          </cell>
          <cell r="AB1601">
            <v>0</v>
          </cell>
          <cell r="AD1601">
            <v>0</v>
          </cell>
          <cell r="AF1601">
            <v>0</v>
          </cell>
        </row>
        <row r="1602">
          <cell r="A1602">
            <v>1601</v>
          </cell>
          <cell r="C1602" t="e">
            <v>#N/A</v>
          </cell>
          <cell r="D1602" t="e">
            <v>#N/A</v>
          </cell>
          <cell r="E1602" t="e">
            <v>#N/A</v>
          </cell>
          <cell r="F1602" t="e">
            <v>#N/A</v>
          </cell>
          <cell r="G1602" t="e">
            <v>#N/A</v>
          </cell>
          <cell r="O1602" t="e">
            <v>#N/A</v>
          </cell>
          <cell r="S1602">
            <v>0</v>
          </cell>
          <cell r="T1602">
            <v>3138400</v>
          </cell>
          <cell r="U1602" t="str">
            <v>ya</v>
          </cell>
          <cell r="V1602" t="e">
            <v>#N/A</v>
          </cell>
          <cell r="W1602" t="e">
            <v>#N/A</v>
          </cell>
          <cell r="X1602" t="e">
            <v>#N/A</v>
          </cell>
          <cell r="Z1602">
            <v>0</v>
          </cell>
          <cell r="AB1602">
            <v>0</v>
          </cell>
          <cell r="AD1602">
            <v>0</v>
          </cell>
          <cell r="AF1602">
            <v>0</v>
          </cell>
        </row>
        <row r="1603">
          <cell r="A1603">
            <v>1602</v>
          </cell>
          <cell r="C1603" t="e">
            <v>#N/A</v>
          </cell>
          <cell r="D1603" t="e">
            <v>#N/A</v>
          </cell>
          <cell r="E1603" t="e">
            <v>#N/A</v>
          </cell>
          <cell r="F1603" t="e">
            <v>#N/A</v>
          </cell>
          <cell r="G1603" t="e">
            <v>#N/A</v>
          </cell>
          <cell r="O1603" t="e">
            <v>#N/A</v>
          </cell>
          <cell r="S1603">
            <v>0</v>
          </cell>
          <cell r="T1603">
            <v>3138400</v>
          </cell>
          <cell r="U1603" t="str">
            <v>ya</v>
          </cell>
          <cell r="V1603" t="e">
            <v>#N/A</v>
          </cell>
          <cell r="W1603" t="e">
            <v>#N/A</v>
          </cell>
          <cell r="X1603" t="e">
            <v>#N/A</v>
          </cell>
          <cell r="Z1603">
            <v>0</v>
          </cell>
          <cell r="AB1603">
            <v>0</v>
          </cell>
          <cell r="AD1603">
            <v>0</v>
          </cell>
          <cell r="AF1603">
            <v>0</v>
          </cell>
        </row>
        <row r="1604">
          <cell r="A1604">
            <v>1603</v>
          </cell>
          <cell r="C1604" t="e">
            <v>#N/A</v>
          </cell>
          <cell r="D1604" t="e">
            <v>#N/A</v>
          </cell>
          <cell r="E1604" t="e">
            <v>#N/A</v>
          </cell>
          <cell r="F1604" t="e">
            <v>#N/A</v>
          </cell>
          <cell r="G1604" t="e">
            <v>#N/A</v>
          </cell>
          <cell r="O1604" t="e">
            <v>#N/A</v>
          </cell>
          <cell r="S1604">
            <v>0</v>
          </cell>
          <cell r="T1604">
            <v>3138400</v>
          </cell>
          <cell r="U1604" t="str">
            <v>ya</v>
          </cell>
          <cell r="V1604" t="e">
            <v>#N/A</v>
          </cell>
          <cell r="W1604" t="e">
            <v>#N/A</v>
          </cell>
          <cell r="X1604" t="e">
            <v>#N/A</v>
          </cell>
          <cell r="Z1604">
            <v>0</v>
          </cell>
          <cell r="AB1604">
            <v>0</v>
          </cell>
          <cell r="AD1604">
            <v>0</v>
          </cell>
          <cell r="AF1604">
            <v>0</v>
          </cell>
        </row>
        <row r="1605">
          <cell r="A1605">
            <v>1604</v>
          </cell>
          <cell r="C1605" t="e">
            <v>#N/A</v>
          </cell>
          <cell r="D1605" t="e">
            <v>#N/A</v>
          </cell>
          <cell r="E1605" t="e">
            <v>#N/A</v>
          </cell>
          <cell r="F1605" t="e">
            <v>#N/A</v>
          </cell>
          <cell r="G1605" t="e">
            <v>#N/A</v>
          </cell>
          <cell r="O1605" t="e">
            <v>#N/A</v>
          </cell>
          <cell r="S1605">
            <v>0</v>
          </cell>
          <cell r="T1605">
            <v>3138400</v>
          </cell>
          <cell r="V1605">
            <v>0</v>
          </cell>
          <cell r="W1605">
            <v>0</v>
          </cell>
          <cell r="X1605">
            <v>0</v>
          </cell>
          <cell r="Z1605">
            <v>0</v>
          </cell>
          <cell r="AB1605">
            <v>0</v>
          </cell>
          <cell r="AD1605">
            <v>0</v>
          </cell>
          <cell r="AF1605">
            <v>0</v>
          </cell>
        </row>
        <row r="1606">
          <cell r="A1606">
            <v>1605</v>
          </cell>
          <cell r="C1606" t="e">
            <v>#N/A</v>
          </cell>
          <cell r="D1606" t="e">
            <v>#N/A</v>
          </cell>
          <cell r="E1606" t="e">
            <v>#N/A</v>
          </cell>
          <cell r="F1606" t="e">
            <v>#N/A</v>
          </cell>
          <cell r="G1606" t="e">
            <v>#N/A</v>
          </cell>
          <cell r="O1606" t="e">
            <v>#N/A</v>
          </cell>
          <cell r="S1606">
            <v>0</v>
          </cell>
          <cell r="T1606">
            <v>3138400</v>
          </cell>
          <cell r="V1606">
            <v>0</v>
          </cell>
          <cell r="W1606">
            <v>0</v>
          </cell>
          <cell r="X1606">
            <v>0</v>
          </cell>
          <cell r="Z1606">
            <v>0</v>
          </cell>
          <cell r="AB1606">
            <v>0</v>
          </cell>
          <cell r="AD1606">
            <v>0</v>
          </cell>
          <cell r="AF1606">
            <v>0</v>
          </cell>
        </row>
        <row r="1607">
          <cell r="A1607">
            <v>1606</v>
          </cell>
          <cell r="C1607" t="e">
            <v>#N/A</v>
          </cell>
          <cell r="D1607" t="e">
            <v>#N/A</v>
          </cell>
          <cell r="E1607" t="e">
            <v>#N/A</v>
          </cell>
          <cell r="F1607" t="e">
            <v>#N/A</v>
          </cell>
          <cell r="G1607" t="e">
            <v>#N/A</v>
          </cell>
          <cell r="O1607" t="e">
            <v>#N/A</v>
          </cell>
          <cell r="S1607">
            <v>0</v>
          </cell>
          <cell r="T1607">
            <v>3138400</v>
          </cell>
          <cell r="V1607">
            <v>0</v>
          </cell>
          <cell r="W1607">
            <v>0</v>
          </cell>
          <cell r="X1607">
            <v>0</v>
          </cell>
          <cell r="Z1607">
            <v>0</v>
          </cell>
          <cell r="AB1607">
            <v>0</v>
          </cell>
          <cell r="AD1607">
            <v>0</v>
          </cell>
          <cell r="AF1607">
            <v>0</v>
          </cell>
        </row>
        <row r="1608">
          <cell r="A1608">
            <v>1607</v>
          </cell>
          <cell r="C1608" t="e">
            <v>#N/A</v>
          </cell>
          <cell r="D1608" t="e">
            <v>#N/A</v>
          </cell>
          <cell r="E1608" t="e">
            <v>#N/A</v>
          </cell>
          <cell r="F1608" t="e">
            <v>#N/A</v>
          </cell>
          <cell r="G1608" t="e">
            <v>#N/A</v>
          </cell>
          <cell r="O1608" t="e">
            <v>#N/A</v>
          </cell>
          <cell r="S1608">
            <v>0</v>
          </cell>
          <cell r="T1608">
            <v>3138400</v>
          </cell>
          <cell r="U1608" t="str">
            <v>ya</v>
          </cell>
          <cell r="V1608" t="e">
            <v>#N/A</v>
          </cell>
          <cell r="W1608" t="e">
            <v>#N/A</v>
          </cell>
          <cell r="X1608" t="e">
            <v>#N/A</v>
          </cell>
          <cell r="Z1608">
            <v>0</v>
          </cell>
          <cell r="AB1608">
            <v>0</v>
          </cell>
          <cell r="AD1608">
            <v>0</v>
          </cell>
          <cell r="AF1608">
            <v>0</v>
          </cell>
        </row>
        <row r="1609">
          <cell r="A1609">
            <v>1608</v>
          </cell>
          <cell r="C1609" t="e">
            <v>#N/A</v>
          </cell>
          <cell r="D1609" t="e">
            <v>#N/A</v>
          </cell>
          <cell r="E1609" t="e">
            <v>#N/A</v>
          </cell>
          <cell r="F1609" t="e">
            <v>#N/A</v>
          </cell>
          <cell r="G1609" t="e">
            <v>#N/A</v>
          </cell>
          <cell r="O1609" t="e">
            <v>#N/A</v>
          </cell>
          <cell r="S1609">
            <v>0</v>
          </cell>
          <cell r="T1609">
            <v>3138400</v>
          </cell>
          <cell r="U1609" t="str">
            <v>ya</v>
          </cell>
          <cell r="V1609" t="e">
            <v>#N/A</v>
          </cell>
          <cell r="W1609" t="e">
            <v>#N/A</v>
          </cell>
          <cell r="X1609" t="e">
            <v>#N/A</v>
          </cell>
          <cell r="Z1609">
            <v>0</v>
          </cell>
          <cell r="AB1609">
            <v>0</v>
          </cell>
          <cell r="AD1609">
            <v>0</v>
          </cell>
          <cell r="AF1609">
            <v>0</v>
          </cell>
        </row>
        <row r="1610">
          <cell r="A1610">
            <v>1609</v>
          </cell>
          <cell r="C1610" t="e">
            <v>#N/A</v>
          </cell>
          <cell r="D1610" t="e">
            <v>#N/A</v>
          </cell>
          <cell r="E1610" t="e">
            <v>#N/A</v>
          </cell>
          <cell r="F1610" t="e">
            <v>#N/A</v>
          </cell>
          <cell r="G1610" t="e">
            <v>#N/A</v>
          </cell>
          <cell r="O1610" t="e">
            <v>#N/A</v>
          </cell>
          <cell r="S1610">
            <v>0</v>
          </cell>
          <cell r="T1610">
            <v>3138400</v>
          </cell>
          <cell r="U1610" t="str">
            <v>ya</v>
          </cell>
          <cell r="V1610" t="e">
            <v>#N/A</v>
          </cell>
          <cell r="W1610" t="e">
            <v>#N/A</v>
          </cell>
          <cell r="X1610" t="e">
            <v>#N/A</v>
          </cell>
          <cell r="Z1610">
            <v>0</v>
          </cell>
          <cell r="AB1610">
            <v>0</v>
          </cell>
          <cell r="AD1610">
            <v>0</v>
          </cell>
          <cell r="AF1610">
            <v>0</v>
          </cell>
        </row>
        <row r="1611">
          <cell r="A1611">
            <v>1610</v>
          </cell>
          <cell r="C1611" t="e">
            <v>#N/A</v>
          </cell>
          <cell r="D1611" t="e">
            <v>#N/A</v>
          </cell>
          <cell r="E1611" t="e">
            <v>#N/A</v>
          </cell>
          <cell r="F1611" t="e">
            <v>#N/A</v>
          </cell>
          <cell r="G1611" t="e">
            <v>#N/A</v>
          </cell>
          <cell r="O1611" t="e">
            <v>#N/A</v>
          </cell>
          <cell r="S1611">
            <v>0</v>
          </cell>
          <cell r="T1611">
            <v>3138400</v>
          </cell>
          <cell r="U1611" t="str">
            <v>ya</v>
          </cell>
          <cell r="V1611" t="e">
            <v>#N/A</v>
          </cell>
          <cell r="W1611" t="e">
            <v>#N/A</v>
          </cell>
          <cell r="X1611" t="e">
            <v>#N/A</v>
          </cell>
          <cell r="Z1611">
            <v>0</v>
          </cell>
          <cell r="AB1611">
            <v>0</v>
          </cell>
          <cell r="AD1611">
            <v>0</v>
          </cell>
          <cell r="AF1611">
            <v>0</v>
          </cell>
        </row>
        <row r="1612">
          <cell r="A1612">
            <v>1611</v>
          </cell>
          <cell r="C1612" t="e">
            <v>#N/A</v>
          </cell>
          <cell r="D1612" t="e">
            <v>#N/A</v>
          </cell>
          <cell r="E1612" t="e">
            <v>#N/A</v>
          </cell>
          <cell r="F1612" t="e">
            <v>#N/A</v>
          </cell>
          <cell r="G1612" t="e">
            <v>#N/A</v>
          </cell>
          <cell r="O1612" t="e">
            <v>#N/A</v>
          </cell>
          <cell r="S1612">
            <v>0</v>
          </cell>
          <cell r="T1612">
            <v>3138400</v>
          </cell>
          <cell r="V1612">
            <v>0</v>
          </cell>
          <cell r="W1612">
            <v>0</v>
          </cell>
          <cell r="X1612">
            <v>0</v>
          </cell>
          <cell r="Z1612">
            <v>0</v>
          </cell>
          <cell r="AB1612">
            <v>0</v>
          </cell>
          <cell r="AD1612">
            <v>0</v>
          </cell>
          <cell r="AF1612">
            <v>0</v>
          </cell>
        </row>
        <row r="1613">
          <cell r="A1613">
            <v>1612</v>
          </cell>
          <cell r="C1613" t="e">
            <v>#N/A</v>
          </cell>
          <cell r="D1613" t="e">
            <v>#N/A</v>
          </cell>
          <cell r="E1613" t="e">
            <v>#N/A</v>
          </cell>
          <cell r="F1613" t="e">
            <v>#N/A</v>
          </cell>
          <cell r="G1613" t="e">
            <v>#N/A</v>
          </cell>
          <cell r="O1613" t="e">
            <v>#N/A</v>
          </cell>
          <cell r="S1613">
            <v>150000</v>
          </cell>
          <cell r="T1613">
            <v>3138400</v>
          </cell>
          <cell r="V1613">
            <v>0</v>
          </cell>
          <cell r="W1613">
            <v>0</v>
          </cell>
          <cell r="X1613">
            <v>0</v>
          </cell>
          <cell r="Z1613">
            <v>0</v>
          </cell>
          <cell r="AB1613">
            <v>0</v>
          </cell>
          <cell r="AD1613">
            <v>0</v>
          </cell>
          <cell r="AF1613">
            <v>0</v>
          </cell>
        </row>
        <row r="1614">
          <cell r="A1614">
            <v>1613</v>
          </cell>
          <cell r="C1614" t="e">
            <v>#N/A</v>
          </cell>
          <cell r="D1614" t="e">
            <v>#N/A</v>
          </cell>
          <cell r="E1614" t="e">
            <v>#N/A</v>
          </cell>
          <cell r="F1614" t="e">
            <v>#N/A</v>
          </cell>
          <cell r="G1614" t="e">
            <v>#N/A</v>
          </cell>
          <cell r="O1614" t="e">
            <v>#N/A</v>
          </cell>
          <cell r="S1614">
            <v>150000</v>
          </cell>
          <cell r="T1614">
            <v>3138400</v>
          </cell>
          <cell r="V1614">
            <v>0</v>
          </cell>
          <cell r="W1614">
            <v>0</v>
          </cell>
          <cell r="X1614">
            <v>0</v>
          </cell>
          <cell r="Z1614">
            <v>0</v>
          </cell>
          <cell r="AB1614">
            <v>0</v>
          </cell>
          <cell r="AD1614">
            <v>0</v>
          </cell>
          <cell r="AF1614">
            <v>0</v>
          </cell>
        </row>
        <row r="1615">
          <cell r="A1615">
            <v>1614</v>
          </cell>
          <cell r="C1615" t="e">
            <v>#N/A</v>
          </cell>
          <cell r="D1615" t="e">
            <v>#N/A</v>
          </cell>
          <cell r="E1615" t="e">
            <v>#N/A</v>
          </cell>
          <cell r="F1615" t="e">
            <v>#N/A</v>
          </cell>
          <cell r="G1615" t="e">
            <v>#N/A</v>
          </cell>
          <cell r="O1615" t="e">
            <v>#N/A</v>
          </cell>
          <cell r="S1615">
            <v>0</v>
          </cell>
          <cell r="T1615">
            <v>3138400</v>
          </cell>
          <cell r="V1615">
            <v>0</v>
          </cell>
          <cell r="W1615">
            <v>0</v>
          </cell>
          <cell r="X1615">
            <v>0</v>
          </cell>
          <cell r="Z1615">
            <v>0</v>
          </cell>
          <cell r="AB1615">
            <v>0</v>
          </cell>
          <cell r="AD1615">
            <v>0</v>
          </cell>
          <cell r="AF1615">
            <v>0</v>
          </cell>
        </row>
        <row r="1616">
          <cell r="A1616">
            <v>1615</v>
          </cell>
          <cell r="C1616" t="e">
            <v>#N/A</v>
          </cell>
          <cell r="D1616" t="e">
            <v>#N/A</v>
          </cell>
          <cell r="E1616" t="e">
            <v>#N/A</v>
          </cell>
          <cell r="F1616" t="e">
            <v>#N/A</v>
          </cell>
          <cell r="G1616" t="e">
            <v>#N/A</v>
          </cell>
          <cell r="O1616" t="e">
            <v>#N/A</v>
          </cell>
          <cell r="S1616">
            <v>0</v>
          </cell>
          <cell r="T1616">
            <v>3138400</v>
          </cell>
          <cell r="V1616">
            <v>0</v>
          </cell>
          <cell r="W1616">
            <v>0</v>
          </cell>
          <cell r="X1616">
            <v>0</v>
          </cell>
          <cell r="Z1616">
            <v>0</v>
          </cell>
          <cell r="AB1616">
            <v>0</v>
          </cell>
          <cell r="AD1616">
            <v>0</v>
          </cell>
          <cell r="AF1616">
            <v>0</v>
          </cell>
        </row>
        <row r="1617">
          <cell r="A1617">
            <v>1616</v>
          </cell>
          <cell r="C1617" t="e">
            <v>#N/A</v>
          </cell>
          <cell r="D1617" t="e">
            <v>#N/A</v>
          </cell>
          <cell r="E1617" t="e">
            <v>#N/A</v>
          </cell>
          <cell r="F1617" t="e">
            <v>#N/A</v>
          </cell>
          <cell r="G1617" t="e">
            <v>#N/A</v>
          </cell>
          <cell r="O1617" t="e">
            <v>#N/A</v>
          </cell>
          <cell r="S1617">
            <v>0</v>
          </cell>
          <cell r="T1617">
            <v>3138400</v>
          </cell>
          <cell r="V1617">
            <v>0</v>
          </cell>
          <cell r="W1617">
            <v>0</v>
          </cell>
          <cell r="X1617">
            <v>0</v>
          </cell>
          <cell r="Z1617">
            <v>0</v>
          </cell>
          <cell r="AB1617">
            <v>0</v>
          </cell>
          <cell r="AD1617">
            <v>0</v>
          </cell>
          <cell r="AF1617">
            <v>0</v>
          </cell>
        </row>
        <row r="1618">
          <cell r="A1618">
            <v>1617</v>
          </cell>
          <cell r="C1618" t="e">
            <v>#N/A</v>
          </cell>
          <cell r="D1618" t="e">
            <v>#N/A</v>
          </cell>
          <cell r="E1618" t="e">
            <v>#N/A</v>
          </cell>
          <cell r="F1618" t="e">
            <v>#N/A</v>
          </cell>
          <cell r="G1618" t="e">
            <v>#N/A</v>
          </cell>
          <cell r="O1618" t="e">
            <v>#N/A</v>
          </cell>
          <cell r="S1618">
            <v>0</v>
          </cell>
          <cell r="T1618">
            <v>3138400</v>
          </cell>
          <cell r="U1618" t="str">
            <v>ya</v>
          </cell>
          <cell r="V1618" t="e">
            <v>#N/A</v>
          </cell>
          <cell r="W1618" t="e">
            <v>#N/A</v>
          </cell>
          <cell r="X1618" t="e">
            <v>#N/A</v>
          </cell>
          <cell r="Z1618">
            <v>0</v>
          </cell>
          <cell r="AB1618">
            <v>0</v>
          </cell>
          <cell r="AD1618">
            <v>0</v>
          </cell>
          <cell r="AF1618">
            <v>0</v>
          </cell>
        </row>
        <row r="1619">
          <cell r="A1619">
            <v>1618</v>
          </cell>
          <cell r="C1619" t="e">
            <v>#N/A</v>
          </cell>
          <cell r="D1619" t="e">
            <v>#N/A</v>
          </cell>
          <cell r="E1619" t="e">
            <v>#N/A</v>
          </cell>
          <cell r="F1619" t="e">
            <v>#N/A</v>
          </cell>
          <cell r="G1619" t="e">
            <v>#N/A</v>
          </cell>
          <cell r="O1619" t="e">
            <v>#N/A</v>
          </cell>
          <cell r="S1619">
            <v>0</v>
          </cell>
          <cell r="T1619">
            <v>3138400</v>
          </cell>
          <cell r="U1619" t="str">
            <v>ya</v>
          </cell>
          <cell r="V1619" t="e">
            <v>#N/A</v>
          </cell>
          <cell r="W1619" t="e">
            <v>#N/A</v>
          </cell>
          <cell r="X1619" t="e">
            <v>#N/A</v>
          </cell>
          <cell r="Z1619">
            <v>0</v>
          </cell>
          <cell r="AB1619">
            <v>0</v>
          </cell>
          <cell r="AD1619">
            <v>0</v>
          </cell>
          <cell r="AF1619">
            <v>0</v>
          </cell>
        </row>
        <row r="1620">
          <cell r="A1620">
            <v>1619</v>
          </cell>
          <cell r="C1620" t="e">
            <v>#N/A</v>
          </cell>
          <cell r="D1620" t="e">
            <v>#N/A</v>
          </cell>
          <cell r="E1620" t="e">
            <v>#N/A</v>
          </cell>
          <cell r="F1620" t="e">
            <v>#N/A</v>
          </cell>
          <cell r="G1620" t="e">
            <v>#N/A</v>
          </cell>
          <cell r="O1620" t="e">
            <v>#N/A</v>
          </cell>
          <cell r="S1620">
            <v>0</v>
          </cell>
          <cell r="T1620">
            <v>3138400</v>
          </cell>
          <cell r="V1620">
            <v>0</v>
          </cell>
          <cell r="W1620">
            <v>0</v>
          </cell>
          <cell r="X1620">
            <v>0</v>
          </cell>
          <cell r="Z1620">
            <v>0</v>
          </cell>
          <cell r="AB1620">
            <v>0</v>
          </cell>
          <cell r="AD1620">
            <v>0</v>
          </cell>
          <cell r="AF1620">
            <v>0</v>
          </cell>
        </row>
        <row r="1621">
          <cell r="A1621">
            <v>1620</v>
          </cell>
          <cell r="C1621" t="e">
            <v>#N/A</v>
          </cell>
          <cell r="D1621" t="e">
            <v>#N/A</v>
          </cell>
          <cell r="E1621" t="e">
            <v>#N/A</v>
          </cell>
          <cell r="F1621" t="e">
            <v>#N/A</v>
          </cell>
          <cell r="G1621" t="e">
            <v>#N/A</v>
          </cell>
          <cell r="O1621" t="e">
            <v>#N/A</v>
          </cell>
          <cell r="S1621">
            <v>0</v>
          </cell>
          <cell r="T1621">
            <v>3138400</v>
          </cell>
          <cell r="V1621">
            <v>0</v>
          </cell>
          <cell r="W1621">
            <v>0</v>
          </cell>
          <cell r="X1621">
            <v>0</v>
          </cell>
          <cell r="Z1621">
            <v>0</v>
          </cell>
          <cell r="AB1621">
            <v>0</v>
          </cell>
          <cell r="AD1621">
            <v>0</v>
          </cell>
          <cell r="AF1621">
            <v>0</v>
          </cell>
        </row>
        <row r="1622">
          <cell r="A1622">
            <v>1621</v>
          </cell>
          <cell r="C1622" t="e">
            <v>#N/A</v>
          </cell>
          <cell r="D1622" t="e">
            <v>#N/A</v>
          </cell>
          <cell r="E1622" t="e">
            <v>#N/A</v>
          </cell>
          <cell r="F1622" t="e">
            <v>#N/A</v>
          </cell>
          <cell r="G1622" t="e">
            <v>#N/A</v>
          </cell>
          <cell r="O1622" t="e">
            <v>#N/A</v>
          </cell>
          <cell r="S1622">
            <v>0</v>
          </cell>
          <cell r="T1622">
            <v>3138400</v>
          </cell>
          <cell r="U1622" t="str">
            <v>ya</v>
          </cell>
          <cell r="V1622" t="e">
            <v>#N/A</v>
          </cell>
          <cell r="W1622" t="e">
            <v>#N/A</v>
          </cell>
          <cell r="X1622" t="e">
            <v>#N/A</v>
          </cell>
          <cell r="Z1622">
            <v>0</v>
          </cell>
          <cell r="AB1622">
            <v>0</v>
          </cell>
          <cell r="AD1622">
            <v>0</v>
          </cell>
          <cell r="AF1622">
            <v>0</v>
          </cell>
        </row>
        <row r="1623">
          <cell r="A1623">
            <v>1622</v>
          </cell>
          <cell r="C1623" t="e">
            <v>#N/A</v>
          </cell>
          <cell r="D1623" t="e">
            <v>#N/A</v>
          </cell>
          <cell r="E1623" t="e">
            <v>#N/A</v>
          </cell>
          <cell r="F1623" t="e">
            <v>#N/A</v>
          </cell>
          <cell r="G1623" t="e">
            <v>#N/A</v>
          </cell>
          <cell r="O1623" t="e">
            <v>#N/A</v>
          </cell>
          <cell r="S1623">
            <v>0</v>
          </cell>
          <cell r="T1623">
            <v>3138400</v>
          </cell>
          <cell r="U1623" t="str">
            <v>ya</v>
          </cell>
          <cell r="V1623" t="e">
            <v>#N/A</v>
          </cell>
          <cell r="W1623" t="e">
            <v>#N/A</v>
          </cell>
          <cell r="X1623" t="e">
            <v>#N/A</v>
          </cell>
          <cell r="Z1623">
            <v>0</v>
          </cell>
          <cell r="AB1623">
            <v>0</v>
          </cell>
          <cell r="AD1623">
            <v>0</v>
          </cell>
          <cell r="AF1623">
            <v>0</v>
          </cell>
        </row>
        <row r="1624">
          <cell r="A1624">
            <v>1623</v>
          </cell>
          <cell r="C1624" t="e">
            <v>#N/A</v>
          </cell>
          <cell r="D1624" t="e">
            <v>#N/A</v>
          </cell>
          <cell r="E1624" t="e">
            <v>#N/A</v>
          </cell>
          <cell r="F1624" t="e">
            <v>#N/A</v>
          </cell>
          <cell r="G1624" t="e">
            <v>#N/A</v>
          </cell>
          <cell r="O1624" t="e">
            <v>#N/A</v>
          </cell>
          <cell r="S1624">
            <v>0</v>
          </cell>
          <cell r="T1624">
            <v>3138400</v>
          </cell>
          <cell r="V1624">
            <v>0</v>
          </cell>
          <cell r="W1624">
            <v>0</v>
          </cell>
          <cell r="X1624">
            <v>0</v>
          </cell>
          <cell r="Z1624">
            <v>0</v>
          </cell>
          <cell r="AB1624">
            <v>0</v>
          </cell>
          <cell r="AD1624">
            <v>0</v>
          </cell>
          <cell r="AF1624">
            <v>0</v>
          </cell>
        </row>
        <row r="1625">
          <cell r="A1625">
            <v>1624</v>
          </cell>
          <cell r="C1625" t="e">
            <v>#N/A</v>
          </cell>
          <cell r="D1625" t="e">
            <v>#N/A</v>
          </cell>
          <cell r="E1625" t="e">
            <v>#N/A</v>
          </cell>
          <cell r="F1625" t="e">
            <v>#N/A</v>
          </cell>
          <cell r="G1625" t="e">
            <v>#N/A</v>
          </cell>
          <cell r="O1625" t="e">
            <v>#N/A</v>
          </cell>
          <cell r="S1625">
            <v>0</v>
          </cell>
          <cell r="T1625">
            <v>3138400</v>
          </cell>
          <cell r="V1625">
            <v>0</v>
          </cell>
          <cell r="W1625">
            <v>0</v>
          </cell>
          <cell r="X1625">
            <v>0</v>
          </cell>
          <cell r="Z1625">
            <v>0</v>
          </cell>
          <cell r="AB1625">
            <v>0</v>
          </cell>
          <cell r="AD1625">
            <v>0</v>
          </cell>
          <cell r="AF1625">
            <v>0</v>
          </cell>
        </row>
        <row r="1626">
          <cell r="A1626">
            <v>1625</v>
          </cell>
          <cell r="C1626" t="e">
            <v>#N/A</v>
          </cell>
          <cell r="D1626" t="e">
            <v>#N/A</v>
          </cell>
          <cell r="E1626" t="e">
            <v>#N/A</v>
          </cell>
          <cell r="F1626" t="e">
            <v>#N/A</v>
          </cell>
          <cell r="G1626" t="e">
            <v>#N/A</v>
          </cell>
          <cell r="O1626" t="e">
            <v>#N/A</v>
          </cell>
          <cell r="S1626">
            <v>0</v>
          </cell>
          <cell r="T1626">
            <v>3138400</v>
          </cell>
          <cell r="V1626">
            <v>0</v>
          </cell>
          <cell r="W1626">
            <v>0</v>
          </cell>
          <cell r="X1626">
            <v>0</v>
          </cell>
          <cell r="Z1626">
            <v>0</v>
          </cell>
          <cell r="AB1626">
            <v>0</v>
          </cell>
          <cell r="AD1626">
            <v>0</v>
          </cell>
          <cell r="AF1626">
            <v>0</v>
          </cell>
        </row>
        <row r="1627">
          <cell r="A1627">
            <v>1626</v>
          </cell>
          <cell r="C1627" t="e">
            <v>#N/A</v>
          </cell>
          <cell r="D1627" t="e">
            <v>#N/A</v>
          </cell>
          <cell r="E1627" t="e">
            <v>#N/A</v>
          </cell>
          <cell r="F1627" t="e">
            <v>#N/A</v>
          </cell>
          <cell r="G1627" t="e">
            <v>#N/A</v>
          </cell>
          <cell r="O1627" t="e">
            <v>#N/A</v>
          </cell>
          <cell r="S1627">
            <v>0</v>
          </cell>
          <cell r="T1627">
            <v>3138400</v>
          </cell>
          <cell r="V1627">
            <v>0</v>
          </cell>
          <cell r="W1627">
            <v>0</v>
          </cell>
          <cell r="X1627">
            <v>0</v>
          </cell>
          <cell r="Z1627">
            <v>0</v>
          </cell>
          <cell r="AB1627">
            <v>0</v>
          </cell>
          <cell r="AD1627">
            <v>0</v>
          </cell>
          <cell r="AF1627">
            <v>0</v>
          </cell>
        </row>
        <row r="1628">
          <cell r="A1628">
            <v>1627</v>
          </cell>
          <cell r="C1628" t="e">
            <v>#N/A</v>
          </cell>
          <cell r="D1628" t="e">
            <v>#N/A</v>
          </cell>
          <cell r="E1628" t="e">
            <v>#N/A</v>
          </cell>
          <cell r="F1628" t="str">
            <v xml:space="preserve">Pengemudi Pimpinan </v>
          </cell>
          <cell r="G1628" t="e">
            <v>#N/A</v>
          </cell>
          <cell r="O1628" t="e">
            <v>#N/A</v>
          </cell>
          <cell r="S1628">
            <v>0</v>
          </cell>
          <cell r="T1628">
            <v>3138400</v>
          </cell>
          <cell r="V1628">
            <v>0</v>
          </cell>
          <cell r="W1628">
            <v>0</v>
          </cell>
          <cell r="X1628">
            <v>0</v>
          </cell>
          <cell r="Z1628">
            <v>0</v>
          </cell>
          <cell r="AB1628">
            <v>0</v>
          </cell>
          <cell r="AD1628">
            <v>0</v>
          </cell>
          <cell r="AF1628">
            <v>0</v>
          </cell>
        </row>
        <row r="1629">
          <cell r="A1629">
            <v>1628</v>
          </cell>
          <cell r="C1629" t="e">
            <v>#N/A</v>
          </cell>
          <cell r="D1629" t="e">
            <v>#N/A</v>
          </cell>
          <cell r="E1629" t="e">
            <v>#N/A</v>
          </cell>
          <cell r="F1629" t="str">
            <v xml:space="preserve">Pengemudi Pimpinan </v>
          </cell>
          <cell r="G1629" t="e">
            <v>#N/A</v>
          </cell>
          <cell r="O1629" t="e">
            <v>#N/A</v>
          </cell>
          <cell r="S1629">
            <v>0</v>
          </cell>
          <cell r="T1629">
            <v>3138400</v>
          </cell>
          <cell r="V1629">
            <v>0</v>
          </cell>
          <cell r="W1629">
            <v>0</v>
          </cell>
          <cell r="X1629">
            <v>0</v>
          </cell>
          <cell r="Z1629">
            <v>0</v>
          </cell>
          <cell r="AB1629">
            <v>0</v>
          </cell>
          <cell r="AD1629">
            <v>0</v>
          </cell>
          <cell r="AF1629">
            <v>0</v>
          </cell>
        </row>
        <row r="1630">
          <cell r="A1630">
            <v>1629</v>
          </cell>
          <cell r="C1630" t="e">
            <v>#N/A</v>
          </cell>
          <cell r="D1630" t="e">
            <v>#N/A</v>
          </cell>
          <cell r="E1630" t="e">
            <v>#N/A</v>
          </cell>
          <cell r="F1630" t="str">
            <v xml:space="preserve">Pengemudi Pimpinan </v>
          </cell>
          <cell r="G1630" t="e">
            <v>#N/A</v>
          </cell>
          <cell r="O1630" t="e">
            <v>#N/A</v>
          </cell>
          <cell r="S1630">
            <v>0</v>
          </cell>
          <cell r="T1630">
            <v>3138400</v>
          </cell>
          <cell r="V1630">
            <v>0</v>
          </cell>
          <cell r="W1630">
            <v>0</v>
          </cell>
          <cell r="X1630">
            <v>0</v>
          </cell>
          <cell r="Z1630">
            <v>0</v>
          </cell>
          <cell r="AB1630">
            <v>0</v>
          </cell>
          <cell r="AD1630">
            <v>0</v>
          </cell>
          <cell r="AF1630">
            <v>0</v>
          </cell>
        </row>
        <row r="1631">
          <cell r="A1631">
            <v>1630</v>
          </cell>
          <cell r="C1631" t="e">
            <v>#N/A</v>
          </cell>
          <cell r="D1631" t="e">
            <v>#N/A</v>
          </cell>
          <cell r="E1631" t="e">
            <v>#N/A</v>
          </cell>
          <cell r="F1631" t="str">
            <v xml:space="preserve">Pengemudi Pimpinan </v>
          </cell>
          <cell r="G1631" t="e">
            <v>#N/A</v>
          </cell>
          <cell r="O1631" t="e">
            <v>#N/A</v>
          </cell>
          <cell r="S1631">
            <v>0</v>
          </cell>
          <cell r="T1631">
            <v>3138400</v>
          </cell>
          <cell r="V1631">
            <v>0</v>
          </cell>
          <cell r="W1631">
            <v>0</v>
          </cell>
          <cell r="X1631">
            <v>0</v>
          </cell>
          <cell r="Z1631">
            <v>0</v>
          </cell>
          <cell r="AB1631">
            <v>0</v>
          </cell>
          <cell r="AD1631">
            <v>0</v>
          </cell>
          <cell r="AF1631">
            <v>0</v>
          </cell>
        </row>
        <row r="1632">
          <cell r="A1632">
            <v>1631</v>
          </cell>
          <cell r="C1632" t="e">
            <v>#N/A</v>
          </cell>
          <cell r="D1632" t="e">
            <v>#N/A</v>
          </cell>
          <cell r="E1632" t="e">
            <v>#N/A</v>
          </cell>
          <cell r="F1632" t="e">
            <v>#N/A</v>
          </cell>
          <cell r="G1632" t="e">
            <v>#N/A</v>
          </cell>
          <cell r="O1632" t="e">
            <v>#N/A</v>
          </cell>
          <cell r="S1632">
            <v>0</v>
          </cell>
          <cell r="T1632">
            <v>3138400</v>
          </cell>
          <cell r="V1632">
            <v>0</v>
          </cell>
          <cell r="W1632">
            <v>0</v>
          </cell>
          <cell r="X1632">
            <v>0</v>
          </cell>
          <cell r="Z1632">
            <v>0</v>
          </cell>
          <cell r="AB1632">
            <v>0</v>
          </cell>
          <cell r="AD1632">
            <v>0</v>
          </cell>
          <cell r="AF1632">
            <v>0</v>
          </cell>
        </row>
        <row r="1633">
          <cell r="A1633">
            <v>1632</v>
          </cell>
          <cell r="C1633" t="e">
            <v>#N/A</v>
          </cell>
          <cell r="D1633" t="e">
            <v>#N/A</v>
          </cell>
          <cell r="E1633" t="e">
            <v>#N/A</v>
          </cell>
          <cell r="F1633" t="e">
            <v>#N/A</v>
          </cell>
          <cell r="G1633" t="e">
            <v>#N/A</v>
          </cell>
          <cell r="O1633" t="e">
            <v>#N/A</v>
          </cell>
          <cell r="S1633">
            <v>0</v>
          </cell>
          <cell r="T1633">
            <v>3138400</v>
          </cell>
          <cell r="V1633">
            <v>0</v>
          </cell>
          <cell r="W1633">
            <v>0</v>
          </cell>
          <cell r="X1633">
            <v>0</v>
          </cell>
          <cell r="Z1633">
            <v>0</v>
          </cell>
          <cell r="AB1633">
            <v>0</v>
          </cell>
          <cell r="AD1633">
            <v>0</v>
          </cell>
          <cell r="AF1633">
            <v>0</v>
          </cell>
        </row>
        <row r="1634">
          <cell r="A1634">
            <v>1633</v>
          </cell>
          <cell r="C1634" t="e">
            <v>#N/A</v>
          </cell>
          <cell r="D1634" t="e">
            <v>#N/A</v>
          </cell>
          <cell r="E1634" t="e">
            <v>#N/A</v>
          </cell>
          <cell r="F1634" t="e">
            <v>#N/A</v>
          </cell>
          <cell r="G1634" t="e">
            <v>#N/A</v>
          </cell>
          <cell r="O1634" t="e">
            <v>#N/A</v>
          </cell>
          <cell r="S1634">
            <v>0</v>
          </cell>
          <cell r="T1634">
            <v>3138400</v>
          </cell>
          <cell r="V1634">
            <v>0</v>
          </cell>
          <cell r="W1634">
            <v>0</v>
          </cell>
          <cell r="X1634">
            <v>0</v>
          </cell>
          <cell r="Z1634">
            <v>0</v>
          </cell>
          <cell r="AB1634">
            <v>0</v>
          </cell>
          <cell r="AD1634">
            <v>0</v>
          </cell>
          <cell r="AF1634">
            <v>0</v>
          </cell>
        </row>
        <row r="1635">
          <cell r="A1635">
            <v>1634</v>
          </cell>
          <cell r="C1635" t="e">
            <v>#N/A</v>
          </cell>
          <cell r="D1635" t="e">
            <v>#N/A</v>
          </cell>
          <cell r="E1635" t="e">
            <v>#N/A</v>
          </cell>
          <cell r="F1635" t="e">
            <v>#N/A</v>
          </cell>
          <cell r="G1635" t="e">
            <v>#N/A</v>
          </cell>
          <cell r="O1635" t="e">
            <v>#N/A</v>
          </cell>
          <cell r="S1635">
            <v>0</v>
          </cell>
          <cell r="T1635">
            <v>3138400</v>
          </cell>
          <cell r="V1635">
            <v>0</v>
          </cell>
          <cell r="W1635">
            <v>0</v>
          </cell>
          <cell r="X1635">
            <v>0</v>
          </cell>
          <cell r="Z1635">
            <v>0</v>
          </cell>
          <cell r="AB1635">
            <v>0</v>
          </cell>
          <cell r="AD1635">
            <v>0</v>
          </cell>
          <cell r="AF1635">
            <v>0</v>
          </cell>
        </row>
        <row r="1636">
          <cell r="A1636">
            <v>1635</v>
          </cell>
          <cell r="C1636" t="e">
            <v>#N/A</v>
          </cell>
          <cell r="D1636" t="e">
            <v>#N/A</v>
          </cell>
          <cell r="E1636" t="e">
            <v>#N/A</v>
          </cell>
          <cell r="F1636" t="e">
            <v>#N/A</v>
          </cell>
          <cell r="G1636" t="e">
            <v>#N/A</v>
          </cell>
          <cell r="O1636" t="e">
            <v>#N/A</v>
          </cell>
          <cell r="S1636">
            <v>0</v>
          </cell>
          <cell r="T1636">
            <v>3138400</v>
          </cell>
          <cell r="V1636">
            <v>0</v>
          </cell>
          <cell r="W1636">
            <v>0</v>
          </cell>
          <cell r="X1636">
            <v>0</v>
          </cell>
          <cell r="Z1636">
            <v>0</v>
          </cell>
          <cell r="AB1636">
            <v>0</v>
          </cell>
          <cell r="AD1636">
            <v>0</v>
          </cell>
          <cell r="AF1636">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erjadin Kolektif-1"/>
      <sheetName val="SPD-Terlampir"/>
    </sheetNames>
    <sheetDataSet>
      <sheetData sheetId="0">
        <row r="152">
          <cell r="A152" t="str">
            <v>524111 - Belanja Perjalanan Dinas Biasa</v>
          </cell>
          <cell r="D152" t="str">
            <v>4472.BDB.002.052.A.524111</v>
          </cell>
        </row>
        <row r="153">
          <cell r="A153" t="str">
            <v>524114 - Belanja Perjalanan Dinas Paket Meeting Dalam Kota</v>
          </cell>
          <cell r="D153" t="str">
            <v>4472.BDB.002.052.A.524114</v>
          </cell>
        </row>
        <row r="154">
          <cell r="A154" t="str">
            <v>524119 - Belanja Perjalanan Dinas Paket Meeting Luar Kota</v>
          </cell>
          <cell r="D154" t="str">
            <v>6392.EBA.962.051.E.524119</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F7BF-AFF8-4670-8416-F5C36DCE475F}">
  <dimension ref="A1:H212"/>
  <sheetViews>
    <sheetView zoomScaleNormal="100" workbookViewId="0">
      <selection activeCell="D27" sqref="D27"/>
    </sheetView>
  </sheetViews>
  <sheetFormatPr defaultRowHeight="15.6" customHeight="1" x14ac:dyDescent="0.25"/>
  <cols>
    <col min="1" max="1" width="19.75" customWidth="1"/>
    <col min="2" max="2" width="15.375" bestFit="1" customWidth="1"/>
    <col min="3" max="3" width="33.25" customWidth="1"/>
    <col min="4" max="4" width="89.25" customWidth="1"/>
    <col min="5" max="5" width="63.75" customWidth="1"/>
    <col min="6" max="6" width="30.875" customWidth="1"/>
    <col min="7" max="7" width="93.625" bestFit="1" customWidth="1"/>
  </cols>
  <sheetData>
    <row r="1" spans="1:8" ht="15.6" customHeight="1" x14ac:dyDescent="0.25">
      <c r="A1" t="s">
        <v>873</v>
      </c>
      <c r="B1" t="s">
        <v>874</v>
      </c>
      <c r="C1" t="s">
        <v>875</v>
      </c>
      <c r="D1" t="s">
        <v>876</v>
      </c>
      <c r="E1" t="s">
        <v>877</v>
      </c>
      <c r="F1" t="s">
        <v>878</v>
      </c>
      <c r="G1" t="s">
        <v>879</v>
      </c>
      <c r="H1" t="s">
        <v>880</v>
      </c>
    </row>
    <row r="2" spans="1:8" ht="15.6" customHeight="1" x14ac:dyDescent="0.25">
      <c r="A2" s="130" t="s">
        <v>881</v>
      </c>
      <c r="B2" s="130" t="s">
        <v>882</v>
      </c>
      <c r="C2" s="130" t="s">
        <v>883</v>
      </c>
      <c r="D2" s="130" t="s">
        <v>884</v>
      </c>
      <c r="E2" s="130" t="s">
        <v>885</v>
      </c>
      <c r="F2" s="130" t="s">
        <v>886</v>
      </c>
      <c r="G2" s="130" t="s">
        <v>887</v>
      </c>
    </row>
    <row r="3" spans="1:8" ht="15.6" customHeight="1" x14ac:dyDescent="0.25">
      <c r="A3" s="130"/>
      <c r="B3" s="130"/>
      <c r="C3" s="130"/>
      <c r="D3" s="130" t="s">
        <v>888</v>
      </c>
      <c r="E3" s="130" t="s">
        <v>889</v>
      </c>
      <c r="F3" s="130" t="s">
        <v>890</v>
      </c>
      <c r="G3" s="130" t="s">
        <v>891</v>
      </c>
    </row>
    <row r="4" spans="1:8" ht="15.6" customHeight="1" x14ac:dyDescent="0.25">
      <c r="A4" s="130"/>
      <c r="B4" s="130"/>
      <c r="C4" s="130"/>
      <c r="D4" s="130"/>
      <c r="E4" s="130" t="s">
        <v>892</v>
      </c>
      <c r="F4" s="130" t="s">
        <v>893</v>
      </c>
      <c r="G4" s="130" t="s">
        <v>894</v>
      </c>
    </row>
    <row r="5" spans="1:8" ht="15.6" customHeight="1" x14ac:dyDescent="0.25">
      <c r="A5" s="130"/>
      <c r="B5" s="130"/>
      <c r="C5" s="130"/>
      <c r="D5" s="130"/>
      <c r="E5" s="130"/>
      <c r="F5" s="130"/>
      <c r="G5" s="130" t="s">
        <v>895</v>
      </c>
    </row>
    <row r="6" spans="1:8" ht="15.6" customHeight="1" x14ac:dyDescent="0.25">
      <c r="A6" s="130"/>
      <c r="B6" s="130"/>
      <c r="C6" s="130"/>
      <c r="D6" s="130"/>
      <c r="E6" s="130"/>
      <c r="F6" s="130"/>
      <c r="G6" s="130"/>
    </row>
    <row r="7" spans="1:8" ht="15.6" customHeight="1" x14ac:dyDescent="0.25">
      <c r="A7" t="s">
        <v>896</v>
      </c>
      <c r="B7" t="s">
        <v>897</v>
      </c>
      <c r="C7" t="s">
        <v>898</v>
      </c>
      <c r="D7" t="s">
        <v>899</v>
      </c>
      <c r="E7" s="130"/>
      <c r="F7" t="s">
        <v>900</v>
      </c>
      <c r="G7" s="130"/>
    </row>
    <row r="8" spans="1:8" ht="15.6" customHeight="1" x14ac:dyDescent="0.25">
      <c r="A8" s="130" t="s">
        <v>904</v>
      </c>
      <c r="B8" s="130" t="s">
        <v>901</v>
      </c>
      <c r="C8" s="130" t="s">
        <v>902</v>
      </c>
      <c r="D8" s="130" t="s">
        <v>903</v>
      </c>
      <c r="F8" s="130" t="s">
        <v>842</v>
      </c>
    </row>
    <row r="9" spans="1:8" ht="15.6" customHeight="1" x14ac:dyDescent="0.25">
      <c r="A9" s="130" t="s">
        <v>791</v>
      </c>
      <c r="B9" s="130" t="s">
        <v>905</v>
      </c>
      <c r="C9" s="130" t="s">
        <v>906</v>
      </c>
      <c r="D9" s="130" t="s">
        <v>907</v>
      </c>
      <c r="F9" s="130" t="s">
        <v>844</v>
      </c>
    </row>
    <row r="10" spans="1:8" ht="15.6" customHeight="1" x14ac:dyDescent="0.25">
      <c r="A10" s="130" t="s">
        <v>911</v>
      </c>
      <c r="B10" s="130" t="s">
        <v>908</v>
      </c>
      <c r="C10" s="130" t="s">
        <v>909</v>
      </c>
      <c r="D10" s="130" t="s">
        <v>910</v>
      </c>
      <c r="F10" s="130" t="s">
        <v>845</v>
      </c>
    </row>
    <row r="11" spans="1:8" ht="15.6" customHeight="1" x14ac:dyDescent="0.25">
      <c r="A11" s="130" t="s">
        <v>792</v>
      </c>
      <c r="B11" s="130" t="s">
        <v>912</v>
      </c>
      <c r="C11" s="130" t="s">
        <v>913</v>
      </c>
      <c r="D11" s="130" t="s">
        <v>914</v>
      </c>
      <c r="F11" s="130" t="s">
        <v>915</v>
      </c>
    </row>
    <row r="12" spans="1:8" ht="15.6" customHeight="1" x14ac:dyDescent="0.25">
      <c r="A12" s="130" t="s">
        <v>793</v>
      </c>
      <c r="B12" s="130"/>
      <c r="C12" s="130" t="s">
        <v>916</v>
      </c>
      <c r="D12" s="130" t="s">
        <v>917</v>
      </c>
      <c r="F12" s="130" t="s">
        <v>918</v>
      </c>
    </row>
    <row r="13" spans="1:8" ht="15.6" customHeight="1" x14ac:dyDescent="0.25">
      <c r="A13" s="130" t="s">
        <v>922</v>
      </c>
      <c r="C13" s="130" t="s">
        <v>919</v>
      </c>
      <c r="D13" s="130" t="s">
        <v>920</v>
      </c>
      <c r="F13" s="130" t="s">
        <v>921</v>
      </c>
    </row>
    <row r="14" spans="1:8" ht="15.6" customHeight="1" x14ac:dyDescent="0.25">
      <c r="A14" s="130" t="s">
        <v>926</v>
      </c>
      <c r="C14" s="130" t="s">
        <v>923</v>
      </c>
      <c r="D14" s="130" t="s">
        <v>924</v>
      </c>
      <c r="F14" s="130" t="s">
        <v>925</v>
      </c>
    </row>
    <row r="15" spans="1:8" ht="15.6" customHeight="1" x14ac:dyDescent="0.25">
      <c r="A15" s="130" t="s">
        <v>929</v>
      </c>
      <c r="C15" s="130" t="s">
        <v>927</v>
      </c>
      <c r="D15" s="130" t="s">
        <v>928</v>
      </c>
    </row>
    <row r="16" spans="1:8" ht="15.6" customHeight="1" x14ac:dyDescent="0.25">
      <c r="C16" s="130" t="s">
        <v>930</v>
      </c>
      <c r="D16" s="130" t="s">
        <v>931</v>
      </c>
    </row>
    <row r="17" spans="3:4" ht="15.6" customHeight="1" x14ac:dyDescent="0.25">
      <c r="C17" s="130" t="s">
        <v>932</v>
      </c>
      <c r="D17" s="130" t="s">
        <v>933</v>
      </c>
    </row>
    <row r="18" spans="3:4" ht="15.6" customHeight="1" x14ac:dyDescent="0.25">
      <c r="C18" s="130" t="s">
        <v>934</v>
      </c>
      <c r="D18" s="130" t="s">
        <v>935</v>
      </c>
    </row>
    <row r="19" spans="3:4" ht="15.75" x14ac:dyDescent="0.25">
      <c r="C19" s="130" t="s">
        <v>936</v>
      </c>
      <c r="D19" s="130" t="s">
        <v>937</v>
      </c>
    </row>
    <row r="20" spans="3:4" ht="15.75" x14ac:dyDescent="0.25">
      <c r="C20" s="130" t="s">
        <v>938</v>
      </c>
      <c r="D20" s="130"/>
    </row>
    <row r="21" spans="3:4" ht="15.75" x14ac:dyDescent="0.25">
      <c r="C21" s="130"/>
    </row>
    <row r="22" spans="3:4" ht="15.75" x14ac:dyDescent="0.25">
      <c r="C22" s="130"/>
    </row>
    <row r="23" spans="3:4" ht="15.75" x14ac:dyDescent="0.25"/>
    <row r="24" spans="3:4" ht="15.75" x14ac:dyDescent="0.25"/>
    <row r="25" spans="3:4" ht="15.75" x14ac:dyDescent="0.25"/>
    <row r="26" spans="3:4" ht="15.75" x14ac:dyDescent="0.25"/>
    <row r="27" spans="3:4" ht="15.75" x14ac:dyDescent="0.25"/>
    <row r="28" spans="3:4" ht="15.75" x14ac:dyDescent="0.25"/>
    <row r="29" spans="3:4" ht="15.75" x14ac:dyDescent="0.25"/>
    <row r="30" spans="3:4" ht="15.75" x14ac:dyDescent="0.25"/>
    <row r="31" spans="3:4" ht="15.75" x14ac:dyDescent="0.25"/>
    <row r="32" spans="3:4" ht="15.75" x14ac:dyDescent="0.25"/>
    <row r="33" ht="15.75" x14ac:dyDescent="0.25"/>
    <row r="34" ht="15.75" x14ac:dyDescent="0.25"/>
    <row r="35" ht="15.75" x14ac:dyDescent="0.25"/>
    <row r="36" ht="15.75" x14ac:dyDescent="0.25"/>
    <row r="37" ht="15.75" x14ac:dyDescent="0.25"/>
    <row r="38" ht="15.75" x14ac:dyDescent="0.25"/>
    <row r="39" ht="15.75" x14ac:dyDescent="0.25"/>
    <row r="40" ht="15.75" x14ac:dyDescent="0.25"/>
    <row r="41" ht="15.75" x14ac:dyDescent="0.25"/>
    <row r="42" ht="15.75" x14ac:dyDescent="0.25"/>
    <row r="43" ht="15.75" x14ac:dyDescent="0.25"/>
    <row r="44" ht="15.75" x14ac:dyDescent="0.25"/>
    <row r="45" ht="15.75" x14ac:dyDescent="0.25"/>
    <row r="46" ht="15.75" x14ac:dyDescent="0.25"/>
    <row r="47" ht="15.75" x14ac:dyDescent="0.25"/>
    <row r="48" ht="15.75" x14ac:dyDescent="0.25"/>
    <row r="49" ht="15.75" x14ac:dyDescent="0.25"/>
    <row r="50" ht="15.75" x14ac:dyDescent="0.25"/>
    <row r="51" ht="15.75" x14ac:dyDescent="0.25"/>
    <row r="52" ht="15.75" x14ac:dyDescent="0.25"/>
    <row r="53" ht="15.75" x14ac:dyDescent="0.25"/>
    <row r="54" ht="15.75" x14ac:dyDescent="0.25"/>
    <row r="55" ht="15.75" x14ac:dyDescent="0.25"/>
    <row r="56" ht="15.75" x14ac:dyDescent="0.25"/>
    <row r="57" ht="15.75" x14ac:dyDescent="0.25"/>
    <row r="58" ht="15.75" x14ac:dyDescent="0.25"/>
    <row r="59" ht="15.75" x14ac:dyDescent="0.25"/>
    <row r="60" ht="15.75" x14ac:dyDescent="0.25"/>
    <row r="61" ht="15.75" x14ac:dyDescent="0.25"/>
    <row r="62" ht="15.75" x14ac:dyDescent="0.25"/>
    <row r="63" ht="15.75" x14ac:dyDescent="0.25"/>
    <row r="64"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row r="99" ht="15.75" x14ac:dyDescent="0.25"/>
    <row r="100" ht="15.75" x14ac:dyDescent="0.25"/>
    <row r="101" ht="15.75" x14ac:dyDescent="0.25"/>
    <row r="102" ht="15.75" x14ac:dyDescent="0.25"/>
    <row r="103" ht="15.75" x14ac:dyDescent="0.25"/>
    <row r="104" ht="15.75" x14ac:dyDescent="0.25"/>
    <row r="105" ht="15.75" x14ac:dyDescent="0.25"/>
    <row r="106" ht="15.75" x14ac:dyDescent="0.25"/>
    <row r="107" ht="15.75" x14ac:dyDescent="0.25"/>
    <row r="108" ht="15.75" x14ac:dyDescent="0.25"/>
    <row r="109" ht="15.75" x14ac:dyDescent="0.25"/>
    <row r="110" ht="15.75" x14ac:dyDescent="0.25"/>
    <row r="111" ht="15.75" x14ac:dyDescent="0.25"/>
    <row r="112" ht="15.75" x14ac:dyDescent="0.25"/>
    <row r="113" ht="15.75" x14ac:dyDescent="0.25"/>
    <row r="114" ht="15.75" x14ac:dyDescent="0.25"/>
    <row r="115" ht="15.75" x14ac:dyDescent="0.25"/>
    <row r="116" ht="15.75" x14ac:dyDescent="0.25"/>
    <row r="117" ht="15.75" x14ac:dyDescent="0.25"/>
    <row r="118" ht="15.75" x14ac:dyDescent="0.25"/>
    <row r="119" ht="15.75" x14ac:dyDescent="0.25"/>
    <row r="120" ht="15.75" x14ac:dyDescent="0.25"/>
    <row r="121" ht="15.75" x14ac:dyDescent="0.25"/>
    <row r="122" ht="15.75" x14ac:dyDescent="0.25"/>
    <row r="123" ht="15.75" x14ac:dyDescent="0.25"/>
    <row r="124" ht="15.75" x14ac:dyDescent="0.25"/>
    <row r="125" ht="15.75" x14ac:dyDescent="0.25"/>
    <row r="126" ht="15.75" x14ac:dyDescent="0.25"/>
    <row r="127" ht="15.75" x14ac:dyDescent="0.25"/>
    <row r="128"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ht="15.75" x14ac:dyDescent="0.25"/>
    <row r="194" ht="15.75" x14ac:dyDescent="0.25"/>
    <row r="195" ht="15.75" x14ac:dyDescent="0.25"/>
    <row r="196" ht="15.75" x14ac:dyDescent="0.25"/>
    <row r="197" ht="15.75" x14ac:dyDescent="0.25"/>
    <row r="198" ht="15.75" x14ac:dyDescent="0.25"/>
    <row r="199" ht="15.75" x14ac:dyDescent="0.25"/>
    <row r="200" ht="15.75" x14ac:dyDescent="0.25"/>
    <row r="201" ht="15.75" x14ac:dyDescent="0.25"/>
    <row r="202" ht="15.75" x14ac:dyDescent="0.25"/>
    <row r="203" ht="15.75" x14ac:dyDescent="0.25"/>
    <row r="204" ht="15.75" x14ac:dyDescent="0.25"/>
    <row r="205" ht="15.75" x14ac:dyDescent="0.25"/>
    <row r="206" ht="15.75" x14ac:dyDescent="0.25"/>
    <row r="207" ht="15.75" x14ac:dyDescent="0.25"/>
    <row r="208" ht="15.75" x14ac:dyDescent="0.25"/>
    <row r="209" ht="15.75" x14ac:dyDescent="0.25"/>
    <row r="210" ht="15.75" x14ac:dyDescent="0.25"/>
    <row r="211" ht="15.75" x14ac:dyDescent="0.25"/>
    <row r="212" ht="15.75" x14ac:dyDescent="0.25"/>
  </sheetData>
  <pageMargins left="0.7" right="0.7" top="0.75" bottom="0.75" header="0.3" footer="0.3"/>
  <pageSetup paperSize="9" orientation="portrait" useFirstPageNumber="1" horizontalDpi="180" verticalDpi="1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827D-6ADA-433F-BB0C-72ACBBE6E046}">
  <dimension ref="A1:E28"/>
  <sheetViews>
    <sheetView tabSelected="1" topLeftCell="A7" zoomScaleNormal="100" workbookViewId="0">
      <selection activeCell="G14" sqref="G14"/>
    </sheetView>
  </sheetViews>
  <sheetFormatPr defaultRowHeight="15" x14ac:dyDescent="0.25"/>
  <cols>
    <col min="1" max="1" width="6.875" style="143" customWidth="1"/>
    <col min="2" max="2" width="50.125" style="143" bestFit="1" customWidth="1"/>
    <col min="3" max="3" width="28.125" style="143" customWidth="1"/>
    <col min="4" max="4" width="9.125" style="143" customWidth="1"/>
    <col min="5" max="5" width="28.125" style="143" customWidth="1"/>
    <col min="6" max="6" width="4.5" style="143" customWidth="1"/>
    <col min="7" max="16384" width="9" style="143"/>
  </cols>
  <sheetData>
    <row r="1" spans="1:5" s="144" customFormat="1" ht="22.5" customHeight="1" x14ac:dyDescent="0.25">
      <c r="A1" s="144" t="s">
        <v>1030</v>
      </c>
      <c r="B1" s="145" t="s">
        <v>995</v>
      </c>
      <c r="C1" s="145" t="s">
        <v>1011</v>
      </c>
      <c r="D1" s="154" t="s">
        <v>1031</v>
      </c>
      <c r="E1" s="145" t="s">
        <v>996</v>
      </c>
    </row>
    <row r="2" spans="1:5" s="144" customFormat="1" ht="22.5" customHeight="1" x14ac:dyDescent="0.25">
      <c r="A2" s="152">
        <v>1</v>
      </c>
      <c r="B2" s="149" t="s">
        <v>1009</v>
      </c>
      <c r="C2" s="153" t="s">
        <v>1058</v>
      </c>
      <c r="D2" s="152">
        <v>123</v>
      </c>
      <c r="E2" s="144" t="s">
        <v>994</v>
      </c>
    </row>
    <row r="3" spans="1:5" s="144" customFormat="1" ht="22.5" customHeight="1" x14ac:dyDescent="0.25">
      <c r="A3" s="152">
        <v>2</v>
      </c>
      <c r="B3" s="150" t="s">
        <v>997</v>
      </c>
      <c r="C3" s="153" t="s">
        <v>1057</v>
      </c>
      <c r="D3" s="152">
        <v>123</v>
      </c>
      <c r="E3" s="144" t="s">
        <v>166</v>
      </c>
    </row>
    <row r="4" spans="1:5" s="144" customFormat="1" ht="22.5" customHeight="1" x14ac:dyDescent="0.25">
      <c r="A4" s="152">
        <v>3</v>
      </c>
      <c r="B4" s="151" t="s">
        <v>694</v>
      </c>
      <c r="C4" s="153" t="s">
        <v>1056</v>
      </c>
      <c r="D4" s="152">
        <v>123</v>
      </c>
      <c r="E4" s="144" t="s">
        <v>56</v>
      </c>
    </row>
    <row r="5" spans="1:5" s="144" customFormat="1" ht="22.5" customHeight="1" x14ac:dyDescent="0.25">
      <c r="A5" s="152">
        <v>4</v>
      </c>
      <c r="B5" s="146" t="s">
        <v>998</v>
      </c>
      <c r="C5" s="153" t="s">
        <v>1047</v>
      </c>
      <c r="D5" s="152">
        <v>123</v>
      </c>
      <c r="E5" s="144" t="s">
        <v>77</v>
      </c>
    </row>
    <row r="6" spans="1:5" s="144" customFormat="1" ht="22.5" customHeight="1" x14ac:dyDescent="0.25">
      <c r="A6" s="152">
        <v>5</v>
      </c>
      <c r="B6" s="146" t="s">
        <v>999</v>
      </c>
      <c r="C6" s="153" t="s">
        <v>1048</v>
      </c>
      <c r="D6" s="152">
        <v>123</v>
      </c>
      <c r="E6" s="144" t="s">
        <v>282</v>
      </c>
    </row>
    <row r="7" spans="1:5" s="144" customFormat="1" ht="22.5" customHeight="1" x14ac:dyDescent="0.25">
      <c r="A7" s="152">
        <v>6</v>
      </c>
      <c r="B7" s="146" t="s">
        <v>1000</v>
      </c>
      <c r="C7" s="153" t="s">
        <v>1049</v>
      </c>
      <c r="D7" s="152">
        <v>123</v>
      </c>
      <c r="E7" s="144" t="s">
        <v>321</v>
      </c>
    </row>
    <row r="8" spans="1:5" s="144" customFormat="1" ht="22.5" customHeight="1" x14ac:dyDescent="0.25">
      <c r="A8" s="152">
        <v>7</v>
      </c>
      <c r="B8" s="146" t="s">
        <v>1001</v>
      </c>
      <c r="C8" s="153" t="s">
        <v>1050</v>
      </c>
      <c r="D8" s="152">
        <v>123</v>
      </c>
      <c r="E8" s="144" t="s">
        <v>67</v>
      </c>
    </row>
    <row r="9" spans="1:5" s="144" customFormat="1" ht="22.5" customHeight="1" x14ac:dyDescent="0.25">
      <c r="A9" s="152">
        <v>8</v>
      </c>
      <c r="B9" s="146" t="s">
        <v>1002</v>
      </c>
      <c r="C9" s="153" t="s">
        <v>1051</v>
      </c>
      <c r="D9" s="152">
        <v>123</v>
      </c>
      <c r="E9" s="144" t="s">
        <v>1010</v>
      </c>
    </row>
    <row r="10" spans="1:5" s="144" customFormat="1" ht="22.5" customHeight="1" x14ac:dyDescent="0.25">
      <c r="A10" s="152">
        <v>9</v>
      </c>
      <c r="B10" s="146" t="s">
        <v>1004</v>
      </c>
      <c r="C10" s="153" t="s">
        <v>1052</v>
      </c>
      <c r="D10" s="152">
        <v>123</v>
      </c>
      <c r="E10" s="144" t="s">
        <v>294</v>
      </c>
    </row>
    <row r="11" spans="1:5" s="144" customFormat="1" ht="22.5" customHeight="1" x14ac:dyDescent="0.25">
      <c r="A11" s="152">
        <v>10</v>
      </c>
      <c r="B11" s="146" t="s">
        <v>1005</v>
      </c>
      <c r="C11" s="153" t="s">
        <v>1053</v>
      </c>
      <c r="D11" s="152">
        <v>123</v>
      </c>
      <c r="E11" s="144" t="s">
        <v>300</v>
      </c>
    </row>
    <row r="12" spans="1:5" s="144" customFormat="1" ht="22.5" customHeight="1" x14ac:dyDescent="0.25">
      <c r="A12" s="152">
        <v>11</v>
      </c>
      <c r="B12" s="146" t="s">
        <v>1007</v>
      </c>
      <c r="C12" s="153" t="s">
        <v>1054</v>
      </c>
      <c r="D12" s="152">
        <v>123</v>
      </c>
      <c r="E12" s="144" t="s">
        <v>198</v>
      </c>
    </row>
    <row r="13" spans="1:5" s="144" customFormat="1" ht="22.5" customHeight="1" x14ac:dyDescent="0.25">
      <c r="A13" s="152">
        <v>12</v>
      </c>
      <c r="B13" s="146" t="s">
        <v>1008</v>
      </c>
      <c r="C13" s="153" t="s">
        <v>1055</v>
      </c>
      <c r="D13" s="152">
        <v>123</v>
      </c>
      <c r="E13" s="144" t="s">
        <v>18</v>
      </c>
    </row>
    <row r="14" spans="1:5" s="144" customFormat="1" ht="22.5" customHeight="1" x14ac:dyDescent="0.25">
      <c r="A14" s="152">
        <v>13</v>
      </c>
      <c r="B14" s="147" t="s">
        <v>1012</v>
      </c>
      <c r="C14" s="153" t="s">
        <v>1038</v>
      </c>
      <c r="D14" s="152">
        <v>123</v>
      </c>
      <c r="E14" s="144" t="s">
        <v>172</v>
      </c>
    </row>
    <row r="15" spans="1:5" s="144" customFormat="1" ht="22.5" customHeight="1" x14ac:dyDescent="0.25">
      <c r="A15" s="152">
        <v>14</v>
      </c>
      <c r="B15" s="147" t="s">
        <v>1013</v>
      </c>
      <c r="C15" s="153" t="s">
        <v>1039</v>
      </c>
      <c r="D15" s="152">
        <v>123</v>
      </c>
      <c r="E15" s="144" t="s">
        <v>219</v>
      </c>
    </row>
    <row r="16" spans="1:5" s="144" customFormat="1" ht="22.5" customHeight="1" x14ac:dyDescent="0.25">
      <c r="A16" s="152">
        <v>15</v>
      </c>
      <c r="B16" s="147" t="s">
        <v>1014</v>
      </c>
      <c r="C16" s="153" t="s">
        <v>1040</v>
      </c>
      <c r="D16" s="152">
        <v>123</v>
      </c>
      <c r="E16" s="144" t="s">
        <v>24</v>
      </c>
    </row>
    <row r="17" spans="1:5" s="144" customFormat="1" ht="22.5" customHeight="1" x14ac:dyDescent="0.25">
      <c r="A17" s="152">
        <v>16</v>
      </c>
      <c r="B17" s="147" t="s">
        <v>1015</v>
      </c>
      <c r="C17" s="153" t="s">
        <v>1041</v>
      </c>
      <c r="D17" s="152">
        <v>123</v>
      </c>
      <c r="E17" s="144" t="s">
        <v>229</v>
      </c>
    </row>
    <row r="18" spans="1:5" s="144" customFormat="1" ht="22.5" customHeight="1" x14ac:dyDescent="0.25">
      <c r="A18" s="152">
        <v>17</v>
      </c>
      <c r="B18" s="147" t="s">
        <v>1016</v>
      </c>
      <c r="C18" s="153" t="s">
        <v>1042</v>
      </c>
      <c r="D18" s="152">
        <v>123</v>
      </c>
      <c r="E18" s="144" t="s">
        <v>1003</v>
      </c>
    </row>
    <row r="19" spans="1:5" s="144" customFormat="1" ht="22.5" customHeight="1" x14ac:dyDescent="0.25">
      <c r="A19" s="152">
        <v>18</v>
      </c>
      <c r="B19" s="147" t="s">
        <v>1017</v>
      </c>
      <c r="C19" s="153" t="s">
        <v>1043</v>
      </c>
      <c r="D19" s="152">
        <v>123</v>
      </c>
      <c r="E19" s="144" t="s">
        <v>182</v>
      </c>
    </row>
    <row r="20" spans="1:5" s="144" customFormat="1" ht="22.5" customHeight="1" x14ac:dyDescent="0.25">
      <c r="A20" s="152">
        <v>19</v>
      </c>
      <c r="B20" s="147" t="s">
        <v>1018</v>
      </c>
      <c r="C20" s="188" t="s">
        <v>1044</v>
      </c>
      <c r="D20" s="152">
        <v>123</v>
      </c>
      <c r="E20" s="144" t="s">
        <v>1006</v>
      </c>
    </row>
    <row r="21" spans="1:5" s="144" customFormat="1" ht="22.5" customHeight="1" x14ac:dyDescent="0.25">
      <c r="A21" s="152">
        <v>20</v>
      </c>
      <c r="B21" s="147" t="s">
        <v>1019</v>
      </c>
      <c r="C21" s="153" t="s">
        <v>1045</v>
      </c>
      <c r="D21" s="152">
        <v>123</v>
      </c>
      <c r="E21" s="144" t="s">
        <v>467</v>
      </c>
    </row>
    <row r="22" spans="1:5" s="144" customFormat="1" ht="22.5" customHeight="1" x14ac:dyDescent="0.25">
      <c r="A22" s="152">
        <v>21</v>
      </c>
      <c r="B22" s="147" t="s">
        <v>1020</v>
      </c>
      <c r="C22" s="153" t="s">
        <v>1046</v>
      </c>
      <c r="D22" s="152">
        <v>123</v>
      </c>
      <c r="E22" s="144" t="s">
        <v>440</v>
      </c>
    </row>
    <row r="23" spans="1:5" s="144" customFormat="1" ht="22.5" customHeight="1" x14ac:dyDescent="0.25">
      <c r="A23" s="152">
        <v>22</v>
      </c>
      <c r="B23" s="148" t="s">
        <v>1021</v>
      </c>
      <c r="C23" s="153" t="s">
        <v>1032</v>
      </c>
      <c r="D23" s="152">
        <v>123</v>
      </c>
      <c r="E23" s="144" t="s">
        <v>145</v>
      </c>
    </row>
    <row r="24" spans="1:5" s="144" customFormat="1" ht="22.5" customHeight="1" x14ac:dyDescent="0.25">
      <c r="A24" s="152">
        <v>23</v>
      </c>
      <c r="B24" s="148" t="s">
        <v>1022</v>
      </c>
      <c r="C24" s="153" t="s">
        <v>1033</v>
      </c>
      <c r="D24" s="152">
        <v>123</v>
      </c>
      <c r="E24" s="144" t="s">
        <v>105</v>
      </c>
    </row>
    <row r="25" spans="1:5" s="144" customFormat="1" ht="22.5" customHeight="1" x14ac:dyDescent="0.25">
      <c r="A25" s="152">
        <v>24</v>
      </c>
      <c r="B25" s="148" t="s">
        <v>1023</v>
      </c>
      <c r="C25" s="153" t="s">
        <v>1034</v>
      </c>
      <c r="D25" s="152">
        <v>123</v>
      </c>
      <c r="E25" s="144" t="s">
        <v>306</v>
      </c>
    </row>
    <row r="26" spans="1:5" s="144" customFormat="1" ht="22.5" customHeight="1" x14ac:dyDescent="0.25">
      <c r="A26" s="152">
        <v>25</v>
      </c>
      <c r="B26" s="148" t="s">
        <v>1024</v>
      </c>
      <c r="C26" s="153" t="s">
        <v>1035</v>
      </c>
      <c r="D26" s="152">
        <v>123</v>
      </c>
      <c r="E26" s="144" t="s">
        <v>172</v>
      </c>
    </row>
    <row r="27" spans="1:5" s="144" customFormat="1" ht="22.5" customHeight="1" x14ac:dyDescent="0.25">
      <c r="A27" s="152">
        <v>26</v>
      </c>
      <c r="B27" s="148" t="s">
        <v>1025</v>
      </c>
      <c r="C27" s="153" t="s">
        <v>1037</v>
      </c>
      <c r="D27" s="152">
        <v>123</v>
      </c>
      <c r="E27" s="144" t="s">
        <v>327</v>
      </c>
    </row>
    <row r="28" spans="1:5" ht="26.25" customHeight="1" x14ac:dyDescent="0.25">
      <c r="A28" s="152">
        <v>27</v>
      </c>
      <c r="B28" s="148" t="s">
        <v>1029</v>
      </c>
      <c r="C28" s="153" t="s">
        <v>1036</v>
      </c>
      <c r="D28" s="152">
        <v>123</v>
      </c>
      <c r="E28" s="144" t="s">
        <v>193</v>
      </c>
    </row>
  </sheetData>
  <autoFilter ref="B1:B13" xr:uid="{8964C356-E5DE-4BFC-9BDF-93751910F019}"/>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B503F-0AB0-4F63-A82F-34891F49D189}">
  <dimension ref="A1:C1007"/>
  <sheetViews>
    <sheetView zoomScale="85" zoomScaleNormal="85" workbookViewId="0">
      <selection activeCell="O14" sqref="O14"/>
    </sheetView>
  </sheetViews>
  <sheetFormatPr defaultRowHeight="15" x14ac:dyDescent="0.25"/>
  <cols>
    <col min="1" max="1" width="11.75" style="136" customWidth="1"/>
    <col min="2" max="2" width="52" style="137" customWidth="1"/>
    <col min="3" max="3" width="18.375" style="133" customWidth="1"/>
    <col min="4" max="16384" width="9" style="133"/>
  </cols>
  <sheetData>
    <row r="1" spans="1:2" ht="13.5" customHeight="1" x14ac:dyDescent="0.25">
      <c r="A1" s="132" t="s">
        <v>956</v>
      </c>
      <c r="B1" s="132" t="s">
        <v>957</v>
      </c>
    </row>
    <row r="2" spans="1:2" x14ac:dyDescent="0.25">
      <c r="A2" s="136">
        <v>511111</v>
      </c>
      <c r="B2" s="137" t="s">
        <v>958</v>
      </c>
    </row>
    <row r="3" spans="1:2" x14ac:dyDescent="0.25">
      <c r="A3" s="136">
        <v>511119</v>
      </c>
      <c r="B3" s="137" t="s">
        <v>959</v>
      </c>
    </row>
    <row r="4" spans="1:2" x14ac:dyDescent="0.25">
      <c r="A4" s="136">
        <v>511121</v>
      </c>
      <c r="B4" s="137" t="s">
        <v>960</v>
      </c>
    </row>
    <row r="5" spans="1:2" x14ac:dyDescent="0.25">
      <c r="A5" s="136">
        <v>511122</v>
      </c>
      <c r="B5" s="137" t="s">
        <v>961</v>
      </c>
    </row>
    <row r="6" spans="1:2" x14ac:dyDescent="0.25">
      <c r="A6" s="136">
        <v>511123</v>
      </c>
      <c r="B6" s="137" t="s">
        <v>962</v>
      </c>
    </row>
    <row r="7" spans="1:2" x14ac:dyDescent="0.25">
      <c r="A7" s="136">
        <v>511124</v>
      </c>
      <c r="B7" s="137" t="s">
        <v>963</v>
      </c>
    </row>
    <row r="8" spans="1:2" x14ac:dyDescent="0.25">
      <c r="A8" s="136">
        <v>511125</v>
      </c>
      <c r="B8" s="137" t="s">
        <v>964</v>
      </c>
    </row>
    <row r="9" spans="1:2" x14ac:dyDescent="0.25">
      <c r="A9" s="136">
        <v>511126</v>
      </c>
      <c r="B9" s="137" t="s">
        <v>965</v>
      </c>
    </row>
    <row r="10" spans="1:2" x14ac:dyDescent="0.25">
      <c r="A10" s="136">
        <v>511129</v>
      </c>
      <c r="B10" s="137" t="s">
        <v>966</v>
      </c>
    </row>
    <row r="11" spans="1:2" x14ac:dyDescent="0.25">
      <c r="A11" s="136">
        <v>511151</v>
      </c>
      <c r="B11" s="137" t="s">
        <v>967</v>
      </c>
    </row>
    <row r="12" spans="1:2" x14ac:dyDescent="0.25">
      <c r="A12" s="136">
        <v>511153</v>
      </c>
      <c r="B12" s="137" t="s">
        <v>968</v>
      </c>
    </row>
    <row r="13" spans="1:2" x14ac:dyDescent="0.25">
      <c r="A13" s="136">
        <v>511154</v>
      </c>
      <c r="B13" s="137" t="s">
        <v>969</v>
      </c>
    </row>
    <row r="14" spans="1:2" x14ac:dyDescent="0.25">
      <c r="A14" s="136">
        <v>511521</v>
      </c>
      <c r="B14" s="137" t="s">
        <v>970</v>
      </c>
    </row>
    <row r="15" spans="1:2" x14ac:dyDescent="0.25">
      <c r="A15" s="136">
        <v>512211</v>
      </c>
      <c r="B15" s="137" t="s">
        <v>971</v>
      </c>
    </row>
    <row r="16" spans="1:2" x14ac:dyDescent="0.25">
      <c r="A16" s="136">
        <v>521111</v>
      </c>
      <c r="B16" s="137" t="s">
        <v>972</v>
      </c>
    </row>
    <row r="17" spans="1:3" x14ac:dyDescent="0.25">
      <c r="A17" s="136">
        <v>521113</v>
      </c>
      <c r="B17" s="137" t="s">
        <v>973</v>
      </c>
    </row>
    <row r="18" spans="1:3" x14ac:dyDescent="0.25">
      <c r="A18" s="140">
        <v>521115</v>
      </c>
      <c r="B18" s="141" t="s">
        <v>899</v>
      </c>
      <c r="C18" s="142" t="s">
        <v>993</v>
      </c>
    </row>
    <row r="19" spans="1:3" x14ac:dyDescent="0.25">
      <c r="A19" s="136">
        <v>521119</v>
      </c>
      <c r="B19" s="137" t="s">
        <v>974</v>
      </c>
    </row>
    <row r="20" spans="1:3" x14ac:dyDescent="0.25">
      <c r="A20" s="136">
        <v>521131</v>
      </c>
      <c r="B20" s="137" t="s">
        <v>975</v>
      </c>
    </row>
    <row r="21" spans="1:3" x14ac:dyDescent="0.25">
      <c r="A21" s="136">
        <v>521211</v>
      </c>
      <c r="B21" s="137" t="s">
        <v>976</v>
      </c>
    </row>
    <row r="22" spans="1:3" x14ac:dyDescent="0.25">
      <c r="A22" s="140">
        <v>521213</v>
      </c>
      <c r="B22" s="141" t="s">
        <v>977</v>
      </c>
      <c r="C22" s="142" t="s">
        <v>993</v>
      </c>
    </row>
    <row r="23" spans="1:3" x14ac:dyDescent="0.25">
      <c r="A23" s="136">
        <v>521219</v>
      </c>
      <c r="B23" s="137" t="s">
        <v>978</v>
      </c>
    </row>
    <row r="24" spans="1:3" x14ac:dyDescent="0.25">
      <c r="A24" s="136">
        <v>521811</v>
      </c>
      <c r="B24" s="137" t="s">
        <v>979</v>
      </c>
    </row>
    <row r="25" spans="1:3" x14ac:dyDescent="0.25">
      <c r="A25" s="136">
        <v>522111</v>
      </c>
      <c r="B25" s="137" t="s">
        <v>980</v>
      </c>
    </row>
    <row r="26" spans="1:3" x14ac:dyDescent="0.25">
      <c r="A26" s="136">
        <v>522112</v>
      </c>
      <c r="B26" s="137" t="s">
        <v>981</v>
      </c>
    </row>
    <row r="27" spans="1:3" x14ac:dyDescent="0.25">
      <c r="A27" s="136">
        <v>522113</v>
      </c>
      <c r="B27" s="137" t="s">
        <v>982</v>
      </c>
    </row>
    <row r="28" spans="1:3" x14ac:dyDescent="0.25">
      <c r="A28" s="136">
        <v>522141</v>
      </c>
      <c r="B28" s="137" t="s">
        <v>983</v>
      </c>
    </row>
    <row r="29" spans="1:3" x14ac:dyDescent="0.25">
      <c r="A29" s="140">
        <v>522151</v>
      </c>
      <c r="B29" s="141" t="s">
        <v>984</v>
      </c>
      <c r="C29" s="142" t="s">
        <v>993</v>
      </c>
    </row>
    <row r="30" spans="1:3" x14ac:dyDescent="0.25">
      <c r="A30" s="136">
        <v>522191</v>
      </c>
      <c r="B30" s="137" t="s">
        <v>985</v>
      </c>
    </row>
    <row r="31" spans="1:3" x14ac:dyDescent="0.25">
      <c r="A31" s="136">
        <v>522192</v>
      </c>
      <c r="B31" s="137" t="s">
        <v>986</v>
      </c>
    </row>
    <row r="32" spans="1:3" x14ac:dyDescent="0.25">
      <c r="A32" s="136">
        <v>523111</v>
      </c>
      <c r="B32" s="137" t="s">
        <v>987</v>
      </c>
    </row>
    <row r="33" spans="1:3" x14ac:dyDescent="0.25">
      <c r="A33" s="136">
        <v>523121</v>
      </c>
      <c r="B33" s="137" t="s">
        <v>988</v>
      </c>
    </row>
    <row r="34" spans="1:3" x14ac:dyDescent="0.25">
      <c r="A34" s="140">
        <v>524111</v>
      </c>
      <c r="B34" s="141" t="s">
        <v>989</v>
      </c>
      <c r="C34" s="142" t="s">
        <v>993</v>
      </c>
    </row>
    <row r="35" spans="1:3" x14ac:dyDescent="0.25">
      <c r="A35" s="140">
        <v>524113</v>
      </c>
      <c r="B35" s="141" t="s">
        <v>990</v>
      </c>
      <c r="C35" s="142" t="s">
        <v>993</v>
      </c>
    </row>
    <row r="36" spans="1:3" x14ac:dyDescent="0.25">
      <c r="A36" s="140">
        <v>524114</v>
      </c>
      <c r="B36" s="141" t="s">
        <v>991</v>
      </c>
      <c r="C36" s="142" t="s">
        <v>993</v>
      </c>
    </row>
    <row r="37" spans="1:3" x14ac:dyDescent="0.25">
      <c r="A37" s="140">
        <v>524119</v>
      </c>
      <c r="B37" s="141" t="s">
        <v>992</v>
      </c>
      <c r="C37" s="142" t="s">
        <v>993</v>
      </c>
    </row>
    <row r="38" spans="1:3" x14ac:dyDescent="0.25">
      <c r="A38" s="138"/>
      <c r="B38" s="139"/>
    </row>
    <row r="290" spans="1:2" x14ac:dyDescent="0.25">
      <c r="A290" s="134"/>
      <c r="B290" s="135"/>
    </row>
    <row r="1007" spans="1:2" x14ac:dyDescent="0.25">
      <c r="A1007" s="134"/>
      <c r="B1007" s="135"/>
    </row>
  </sheetData>
  <sheetProtection formatCells="0" formatColumns="0" formatRows="0" insertColumns="0" insertRows="0" insertHyperlinks="0" deleteColumns="0" deleteRows="0" sort="0" autoFilter="0" pivotTables="0"/>
  <pageMargins left="0.7" right="0.7" top="0.75" bottom="0.75" header="0.3" footer="0.3"/>
  <pageSetup paperSize="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784C3-9187-41C1-A6DA-46285C2D8776}">
  <dimension ref="A1:L137"/>
  <sheetViews>
    <sheetView zoomScale="70" zoomScaleNormal="70" workbookViewId="0">
      <pane xSplit="4" ySplit="1" topLeftCell="E2" activePane="bottomRight" state="frozen"/>
      <selection pane="topRight" activeCell="D1" sqref="D1"/>
      <selection pane="bottomLeft" activeCell="A2" sqref="A2"/>
      <selection pane="bottomRight" activeCell="B39" sqref="B39"/>
    </sheetView>
  </sheetViews>
  <sheetFormatPr defaultRowHeight="15.4" customHeight="1" x14ac:dyDescent="0.25"/>
  <cols>
    <col min="2" max="2" width="36.75" customWidth="1"/>
    <col min="3" max="3" width="25.25" customWidth="1"/>
    <col min="4" max="4" width="20" customWidth="1"/>
    <col min="5" max="5" width="18.75" bestFit="1" customWidth="1"/>
    <col min="6" max="7" width="12.5" bestFit="1" customWidth="1"/>
    <col min="8" max="8" width="34.875" customWidth="1"/>
    <col min="9" max="9" width="17.75" bestFit="1" customWidth="1"/>
    <col min="10" max="10" width="10.75" customWidth="1"/>
    <col min="11" max="11" width="16.25" bestFit="1" customWidth="1"/>
    <col min="12" max="12" width="37.5" style="115" customWidth="1"/>
  </cols>
  <sheetData>
    <row r="1" spans="1:12" ht="15.75" x14ac:dyDescent="0.25">
      <c r="A1" s="2" t="s">
        <v>0</v>
      </c>
      <c r="B1" s="2" t="s">
        <v>1</v>
      </c>
      <c r="C1" s="2" t="s">
        <v>2</v>
      </c>
      <c r="D1" s="2" t="s">
        <v>3</v>
      </c>
      <c r="E1" s="2" t="s">
        <v>4</v>
      </c>
      <c r="F1" s="2" t="s">
        <v>6</v>
      </c>
      <c r="G1" s="2" t="s">
        <v>5</v>
      </c>
      <c r="H1" s="2" t="s">
        <v>7</v>
      </c>
      <c r="I1" s="2" t="s">
        <v>8</v>
      </c>
      <c r="J1" s="2" t="s">
        <v>9</v>
      </c>
      <c r="K1" s="6" t="s">
        <v>654</v>
      </c>
      <c r="L1" s="114" t="s">
        <v>787</v>
      </c>
    </row>
    <row r="2" spans="1:12" ht="15.75" x14ac:dyDescent="0.25">
      <c r="A2" s="3">
        <v>1</v>
      </c>
      <c r="B2" t="s">
        <v>187</v>
      </c>
      <c r="C2" t="s">
        <v>188</v>
      </c>
      <c r="D2" t="s">
        <v>189</v>
      </c>
      <c r="E2" t="s">
        <v>190</v>
      </c>
      <c r="F2" t="s">
        <v>14</v>
      </c>
      <c r="G2" t="s">
        <v>508</v>
      </c>
      <c r="H2" t="s">
        <v>507</v>
      </c>
      <c r="I2" s="4" t="s">
        <v>191</v>
      </c>
      <c r="J2" t="s">
        <v>192</v>
      </c>
      <c r="K2" t="str">
        <f>(IF(LEFT(G2,3)="III","5%",IF(LEFT(G2,3)="NON","2,5%",IF(LEFT(G2,3)="IV/","15%","0%"))))</f>
        <v>15%</v>
      </c>
      <c r="L2" s="115" t="s">
        <v>794</v>
      </c>
    </row>
    <row r="3" spans="1:12" ht="15.75" x14ac:dyDescent="0.25">
      <c r="A3" s="3">
        <v>1</v>
      </c>
      <c r="B3" t="s">
        <v>994</v>
      </c>
      <c r="C3" t="s">
        <v>1026</v>
      </c>
      <c r="D3" s="4" t="s">
        <v>1027</v>
      </c>
      <c r="E3" s="4" t="s">
        <v>1028</v>
      </c>
      <c r="F3" t="s">
        <v>14</v>
      </c>
      <c r="G3" t="s">
        <v>508</v>
      </c>
      <c r="H3" t="s">
        <v>994</v>
      </c>
      <c r="I3" s="4"/>
      <c r="K3" t="str">
        <f>(IF(LEFT(G3,3)="III","5%",IF(LEFT(G3,3)="NON","2,5%",IF(LEFT(G3,3)="IV/","15%","0%"))))</f>
        <v>15%</v>
      </c>
    </row>
    <row r="4" spans="1:12" ht="15.75" x14ac:dyDescent="0.25">
      <c r="A4" s="3">
        <v>2</v>
      </c>
      <c r="B4" t="s">
        <v>166</v>
      </c>
      <c r="C4" t="s">
        <v>167</v>
      </c>
      <c r="D4" t="s">
        <v>168</v>
      </c>
      <c r="E4" t="s">
        <v>169</v>
      </c>
      <c r="F4" t="s">
        <v>14</v>
      </c>
      <c r="G4" t="s">
        <v>509</v>
      </c>
      <c r="H4" t="s">
        <v>170</v>
      </c>
      <c r="I4" t="s">
        <v>171</v>
      </c>
      <c r="J4" t="s">
        <v>17</v>
      </c>
      <c r="K4" t="str">
        <f t="shared" ref="K4:K67" si="0">(IF(LEFT(G4,3)="III","5%",IF(LEFT(G4,3)="NON","2,5%",IF(LEFT(G4,3)="IV/","15%","0%"))))</f>
        <v>5%</v>
      </c>
      <c r="L4" s="115" t="s">
        <v>798</v>
      </c>
    </row>
    <row r="5" spans="1:12" ht="15.75" x14ac:dyDescent="0.25">
      <c r="A5" s="3">
        <v>3</v>
      </c>
      <c r="B5" t="s">
        <v>161</v>
      </c>
      <c r="C5" t="s">
        <v>162</v>
      </c>
      <c r="D5" t="s">
        <v>163</v>
      </c>
      <c r="E5" t="s">
        <v>164</v>
      </c>
      <c r="F5" t="s">
        <v>14</v>
      </c>
      <c r="G5" t="s">
        <v>511</v>
      </c>
      <c r="H5" t="s">
        <v>510</v>
      </c>
      <c r="I5" t="s">
        <v>165</v>
      </c>
      <c r="J5" t="s">
        <v>17</v>
      </c>
      <c r="K5" t="str">
        <f t="shared" si="0"/>
        <v>15%</v>
      </c>
    </row>
    <row r="6" spans="1:12" ht="15.75" x14ac:dyDescent="0.25">
      <c r="A6" s="3">
        <v>4</v>
      </c>
      <c r="B6" t="s">
        <v>338</v>
      </c>
      <c r="C6" t="s">
        <v>339</v>
      </c>
      <c r="D6" t="s">
        <v>340</v>
      </c>
      <c r="E6" t="s">
        <v>341</v>
      </c>
      <c r="F6" t="s">
        <v>14</v>
      </c>
      <c r="G6" t="s">
        <v>511</v>
      </c>
      <c r="H6" t="s">
        <v>342</v>
      </c>
      <c r="I6" t="s">
        <v>343</v>
      </c>
      <c r="J6" t="s">
        <v>17</v>
      </c>
      <c r="K6" t="str">
        <f t="shared" si="0"/>
        <v>15%</v>
      </c>
      <c r="L6" s="115" t="s">
        <v>795</v>
      </c>
    </row>
    <row r="7" spans="1:12" ht="15.75" x14ac:dyDescent="0.25">
      <c r="A7" s="3">
        <v>5</v>
      </c>
      <c r="B7" t="s">
        <v>252</v>
      </c>
      <c r="C7" t="s">
        <v>253</v>
      </c>
      <c r="D7" t="s">
        <v>254</v>
      </c>
      <c r="E7" t="s">
        <v>255</v>
      </c>
      <c r="F7" t="s">
        <v>14</v>
      </c>
      <c r="G7" t="s">
        <v>512</v>
      </c>
      <c r="H7" t="s">
        <v>256</v>
      </c>
      <c r="I7" t="s">
        <v>257</v>
      </c>
      <c r="J7" t="s">
        <v>17</v>
      </c>
      <c r="K7" t="str">
        <f t="shared" si="0"/>
        <v>15%</v>
      </c>
    </row>
    <row r="8" spans="1:12" ht="15.75" x14ac:dyDescent="0.25">
      <c r="A8" s="3">
        <v>6</v>
      </c>
      <c r="B8" t="s">
        <v>282</v>
      </c>
      <c r="C8" t="s">
        <v>283</v>
      </c>
      <c r="D8" t="s">
        <v>284</v>
      </c>
      <c r="E8" t="s">
        <v>285</v>
      </c>
      <c r="F8" t="s">
        <v>14</v>
      </c>
      <c r="G8" t="s">
        <v>518</v>
      </c>
      <c r="H8" t="s">
        <v>286</v>
      </c>
      <c r="I8" t="s">
        <v>287</v>
      </c>
      <c r="J8" t="s">
        <v>17</v>
      </c>
      <c r="K8" t="str">
        <f t="shared" si="0"/>
        <v>5%</v>
      </c>
      <c r="L8" s="115" t="s">
        <v>796</v>
      </c>
    </row>
    <row r="9" spans="1:12" ht="15.75" x14ac:dyDescent="0.25">
      <c r="A9" s="3">
        <v>7</v>
      </c>
      <c r="B9" t="s">
        <v>36</v>
      </c>
      <c r="C9" t="s">
        <v>37</v>
      </c>
      <c r="D9" t="s">
        <v>38</v>
      </c>
      <c r="E9" t="s">
        <v>39</v>
      </c>
      <c r="F9" t="s">
        <v>14</v>
      </c>
      <c r="G9" t="s">
        <v>509</v>
      </c>
      <c r="H9" t="s">
        <v>519</v>
      </c>
      <c r="I9" t="s">
        <v>40</v>
      </c>
      <c r="J9" t="s">
        <v>17</v>
      </c>
      <c r="K9" t="str">
        <f t="shared" si="0"/>
        <v>5%</v>
      </c>
      <c r="L9" s="115" t="s">
        <v>797</v>
      </c>
    </row>
    <row r="10" spans="1:12" ht="15.75" x14ac:dyDescent="0.25">
      <c r="A10" s="3">
        <v>8</v>
      </c>
      <c r="B10" t="s">
        <v>300</v>
      </c>
      <c r="C10" s="4" t="s">
        <v>301</v>
      </c>
      <c r="D10" t="s">
        <v>302</v>
      </c>
      <c r="E10" t="s">
        <v>303</v>
      </c>
      <c r="F10" t="s">
        <v>14</v>
      </c>
      <c r="G10" t="s">
        <v>518</v>
      </c>
      <c r="H10" t="s">
        <v>304</v>
      </c>
      <c r="I10" t="s">
        <v>305</v>
      </c>
      <c r="J10" t="s">
        <v>17</v>
      </c>
      <c r="K10" t="str">
        <f t="shared" si="0"/>
        <v>5%</v>
      </c>
      <c r="L10" s="115" t="s">
        <v>799</v>
      </c>
    </row>
    <row r="11" spans="1:12" ht="15.75" x14ac:dyDescent="0.25">
      <c r="A11" s="3">
        <v>9</v>
      </c>
      <c r="B11" t="s">
        <v>198</v>
      </c>
      <c r="C11" t="s">
        <v>199</v>
      </c>
      <c r="D11" t="s">
        <v>200</v>
      </c>
      <c r="E11" t="s">
        <v>201</v>
      </c>
      <c r="F11" t="s">
        <v>14</v>
      </c>
      <c r="G11" t="s">
        <v>509</v>
      </c>
      <c r="H11" t="s">
        <v>202</v>
      </c>
      <c r="I11" t="s">
        <v>203</v>
      </c>
      <c r="J11" t="s">
        <v>17</v>
      </c>
      <c r="K11" t="str">
        <f t="shared" si="0"/>
        <v>5%</v>
      </c>
      <c r="L11" s="115" t="s">
        <v>800</v>
      </c>
    </row>
    <row r="12" spans="1:12" ht="15.75" x14ac:dyDescent="0.25">
      <c r="A12" s="3">
        <v>10</v>
      </c>
      <c r="B12" t="s">
        <v>145</v>
      </c>
      <c r="C12" s="4" t="s">
        <v>520</v>
      </c>
      <c r="D12" t="s">
        <v>146</v>
      </c>
      <c r="E12" t="s">
        <v>147</v>
      </c>
      <c r="F12" t="s">
        <v>14</v>
      </c>
      <c r="G12" t="s">
        <v>509</v>
      </c>
      <c r="H12" t="s">
        <v>148</v>
      </c>
      <c r="I12" t="s">
        <v>149</v>
      </c>
      <c r="J12" t="s">
        <v>17</v>
      </c>
      <c r="K12" t="str">
        <f t="shared" si="0"/>
        <v>5%</v>
      </c>
      <c r="L12" s="115" t="s">
        <v>801</v>
      </c>
    </row>
    <row r="13" spans="1:12" ht="15.75" x14ac:dyDescent="0.25">
      <c r="A13" s="3">
        <v>11</v>
      </c>
      <c r="B13" t="s">
        <v>77</v>
      </c>
      <c r="C13" t="s">
        <v>78</v>
      </c>
      <c r="D13" t="s">
        <v>79</v>
      </c>
      <c r="E13" t="s">
        <v>80</v>
      </c>
      <c r="F13" t="s">
        <v>14</v>
      </c>
      <c r="G13" t="s">
        <v>521</v>
      </c>
      <c r="H13" t="s">
        <v>81</v>
      </c>
      <c r="I13" t="s">
        <v>82</v>
      </c>
      <c r="J13" t="s">
        <v>17</v>
      </c>
      <c r="K13" t="str">
        <f t="shared" si="0"/>
        <v>5%</v>
      </c>
      <c r="L13" s="115" t="s">
        <v>802</v>
      </c>
    </row>
    <row r="14" spans="1:12" ht="15.75" x14ac:dyDescent="0.25">
      <c r="A14" s="3">
        <v>12</v>
      </c>
      <c r="B14" t="s">
        <v>128</v>
      </c>
      <c r="C14" t="s">
        <v>129</v>
      </c>
      <c r="D14" t="s">
        <v>130</v>
      </c>
      <c r="E14" t="s">
        <v>131</v>
      </c>
      <c r="F14" t="s">
        <v>14</v>
      </c>
      <c r="G14" t="s">
        <v>518</v>
      </c>
      <c r="H14" t="s">
        <v>132</v>
      </c>
      <c r="I14" t="s">
        <v>133</v>
      </c>
      <c r="J14" t="s">
        <v>17</v>
      </c>
      <c r="K14" t="str">
        <f t="shared" si="0"/>
        <v>5%</v>
      </c>
      <c r="L14" s="115" t="s">
        <v>803</v>
      </c>
    </row>
    <row r="15" spans="1:12" ht="15.75" x14ac:dyDescent="0.25">
      <c r="A15" s="3">
        <v>13</v>
      </c>
      <c r="B15" t="s">
        <v>294</v>
      </c>
      <c r="C15" t="s">
        <v>295</v>
      </c>
      <c r="D15" t="s">
        <v>296</v>
      </c>
      <c r="E15" t="s">
        <v>297</v>
      </c>
      <c r="F15" t="s">
        <v>14</v>
      </c>
      <c r="G15" t="s">
        <v>518</v>
      </c>
      <c r="H15" t="s">
        <v>298</v>
      </c>
      <c r="I15" t="s">
        <v>299</v>
      </c>
      <c r="J15" t="s">
        <v>17</v>
      </c>
      <c r="K15" t="str">
        <f t="shared" si="0"/>
        <v>5%</v>
      </c>
      <c r="L15" s="115" t="s">
        <v>804</v>
      </c>
    </row>
    <row r="16" spans="1:12" ht="15.75" x14ac:dyDescent="0.25">
      <c r="A16" s="3">
        <v>14</v>
      </c>
      <c r="B16" t="s">
        <v>209</v>
      </c>
      <c r="C16" t="s">
        <v>210</v>
      </c>
      <c r="D16" t="s">
        <v>211</v>
      </c>
      <c r="E16" t="s">
        <v>212</v>
      </c>
      <c r="F16" t="s">
        <v>14</v>
      </c>
      <c r="G16" t="s">
        <v>518</v>
      </c>
      <c r="H16" t="s">
        <v>213</v>
      </c>
      <c r="I16" t="s">
        <v>214</v>
      </c>
      <c r="J16" t="s">
        <v>17</v>
      </c>
      <c r="K16" t="str">
        <f t="shared" si="0"/>
        <v>5%</v>
      </c>
      <c r="L16" s="115" t="s">
        <v>805</v>
      </c>
    </row>
    <row r="17" spans="1:12" ht="15.75" x14ac:dyDescent="0.25">
      <c r="A17" s="3">
        <v>15</v>
      </c>
      <c r="B17" t="s">
        <v>155</v>
      </c>
      <c r="C17" t="s">
        <v>156</v>
      </c>
      <c r="D17" t="s">
        <v>157</v>
      </c>
      <c r="E17" t="s">
        <v>158</v>
      </c>
      <c r="F17" t="s">
        <v>14</v>
      </c>
      <c r="G17" t="s">
        <v>522</v>
      </c>
      <c r="H17" t="s">
        <v>159</v>
      </c>
      <c r="I17" t="s">
        <v>160</v>
      </c>
      <c r="J17" t="s">
        <v>17</v>
      </c>
      <c r="K17" t="str">
        <f t="shared" si="0"/>
        <v>5%</v>
      </c>
      <c r="L17" s="115" t="s">
        <v>806</v>
      </c>
    </row>
    <row r="18" spans="1:12" ht="15.75" x14ac:dyDescent="0.25">
      <c r="A18" s="3">
        <v>16</v>
      </c>
      <c r="B18" t="s">
        <v>116</v>
      </c>
      <c r="C18" t="s">
        <v>117</v>
      </c>
      <c r="D18" t="s">
        <v>118</v>
      </c>
      <c r="E18" t="s">
        <v>119</v>
      </c>
      <c r="F18" t="s">
        <v>14</v>
      </c>
      <c r="G18" t="s">
        <v>522</v>
      </c>
      <c r="H18" t="s">
        <v>120</v>
      </c>
      <c r="I18" t="s">
        <v>121</v>
      </c>
      <c r="J18" t="s">
        <v>17</v>
      </c>
      <c r="K18" t="str">
        <f t="shared" si="0"/>
        <v>5%</v>
      </c>
      <c r="L18" s="115" t="s">
        <v>807</v>
      </c>
    </row>
    <row r="19" spans="1:12" ht="15.75" x14ac:dyDescent="0.25">
      <c r="A19" s="3">
        <v>17</v>
      </c>
      <c r="B19" t="s">
        <v>110</v>
      </c>
      <c r="C19" t="s">
        <v>111</v>
      </c>
      <c r="D19" t="s">
        <v>112</v>
      </c>
      <c r="E19" t="s">
        <v>113</v>
      </c>
      <c r="F19" t="s">
        <v>14</v>
      </c>
      <c r="G19" t="s">
        <v>511</v>
      </c>
      <c r="H19" t="s">
        <v>114</v>
      </c>
      <c r="I19" t="s">
        <v>115</v>
      </c>
      <c r="J19" t="s">
        <v>17</v>
      </c>
      <c r="K19" t="str">
        <f t="shared" si="0"/>
        <v>15%</v>
      </c>
      <c r="L19" s="115" t="s">
        <v>808</v>
      </c>
    </row>
    <row r="20" spans="1:12" ht="15.75" x14ac:dyDescent="0.25">
      <c r="A20" s="3">
        <v>18</v>
      </c>
      <c r="B20" t="s">
        <v>56</v>
      </c>
      <c r="C20" s="4" t="s">
        <v>57</v>
      </c>
      <c r="D20" t="s">
        <v>58</v>
      </c>
      <c r="E20" t="s">
        <v>523</v>
      </c>
      <c r="F20" t="s">
        <v>14</v>
      </c>
      <c r="G20" t="s">
        <v>509</v>
      </c>
      <c r="H20" t="s">
        <v>59</v>
      </c>
      <c r="I20" t="s">
        <v>60</v>
      </c>
      <c r="J20" t="s">
        <v>17</v>
      </c>
      <c r="K20" t="str">
        <f t="shared" si="0"/>
        <v>5%</v>
      </c>
      <c r="L20" s="115" t="s">
        <v>809</v>
      </c>
    </row>
    <row r="21" spans="1:12" ht="15.75" x14ac:dyDescent="0.25">
      <c r="A21" s="3">
        <v>19</v>
      </c>
      <c r="B21" t="s">
        <v>24</v>
      </c>
      <c r="C21" t="s">
        <v>25</v>
      </c>
      <c r="D21" t="s">
        <v>26</v>
      </c>
      <c r="E21" t="s">
        <v>27</v>
      </c>
      <c r="F21" t="s">
        <v>14</v>
      </c>
      <c r="G21" t="s">
        <v>509</v>
      </c>
      <c r="H21" t="s">
        <v>28</v>
      </c>
      <c r="I21" t="s">
        <v>29</v>
      </c>
      <c r="J21" t="s">
        <v>17</v>
      </c>
      <c r="K21" t="str">
        <f t="shared" si="0"/>
        <v>5%</v>
      </c>
      <c r="L21" s="115" t="s">
        <v>810</v>
      </c>
    </row>
    <row r="22" spans="1:12" ht="15.75" x14ac:dyDescent="0.25">
      <c r="A22" s="3">
        <v>20</v>
      </c>
      <c r="B22" t="s">
        <v>311</v>
      </c>
      <c r="C22" s="4" t="s">
        <v>524</v>
      </c>
      <c r="D22" t="s">
        <v>312</v>
      </c>
      <c r="E22" t="s">
        <v>313</v>
      </c>
      <c r="F22" t="s">
        <v>14</v>
      </c>
      <c r="G22" t="s">
        <v>521</v>
      </c>
      <c r="H22" t="s">
        <v>314</v>
      </c>
      <c r="I22" t="s">
        <v>315</v>
      </c>
      <c r="J22" t="s">
        <v>17</v>
      </c>
      <c r="K22" t="str">
        <f t="shared" si="0"/>
        <v>5%</v>
      </c>
      <c r="L22" s="115" t="s">
        <v>811</v>
      </c>
    </row>
    <row r="23" spans="1:12" ht="15.75" x14ac:dyDescent="0.25">
      <c r="A23" s="3">
        <v>21</v>
      </c>
      <c r="B23" t="s">
        <v>134</v>
      </c>
      <c r="C23" t="s">
        <v>135</v>
      </c>
      <c r="D23" t="s">
        <v>136</v>
      </c>
      <c r="E23" t="s">
        <v>525</v>
      </c>
      <c r="F23" t="s">
        <v>14</v>
      </c>
      <c r="G23" t="s">
        <v>522</v>
      </c>
      <c r="H23" t="s">
        <v>137</v>
      </c>
      <c r="I23" t="s">
        <v>138</v>
      </c>
      <c r="J23" t="s">
        <v>17</v>
      </c>
      <c r="K23" t="str">
        <f t="shared" si="0"/>
        <v>5%</v>
      </c>
      <c r="L23" s="115" t="s">
        <v>812</v>
      </c>
    </row>
    <row r="24" spans="1:12" ht="15.75" x14ac:dyDescent="0.25">
      <c r="A24" s="3">
        <v>22</v>
      </c>
      <c r="B24" t="s">
        <v>333</v>
      </c>
      <c r="C24" t="s">
        <v>334</v>
      </c>
      <c r="D24" t="s">
        <v>335</v>
      </c>
      <c r="E24" t="s">
        <v>526</v>
      </c>
      <c r="F24" t="s">
        <v>14</v>
      </c>
      <c r="G24" t="s">
        <v>521</v>
      </c>
      <c r="H24" t="s">
        <v>336</v>
      </c>
      <c r="I24" t="s">
        <v>337</v>
      </c>
      <c r="J24" t="s">
        <v>17</v>
      </c>
      <c r="K24" t="str">
        <f t="shared" si="0"/>
        <v>5%</v>
      </c>
      <c r="L24" s="115" t="s">
        <v>813</v>
      </c>
    </row>
    <row r="25" spans="1:12" ht="15.75" x14ac:dyDescent="0.25">
      <c r="A25" s="3">
        <v>23</v>
      </c>
      <c r="B25" t="s">
        <v>321</v>
      </c>
      <c r="C25" t="s">
        <v>322</v>
      </c>
      <c r="D25" t="s">
        <v>323</v>
      </c>
      <c r="E25" t="s">
        <v>324</v>
      </c>
      <c r="F25" t="s">
        <v>14</v>
      </c>
      <c r="G25" t="s">
        <v>511</v>
      </c>
      <c r="H25" t="s">
        <v>325</v>
      </c>
      <c r="I25" t="s">
        <v>326</v>
      </c>
      <c r="J25" t="s">
        <v>17</v>
      </c>
      <c r="K25" t="str">
        <f t="shared" si="0"/>
        <v>15%</v>
      </c>
      <c r="L25" s="115" t="s">
        <v>814</v>
      </c>
    </row>
    <row r="26" spans="1:12" ht="15.75" x14ac:dyDescent="0.25">
      <c r="A26" s="3">
        <v>24</v>
      </c>
      <c r="B26" t="s">
        <v>73</v>
      </c>
      <c r="C26" t="s">
        <v>74</v>
      </c>
      <c r="D26" s="4" t="s">
        <v>544</v>
      </c>
      <c r="E26" s="4" t="s">
        <v>527</v>
      </c>
      <c r="F26" t="s">
        <v>14</v>
      </c>
      <c r="G26" t="s">
        <v>522</v>
      </c>
      <c r="H26" t="s">
        <v>75</v>
      </c>
      <c r="I26" s="4" t="s">
        <v>76</v>
      </c>
      <c r="J26" t="s">
        <v>17</v>
      </c>
      <c r="K26" t="str">
        <f t="shared" si="0"/>
        <v>5%</v>
      </c>
      <c r="L26" s="115" t="s">
        <v>815</v>
      </c>
    </row>
    <row r="27" spans="1:12" ht="15.75" x14ac:dyDescent="0.25">
      <c r="A27" s="3">
        <v>25</v>
      </c>
      <c r="B27" t="s">
        <v>89</v>
      </c>
      <c r="C27" t="s">
        <v>90</v>
      </c>
      <c r="D27" s="4" t="s">
        <v>528</v>
      </c>
      <c r="E27" t="s">
        <v>91</v>
      </c>
      <c r="F27" t="s">
        <v>14</v>
      </c>
      <c r="G27" t="s">
        <v>521</v>
      </c>
      <c r="H27" t="s">
        <v>92</v>
      </c>
      <c r="I27" t="s">
        <v>93</v>
      </c>
      <c r="J27" t="s">
        <v>17</v>
      </c>
      <c r="K27" t="str">
        <f t="shared" si="0"/>
        <v>5%</v>
      </c>
      <c r="L27" s="115" t="s">
        <v>838</v>
      </c>
    </row>
    <row r="28" spans="1:12" ht="15.75" x14ac:dyDescent="0.25">
      <c r="A28" s="3">
        <v>26</v>
      </c>
      <c r="B28" t="s">
        <v>30</v>
      </c>
      <c r="C28" t="s">
        <v>31</v>
      </c>
      <c r="D28" t="s">
        <v>32</v>
      </c>
      <c r="E28" t="s">
        <v>33</v>
      </c>
      <c r="F28" t="s">
        <v>14</v>
      </c>
      <c r="G28" t="s">
        <v>521</v>
      </c>
      <c r="H28" t="s">
        <v>34</v>
      </c>
      <c r="I28" t="s">
        <v>35</v>
      </c>
      <c r="J28" t="s">
        <v>17</v>
      </c>
      <c r="K28" t="str">
        <f t="shared" si="0"/>
        <v>5%</v>
      </c>
      <c r="L28" s="115" t="s">
        <v>816</v>
      </c>
    </row>
    <row r="29" spans="1:12" ht="15.75" x14ac:dyDescent="0.25">
      <c r="A29" s="3">
        <v>27</v>
      </c>
      <c r="B29" t="s">
        <v>50</v>
      </c>
      <c r="C29" s="4" t="s">
        <v>51</v>
      </c>
      <c r="D29" t="s">
        <v>52</v>
      </c>
      <c r="E29" t="s">
        <v>53</v>
      </c>
      <c r="F29" t="s">
        <v>14</v>
      </c>
      <c r="G29" t="s">
        <v>529</v>
      </c>
      <c r="H29" t="s">
        <v>54</v>
      </c>
      <c r="I29" t="s">
        <v>55</v>
      </c>
      <c r="J29" t="s">
        <v>17</v>
      </c>
      <c r="K29" t="str">
        <f t="shared" si="0"/>
        <v>0%</v>
      </c>
      <c r="L29" s="115" t="s">
        <v>817</v>
      </c>
    </row>
    <row r="30" spans="1:12" ht="15.75" x14ac:dyDescent="0.25">
      <c r="A30" s="3">
        <v>28</v>
      </c>
      <c r="B30" t="s">
        <v>99</v>
      </c>
      <c r="C30" t="s">
        <v>100</v>
      </c>
      <c r="D30" t="s">
        <v>101</v>
      </c>
      <c r="E30" t="s">
        <v>102</v>
      </c>
      <c r="F30" t="s">
        <v>14</v>
      </c>
      <c r="G30" t="s">
        <v>521</v>
      </c>
      <c r="H30" t="s">
        <v>103</v>
      </c>
      <c r="I30" t="s">
        <v>104</v>
      </c>
      <c r="J30" t="s">
        <v>17</v>
      </c>
      <c r="K30" t="str">
        <f t="shared" si="0"/>
        <v>5%</v>
      </c>
      <c r="L30" s="115" t="s">
        <v>818</v>
      </c>
    </row>
    <row r="31" spans="1:12" ht="15.75" x14ac:dyDescent="0.25">
      <c r="A31" s="3">
        <v>29</v>
      </c>
      <c r="B31" t="s">
        <v>327</v>
      </c>
      <c r="C31" t="s">
        <v>328</v>
      </c>
      <c r="D31" t="s">
        <v>329</v>
      </c>
      <c r="E31" t="s">
        <v>330</v>
      </c>
      <c r="F31" t="s">
        <v>14</v>
      </c>
      <c r="G31" t="s">
        <v>529</v>
      </c>
      <c r="H31" t="s">
        <v>331</v>
      </c>
      <c r="I31" t="s">
        <v>332</v>
      </c>
      <c r="J31" t="s">
        <v>17</v>
      </c>
      <c r="K31" t="str">
        <f t="shared" si="0"/>
        <v>0%</v>
      </c>
      <c r="L31" s="115" t="s">
        <v>819</v>
      </c>
    </row>
    <row r="32" spans="1:12" ht="15.75" x14ac:dyDescent="0.25">
      <c r="A32" s="3">
        <v>30</v>
      </c>
      <c r="B32" t="s">
        <v>276</v>
      </c>
      <c r="C32" t="s">
        <v>277</v>
      </c>
      <c r="D32" t="s">
        <v>278</v>
      </c>
      <c r="E32" t="s">
        <v>279</v>
      </c>
      <c r="F32" t="s">
        <v>14</v>
      </c>
      <c r="G32" t="s">
        <v>509</v>
      </c>
      <c r="H32" t="s">
        <v>280</v>
      </c>
      <c r="I32" t="s">
        <v>281</v>
      </c>
      <c r="J32" t="s">
        <v>17</v>
      </c>
      <c r="K32" t="str">
        <f t="shared" si="0"/>
        <v>5%</v>
      </c>
      <c r="L32" s="115" t="s">
        <v>820</v>
      </c>
    </row>
    <row r="33" spans="1:12" ht="15.75" x14ac:dyDescent="0.25">
      <c r="A33" s="3">
        <v>31</v>
      </c>
      <c r="B33" t="s">
        <v>18</v>
      </c>
      <c r="C33" t="s">
        <v>19</v>
      </c>
      <c r="D33" t="s">
        <v>20</v>
      </c>
      <c r="E33" t="s">
        <v>21</v>
      </c>
      <c r="F33" t="s">
        <v>14</v>
      </c>
      <c r="G33" t="s">
        <v>518</v>
      </c>
      <c r="H33" t="s">
        <v>22</v>
      </c>
      <c r="I33" t="s">
        <v>23</v>
      </c>
      <c r="J33" t="s">
        <v>17</v>
      </c>
      <c r="K33" t="str">
        <f t="shared" si="0"/>
        <v>5%</v>
      </c>
      <c r="L33" s="115" t="s">
        <v>821</v>
      </c>
    </row>
    <row r="34" spans="1:12" ht="15.75" x14ac:dyDescent="0.25">
      <c r="A34" s="3">
        <v>32</v>
      </c>
      <c r="B34" t="s">
        <v>172</v>
      </c>
      <c r="C34" s="4" t="s">
        <v>530</v>
      </c>
      <c r="D34" t="s">
        <v>173</v>
      </c>
      <c r="E34" t="s">
        <v>174</v>
      </c>
      <c r="F34" t="s">
        <v>14</v>
      </c>
      <c r="G34" t="s">
        <v>509</v>
      </c>
      <c r="H34" t="s">
        <v>175</v>
      </c>
      <c r="I34" t="s">
        <v>176</v>
      </c>
      <c r="J34" t="s">
        <v>17</v>
      </c>
      <c r="K34" t="str">
        <f t="shared" si="0"/>
        <v>5%</v>
      </c>
      <c r="L34" s="115" t="s">
        <v>822</v>
      </c>
    </row>
    <row r="35" spans="1:12" ht="15.75" x14ac:dyDescent="0.25">
      <c r="A35" s="3">
        <v>33</v>
      </c>
      <c r="B35" t="s">
        <v>182</v>
      </c>
      <c r="C35" t="s">
        <v>183</v>
      </c>
      <c r="D35" t="s">
        <v>184</v>
      </c>
      <c r="E35" t="s">
        <v>532</v>
      </c>
      <c r="F35" t="s">
        <v>14</v>
      </c>
      <c r="G35" t="s">
        <v>531</v>
      </c>
      <c r="H35" t="s">
        <v>185</v>
      </c>
      <c r="I35" t="s">
        <v>186</v>
      </c>
      <c r="J35" t="s">
        <v>17</v>
      </c>
      <c r="K35" t="str">
        <f t="shared" si="0"/>
        <v>0%</v>
      </c>
      <c r="L35" s="115" t="s">
        <v>823</v>
      </c>
    </row>
    <row r="36" spans="1:12" ht="15.75" x14ac:dyDescent="0.25">
      <c r="A36" s="3">
        <v>34</v>
      </c>
      <c r="B36" t="s">
        <v>94</v>
      </c>
      <c r="C36" t="s">
        <v>95</v>
      </c>
      <c r="D36" t="s">
        <v>96</v>
      </c>
      <c r="E36" t="s">
        <v>533</v>
      </c>
      <c r="F36" t="s">
        <v>14</v>
      </c>
      <c r="G36" t="s">
        <v>531</v>
      </c>
      <c r="H36" t="s">
        <v>97</v>
      </c>
      <c r="I36" t="s">
        <v>98</v>
      </c>
      <c r="J36" t="s">
        <v>17</v>
      </c>
      <c r="K36" t="str">
        <f t="shared" si="0"/>
        <v>0%</v>
      </c>
      <c r="L36" s="115" t="s">
        <v>824</v>
      </c>
    </row>
    <row r="37" spans="1:12" ht="15.75" x14ac:dyDescent="0.25">
      <c r="A37" s="3">
        <v>35</v>
      </c>
      <c r="B37" t="s">
        <v>306</v>
      </c>
      <c r="C37" t="s">
        <v>307</v>
      </c>
      <c r="D37" t="s">
        <v>308</v>
      </c>
      <c r="E37" t="s">
        <v>534</v>
      </c>
      <c r="F37" t="s">
        <v>14</v>
      </c>
      <c r="G37" t="s">
        <v>531</v>
      </c>
      <c r="H37" t="s">
        <v>309</v>
      </c>
      <c r="I37" t="s">
        <v>310</v>
      </c>
      <c r="J37" t="s">
        <v>17</v>
      </c>
      <c r="K37" t="str">
        <f t="shared" si="0"/>
        <v>0%</v>
      </c>
      <c r="L37" s="115" t="s">
        <v>825</v>
      </c>
    </row>
    <row r="38" spans="1:12" ht="15.75" x14ac:dyDescent="0.25">
      <c r="A38" s="3">
        <v>36</v>
      </c>
      <c r="B38" t="s">
        <v>219</v>
      </c>
      <c r="C38" s="4" t="s">
        <v>535</v>
      </c>
      <c r="D38" t="s">
        <v>220</v>
      </c>
      <c r="E38" t="s">
        <v>221</v>
      </c>
      <c r="F38" t="s">
        <v>14</v>
      </c>
      <c r="G38" t="s">
        <v>531</v>
      </c>
      <c r="H38" t="s">
        <v>222</v>
      </c>
      <c r="I38" t="s">
        <v>223</v>
      </c>
      <c r="J38" t="s">
        <v>17</v>
      </c>
      <c r="K38" t="str">
        <f t="shared" si="0"/>
        <v>0%</v>
      </c>
      <c r="L38" s="115" t="s">
        <v>826</v>
      </c>
    </row>
    <row r="39" spans="1:12" ht="15.75" x14ac:dyDescent="0.25">
      <c r="A39" s="3">
        <v>37</v>
      </c>
      <c r="B39" t="s">
        <v>105</v>
      </c>
      <c r="C39" t="s">
        <v>106</v>
      </c>
      <c r="D39" t="s">
        <v>107</v>
      </c>
      <c r="E39" t="s">
        <v>536</v>
      </c>
      <c r="F39" t="s">
        <v>14</v>
      </c>
      <c r="G39" t="s">
        <v>531</v>
      </c>
      <c r="H39" t="s">
        <v>108</v>
      </c>
      <c r="I39" t="s">
        <v>109</v>
      </c>
      <c r="J39" t="s">
        <v>17</v>
      </c>
      <c r="K39" t="str">
        <f t="shared" si="0"/>
        <v>0%</v>
      </c>
      <c r="L39" s="115" t="s">
        <v>827</v>
      </c>
    </row>
    <row r="40" spans="1:12" ht="15.75" x14ac:dyDescent="0.25">
      <c r="A40" s="3">
        <v>38</v>
      </c>
      <c r="B40" t="s">
        <v>67</v>
      </c>
      <c r="C40" t="s">
        <v>68</v>
      </c>
      <c r="D40" t="s">
        <v>69</v>
      </c>
      <c r="E40" t="s">
        <v>70</v>
      </c>
      <c r="F40" t="s">
        <v>14</v>
      </c>
      <c r="G40" t="s">
        <v>522</v>
      </c>
      <c r="H40" t="s">
        <v>71</v>
      </c>
      <c r="I40" t="s">
        <v>72</v>
      </c>
      <c r="J40" t="s">
        <v>17</v>
      </c>
      <c r="K40" t="str">
        <f t="shared" si="0"/>
        <v>5%</v>
      </c>
      <c r="L40" s="115" t="s">
        <v>828</v>
      </c>
    </row>
    <row r="41" spans="1:12" ht="15.75" x14ac:dyDescent="0.25">
      <c r="A41" s="3">
        <v>39</v>
      </c>
      <c r="B41" t="s">
        <v>215</v>
      </c>
      <c r="C41" s="4" t="s">
        <v>537</v>
      </c>
      <c r="D41" t="s">
        <v>32</v>
      </c>
      <c r="E41" t="s">
        <v>216</v>
      </c>
      <c r="F41" t="s">
        <v>14</v>
      </c>
      <c r="G41" t="s">
        <v>531</v>
      </c>
      <c r="H41" t="s">
        <v>217</v>
      </c>
      <c r="I41" t="s">
        <v>218</v>
      </c>
      <c r="J41" t="s">
        <v>17</v>
      </c>
      <c r="K41" t="str">
        <f t="shared" si="0"/>
        <v>0%</v>
      </c>
      <c r="L41" s="115" t="s">
        <v>829</v>
      </c>
    </row>
    <row r="42" spans="1:12" ht="15.75" x14ac:dyDescent="0.25">
      <c r="A42" s="3">
        <v>40</v>
      </c>
      <c r="B42" t="s">
        <v>270</v>
      </c>
      <c r="C42" t="s">
        <v>271</v>
      </c>
      <c r="D42" t="s">
        <v>272</v>
      </c>
      <c r="E42" t="s">
        <v>273</v>
      </c>
      <c r="F42" t="s">
        <v>14</v>
      </c>
      <c r="G42" t="s">
        <v>522</v>
      </c>
      <c r="H42" t="s">
        <v>274</v>
      </c>
      <c r="I42" t="s">
        <v>275</v>
      </c>
      <c r="J42" t="s">
        <v>17</v>
      </c>
      <c r="K42" t="str">
        <f t="shared" si="0"/>
        <v>5%</v>
      </c>
      <c r="L42" s="115" t="s">
        <v>830</v>
      </c>
    </row>
    <row r="43" spans="1:12" ht="15.75" x14ac:dyDescent="0.25">
      <c r="A43" s="3">
        <v>41</v>
      </c>
      <c r="B43" t="s">
        <v>83</v>
      </c>
      <c r="C43" t="s">
        <v>84</v>
      </c>
      <c r="D43" t="s">
        <v>85</v>
      </c>
      <c r="E43" t="s">
        <v>86</v>
      </c>
      <c r="F43" t="s">
        <v>14</v>
      </c>
      <c r="G43" t="s">
        <v>529</v>
      </c>
      <c r="H43" t="s">
        <v>87</v>
      </c>
      <c r="I43" t="s">
        <v>88</v>
      </c>
      <c r="J43" t="s">
        <v>17</v>
      </c>
      <c r="K43" t="str">
        <f t="shared" si="0"/>
        <v>0%</v>
      </c>
      <c r="L43" s="115" t="s">
        <v>831</v>
      </c>
    </row>
    <row r="44" spans="1:12" ht="15.75" x14ac:dyDescent="0.25">
      <c r="A44" s="3">
        <v>42</v>
      </c>
      <c r="B44" t="s">
        <v>10</v>
      </c>
      <c r="C44" t="s">
        <v>11</v>
      </c>
      <c r="D44" t="s">
        <v>12</v>
      </c>
      <c r="E44" t="s">
        <v>13</v>
      </c>
      <c r="F44" t="s">
        <v>14</v>
      </c>
      <c r="G44" t="s">
        <v>531</v>
      </c>
      <c r="H44" t="s">
        <v>15</v>
      </c>
      <c r="I44" t="s">
        <v>16</v>
      </c>
      <c r="J44" t="s">
        <v>17</v>
      </c>
      <c r="K44" t="str">
        <f t="shared" si="0"/>
        <v>0%</v>
      </c>
      <c r="L44" s="115" t="s">
        <v>832</v>
      </c>
    </row>
    <row r="45" spans="1:12" ht="15.4" customHeight="1" x14ac:dyDescent="0.25">
      <c r="A45" s="3">
        <v>43</v>
      </c>
      <c r="B45" t="s">
        <v>139</v>
      </c>
      <c r="C45" t="s">
        <v>140</v>
      </c>
      <c r="D45" t="s">
        <v>141</v>
      </c>
      <c r="E45" t="s">
        <v>142</v>
      </c>
      <c r="F45" t="s">
        <v>14</v>
      </c>
      <c r="G45" t="s">
        <v>522</v>
      </c>
      <c r="H45" t="s">
        <v>143</v>
      </c>
      <c r="I45" t="s">
        <v>144</v>
      </c>
      <c r="J45" t="s">
        <v>17</v>
      </c>
      <c r="K45" t="str">
        <f t="shared" si="0"/>
        <v>5%</v>
      </c>
      <c r="L45" s="115" t="s">
        <v>833</v>
      </c>
    </row>
    <row r="46" spans="1:12" ht="15.4" customHeight="1" x14ac:dyDescent="0.25">
      <c r="A46" s="3">
        <v>44</v>
      </c>
      <c r="B46" t="s">
        <v>61</v>
      </c>
      <c r="C46" t="s">
        <v>62</v>
      </c>
      <c r="D46" t="s">
        <v>63</v>
      </c>
      <c r="E46" t="s">
        <v>64</v>
      </c>
      <c r="F46" t="s">
        <v>14</v>
      </c>
      <c r="G46" t="s">
        <v>509</v>
      </c>
      <c r="H46" t="s">
        <v>65</v>
      </c>
      <c r="I46" t="s">
        <v>66</v>
      </c>
      <c r="J46" t="s">
        <v>17</v>
      </c>
      <c r="K46" t="str">
        <f t="shared" si="0"/>
        <v>5%</v>
      </c>
      <c r="L46" s="115" t="s">
        <v>834</v>
      </c>
    </row>
    <row r="47" spans="1:12" ht="15.4" customHeight="1" x14ac:dyDescent="0.25">
      <c r="A47" s="3">
        <v>45</v>
      </c>
      <c r="B47" t="s">
        <v>41</v>
      </c>
      <c r="C47" t="s">
        <v>42</v>
      </c>
      <c r="D47" t="s">
        <v>43</v>
      </c>
      <c r="E47" t="s">
        <v>44</v>
      </c>
      <c r="F47" t="s">
        <v>14</v>
      </c>
      <c r="G47" t="s">
        <v>522</v>
      </c>
      <c r="H47" t="s">
        <v>538</v>
      </c>
      <c r="I47" t="s">
        <v>45</v>
      </c>
      <c r="J47" t="s">
        <v>17</v>
      </c>
      <c r="K47" t="str">
        <f t="shared" si="0"/>
        <v>5%</v>
      </c>
      <c r="L47" s="115" t="s">
        <v>835</v>
      </c>
    </row>
    <row r="48" spans="1:12" ht="15.4" customHeight="1" x14ac:dyDescent="0.25">
      <c r="A48" s="3">
        <v>46</v>
      </c>
      <c r="B48" t="s">
        <v>264</v>
      </c>
      <c r="C48" t="s">
        <v>265</v>
      </c>
      <c r="D48" t="s">
        <v>266</v>
      </c>
      <c r="E48" t="s">
        <v>267</v>
      </c>
      <c r="F48" t="s">
        <v>14</v>
      </c>
      <c r="G48" t="s">
        <v>522</v>
      </c>
      <c r="H48" t="s">
        <v>268</v>
      </c>
      <c r="I48" t="s">
        <v>269</v>
      </c>
      <c r="J48" t="s">
        <v>17</v>
      </c>
      <c r="K48" t="str">
        <f t="shared" si="0"/>
        <v>5%</v>
      </c>
      <c r="L48" s="115" t="s">
        <v>836</v>
      </c>
    </row>
    <row r="49" spans="1:12" ht="15.4" customHeight="1" x14ac:dyDescent="0.25">
      <c r="A49" s="3">
        <v>47</v>
      </c>
      <c r="B49" t="s">
        <v>258</v>
      </c>
      <c r="C49" t="s">
        <v>259</v>
      </c>
      <c r="D49" t="s">
        <v>260</v>
      </c>
      <c r="E49" t="s">
        <v>261</v>
      </c>
      <c r="F49" t="s">
        <v>14</v>
      </c>
      <c r="G49" t="s">
        <v>531</v>
      </c>
      <c r="H49" t="s">
        <v>262</v>
      </c>
      <c r="I49" t="s">
        <v>263</v>
      </c>
      <c r="J49" t="s">
        <v>17</v>
      </c>
      <c r="K49" t="str">
        <f t="shared" si="0"/>
        <v>0%</v>
      </c>
      <c r="L49" s="115" t="s">
        <v>837</v>
      </c>
    </row>
    <row r="50" spans="1:12" ht="15.4" customHeight="1" x14ac:dyDescent="0.25">
      <c r="A50" s="3">
        <v>48</v>
      </c>
      <c r="B50" t="s">
        <v>467</v>
      </c>
      <c r="C50" t="s">
        <v>468</v>
      </c>
      <c r="D50" t="s">
        <v>469</v>
      </c>
      <c r="E50" t="s">
        <v>470</v>
      </c>
      <c r="F50" t="s">
        <v>14</v>
      </c>
      <c r="G50" t="s">
        <v>521</v>
      </c>
      <c r="H50" t="s">
        <v>471</v>
      </c>
      <c r="I50" t="s">
        <v>472</v>
      </c>
      <c r="J50" t="s">
        <v>17</v>
      </c>
      <c r="K50" t="str">
        <f t="shared" si="0"/>
        <v>5%</v>
      </c>
    </row>
    <row r="51" spans="1:12" ht="15.4" customHeight="1" x14ac:dyDescent="0.25">
      <c r="A51" s="3">
        <v>49</v>
      </c>
      <c r="B51" t="s">
        <v>434</v>
      </c>
      <c r="C51" t="s">
        <v>435</v>
      </c>
      <c r="D51" s="4" t="s">
        <v>436</v>
      </c>
      <c r="E51" s="4" t="s">
        <v>437</v>
      </c>
      <c r="F51" t="s">
        <v>14</v>
      </c>
      <c r="G51" t="s">
        <v>521</v>
      </c>
      <c r="H51" t="s">
        <v>438</v>
      </c>
      <c r="I51" s="4" t="s">
        <v>439</v>
      </c>
      <c r="J51" t="s">
        <v>17</v>
      </c>
      <c r="K51" t="str">
        <f t="shared" si="0"/>
        <v>5%</v>
      </c>
    </row>
    <row r="52" spans="1:12" ht="15.4" customHeight="1" x14ac:dyDescent="0.25">
      <c r="A52" s="3">
        <v>50</v>
      </c>
      <c r="B52" t="s">
        <v>546</v>
      </c>
      <c r="C52" s="4" t="s">
        <v>456</v>
      </c>
      <c r="D52" s="4" t="s">
        <v>457</v>
      </c>
      <c r="E52" s="4" t="s">
        <v>458</v>
      </c>
      <c r="F52" t="s">
        <v>14</v>
      </c>
      <c r="G52" t="s">
        <v>531</v>
      </c>
      <c r="H52" t="s">
        <v>459</v>
      </c>
      <c r="I52" s="4" t="s">
        <v>460</v>
      </c>
      <c r="J52" t="s">
        <v>17</v>
      </c>
      <c r="K52" t="str">
        <f t="shared" si="0"/>
        <v>0%</v>
      </c>
    </row>
    <row r="53" spans="1:12" ht="15.4" customHeight="1" x14ac:dyDescent="0.25">
      <c r="A53" s="3">
        <v>51</v>
      </c>
      <c r="B53" t="s">
        <v>446</v>
      </c>
      <c r="C53" s="4" t="s">
        <v>447</v>
      </c>
      <c r="D53" s="4" t="s">
        <v>448</v>
      </c>
      <c r="E53" s="4" t="s">
        <v>449</v>
      </c>
      <c r="F53" t="s">
        <v>14</v>
      </c>
      <c r="G53" t="s">
        <v>531</v>
      </c>
      <c r="H53" t="s">
        <v>450</v>
      </c>
      <c r="I53" s="4" t="s">
        <v>451</v>
      </c>
      <c r="J53" t="s">
        <v>17</v>
      </c>
      <c r="K53" t="str">
        <f t="shared" si="0"/>
        <v>0%</v>
      </c>
    </row>
    <row r="54" spans="1:12" ht="15.4" customHeight="1" x14ac:dyDescent="0.25">
      <c r="A54" s="3">
        <v>52</v>
      </c>
      <c r="B54" t="s">
        <v>548</v>
      </c>
      <c r="C54" s="4" t="s">
        <v>539</v>
      </c>
      <c r="D54" s="4" t="s">
        <v>540</v>
      </c>
      <c r="E54" s="4" t="s">
        <v>541</v>
      </c>
      <c r="F54" t="s">
        <v>14</v>
      </c>
      <c r="G54" t="s">
        <v>531</v>
      </c>
      <c r="H54" t="s">
        <v>542</v>
      </c>
      <c r="I54" s="4" t="s">
        <v>543</v>
      </c>
      <c r="J54" t="s">
        <v>17</v>
      </c>
      <c r="K54" t="str">
        <f t="shared" si="0"/>
        <v>0%</v>
      </c>
    </row>
    <row r="55" spans="1:12" ht="15.4" customHeight="1" x14ac:dyDescent="0.25">
      <c r="A55" s="3">
        <v>53</v>
      </c>
      <c r="B55" t="s">
        <v>461</v>
      </c>
      <c r="C55" t="s">
        <v>462</v>
      </c>
      <c r="D55" t="s">
        <v>463</v>
      </c>
      <c r="E55" t="s">
        <v>464</v>
      </c>
      <c r="F55" t="s">
        <v>14</v>
      </c>
      <c r="G55" t="s">
        <v>531</v>
      </c>
      <c r="H55" t="s">
        <v>465</v>
      </c>
      <c r="I55" t="s">
        <v>466</v>
      </c>
      <c r="J55" t="s">
        <v>17</v>
      </c>
      <c r="K55" t="str">
        <f t="shared" si="0"/>
        <v>0%</v>
      </c>
    </row>
    <row r="56" spans="1:12" ht="15.4" customHeight="1" x14ac:dyDescent="0.25">
      <c r="A56" s="3">
        <v>54</v>
      </c>
      <c r="B56" t="s">
        <v>545</v>
      </c>
      <c r="C56" s="1" t="s">
        <v>496</v>
      </c>
      <c r="D56" s="1" t="s">
        <v>497</v>
      </c>
      <c r="E56" s="5" t="s">
        <v>498</v>
      </c>
      <c r="F56" t="s">
        <v>14</v>
      </c>
      <c r="G56" t="s">
        <v>521</v>
      </c>
      <c r="H56" t="s">
        <v>499</v>
      </c>
      <c r="I56" s="1" t="s">
        <v>500</v>
      </c>
      <c r="J56" s="1" t="s">
        <v>17</v>
      </c>
      <c r="K56" t="str">
        <f t="shared" si="0"/>
        <v>5%</v>
      </c>
    </row>
    <row r="57" spans="1:12" ht="15.4" customHeight="1" x14ac:dyDescent="0.25">
      <c r="A57" s="3">
        <v>55</v>
      </c>
      <c r="B57" t="s">
        <v>440</v>
      </c>
      <c r="C57" t="s">
        <v>441</v>
      </c>
      <c r="D57" s="4" t="s">
        <v>442</v>
      </c>
      <c r="E57" s="4" t="s">
        <v>443</v>
      </c>
      <c r="F57" t="s">
        <v>14</v>
      </c>
      <c r="G57" t="s">
        <v>521</v>
      </c>
      <c r="H57" t="s">
        <v>444</v>
      </c>
      <c r="I57" s="4" t="s">
        <v>445</v>
      </c>
      <c r="J57" t="s">
        <v>17</v>
      </c>
      <c r="K57" t="str">
        <f t="shared" si="0"/>
        <v>5%</v>
      </c>
    </row>
    <row r="58" spans="1:12" ht="15.4" customHeight="1" x14ac:dyDescent="0.25">
      <c r="A58" s="3">
        <v>56</v>
      </c>
      <c r="B58" t="s">
        <v>473</v>
      </c>
      <c r="C58" t="s">
        <v>474</v>
      </c>
      <c r="D58" t="s">
        <v>475</v>
      </c>
      <c r="E58" t="s">
        <v>476</v>
      </c>
      <c r="F58" t="s">
        <v>14</v>
      </c>
      <c r="G58" t="s">
        <v>521</v>
      </c>
      <c r="H58" t="s">
        <v>477</v>
      </c>
      <c r="I58" t="s">
        <v>478</v>
      </c>
      <c r="J58" t="s">
        <v>17</v>
      </c>
      <c r="K58" t="str">
        <f t="shared" si="0"/>
        <v>5%</v>
      </c>
    </row>
    <row r="59" spans="1:12" ht="15.4" customHeight="1" x14ac:dyDescent="0.25">
      <c r="A59" s="3">
        <v>57</v>
      </c>
      <c r="B59" t="s">
        <v>501</v>
      </c>
      <c r="C59" s="1" t="s">
        <v>502</v>
      </c>
      <c r="D59" t="s">
        <v>503</v>
      </c>
      <c r="E59" t="s">
        <v>504</v>
      </c>
      <c r="F59" t="s">
        <v>14</v>
      </c>
      <c r="G59" t="s">
        <v>518</v>
      </c>
      <c r="H59" t="s">
        <v>505</v>
      </c>
      <c r="I59" t="s">
        <v>506</v>
      </c>
      <c r="J59" t="s">
        <v>17</v>
      </c>
      <c r="K59" t="str">
        <f t="shared" si="0"/>
        <v>5%</v>
      </c>
    </row>
    <row r="60" spans="1:12" ht="15.4" customHeight="1" x14ac:dyDescent="0.25">
      <c r="A60" s="3">
        <v>58</v>
      </c>
      <c r="B60" t="s">
        <v>392</v>
      </c>
      <c r="C60" s="4" t="s">
        <v>602</v>
      </c>
      <c r="D60" s="4" t="s">
        <v>601</v>
      </c>
      <c r="E60" t="s">
        <v>393</v>
      </c>
      <c r="F60" t="s">
        <v>14</v>
      </c>
      <c r="G60" t="s">
        <v>522</v>
      </c>
      <c r="H60" t="s">
        <v>392</v>
      </c>
      <c r="I60" t="s">
        <v>394</v>
      </c>
      <c r="J60" t="s">
        <v>17</v>
      </c>
      <c r="K60" t="str">
        <f t="shared" si="0"/>
        <v>5%</v>
      </c>
    </row>
    <row r="61" spans="1:12" ht="15.75" x14ac:dyDescent="0.25">
      <c r="A61" s="3">
        <v>59</v>
      </c>
      <c r="B61" t="s">
        <v>240</v>
      </c>
      <c r="C61" t="s">
        <v>241</v>
      </c>
      <c r="D61" t="s">
        <v>242</v>
      </c>
      <c r="E61" t="s">
        <v>243</v>
      </c>
      <c r="F61" t="s">
        <v>47</v>
      </c>
      <c r="G61" t="s">
        <v>47</v>
      </c>
      <c r="H61" t="s">
        <v>244</v>
      </c>
      <c r="I61" t="s">
        <v>245</v>
      </c>
      <c r="J61" t="s">
        <v>17</v>
      </c>
      <c r="K61" t="str">
        <f t="shared" si="0"/>
        <v>2,5%</v>
      </c>
    </row>
    <row r="62" spans="1:12" ht="15.75" x14ac:dyDescent="0.25">
      <c r="A62" s="3">
        <v>60</v>
      </c>
      <c r="B62" t="s">
        <v>547</v>
      </c>
      <c r="C62" s="4" t="s">
        <v>513</v>
      </c>
      <c r="D62" s="4" t="s">
        <v>514</v>
      </c>
      <c r="E62" s="4" t="s">
        <v>515</v>
      </c>
      <c r="F62" t="s">
        <v>47</v>
      </c>
      <c r="G62" t="s">
        <v>47</v>
      </c>
      <c r="H62" t="s">
        <v>516</v>
      </c>
      <c r="I62" s="4" t="s">
        <v>517</v>
      </c>
      <c r="J62" t="s">
        <v>17</v>
      </c>
      <c r="K62" t="str">
        <f t="shared" si="0"/>
        <v>2,5%</v>
      </c>
    </row>
    <row r="63" spans="1:12" ht="15.4" customHeight="1" x14ac:dyDescent="0.25">
      <c r="A63" s="3">
        <v>61</v>
      </c>
      <c r="B63" t="s">
        <v>246</v>
      </c>
      <c r="C63" t="s">
        <v>247</v>
      </c>
      <c r="D63" t="s">
        <v>248</v>
      </c>
      <c r="E63" t="s">
        <v>249</v>
      </c>
      <c r="F63" t="s">
        <v>47</v>
      </c>
      <c r="G63" t="s">
        <v>47</v>
      </c>
      <c r="H63" t="s">
        <v>250</v>
      </c>
      <c r="I63" t="s">
        <v>251</v>
      </c>
      <c r="J63" t="s">
        <v>17</v>
      </c>
      <c r="K63" t="str">
        <f t="shared" si="0"/>
        <v>2,5%</v>
      </c>
    </row>
    <row r="64" spans="1:12" ht="15.4" customHeight="1" x14ac:dyDescent="0.25">
      <c r="A64" s="3">
        <v>62</v>
      </c>
      <c r="B64" t="s">
        <v>234</v>
      </c>
      <c r="C64" t="s">
        <v>235</v>
      </c>
      <c r="D64" t="s">
        <v>236</v>
      </c>
      <c r="E64" t="s">
        <v>237</v>
      </c>
      <c r="F64" t="s">
        <v>47</v>
      </c>
      <c r="G64" t="s">
        <v>47</v>
      </c>
      <c r="H64" t="s">
        <v>238</v>
      </c>
      <c r="I64" t="s">
        <v>239</v>
      </c>
      <c r="J64" t="s">
        <v>17</v>
      </c>
      <c r="K64" t="str">
        <f t="shared" si="0"/>
        <v>2,5%</v>
      </c>
    </row>
    <row r="65" spans="1:11" ht="15.4" customHeight="1" x14ac:dyDescent="0.25">
      <c r="A65" s="3">
        <v>63</v>
      </c>
      <c r="B65" t="s">
        <v>122</v>
      </c>
      <c r="C65" t="s">
        <v>123</v>
      </c>
      <c r="D65" t="s">
        <v>124</v>
      </c>
      <c r="E65" t="s">
        <v>125</v>
      </c>
      <c r="F65" t="s">
        <v>47</v>
      </c>
      <c r="G65" t="s">
        <v>47</v>
      </c>
      <c r="H65" t="s">
        <v>126</v>
      </c>
      <c r="I65" t="s">
        <v>127</v>
      </c>
      <c r="J65" t="s">
        <v>17</v>
      </c>
      <c r="K65" t="str">
        <f t="shared" si="0"/>
        <v>2,5%</v>
      </c>
    </row>
    <row r="66" spans="1:11" ht="15.4" customHeight="1" x14ac:dyDescent="0.25">
      <c r="A66" s="3">
        <v>64</v>
      </c>
      <c r="B66" t="s">
        <v>288</v>
      </c>
      <c r="C66" t="s">
        <v>289</v>
      </c>
      <c r="D66" t="s">
        <v>290</v>
      </c>
      <c r="E66" t="s">
        <v>291</v>
      </c>
      <c r="F66" t="s">
        <v>47</v>
      </c>
      <c r="G66" t="s">
        <v>47</v>
      </c>
      <c r="H66" t="s">
        <v>292</v>
      </c>
      <c r="I66" t="s">
        <v>293</v>
      </c>
      <c r="J66" t="s">
        <v>17</v>
      </c>
      <c r="K66" t="str">
        <f t="shared" si="0"/>
        <v>2,5%</v>
      </c>
    </row>
    <row r="67" spans="1:11" ht="15.4" customHeight="1" x14ac:dyDescent="0.25">
      <c r="A67" s="3">
        <v>65</v>
      </c>
      <c r="B67" t="s">
        <v>193</v>
      </c>
      <c r="C67" t="s">
        <v>46</v>
      </c>
      <c r="D67" t="s">
        <v>194</v>
      </c>
      <c r="E67" t="s">
        <v>195</v>
      </c>
      <c r="F67" t="s">
        <v>47</v>
      </c>
      <c r="G67" t="s">
        <v>47</v>
      </c>
      <c r="H67" t="s">
        <v>196</v>
      </c>
      <c r="I67" s="4" t="s">
        <v>197</v>
      </c>
      <c r="J67" t="s">
        <v>17</v>
      </c>
      <c r="K67" t="str">
        <f t="shared" si="0"/>
        <v>2,5%</v>
      </c>
    </row>
    <row r="68" spans="1:11" ht="15.4" customHeight="1" x14ac:dyDescent="0.25">
      <c r="A68" s="3">
        <v>66</v>
      </c>
      <c r="B68" t="s">
        <v>229</v>
      </c>
      <c r="C68" t="s">
        <v>46</v>
      </c>
      <c r="D68" t="s">
        <v>230</v>
      </c>
      <c r="E68" t="s">
        <v>231</v>
      </c>
      <c r="F68" t="s">
        <v>47</v>
      </c>
      <c r="G68" t="s">
        <v>47</v>
      </c>
      <c r="H68" t="s">
        <v>232</v>
      </c>
      <c r="I68" t="s">
        <v>233</v>
      </c>
      <c r="J68" t="s">
        <v>17</v>
      </c>
      <c r="K68" t="str">
        <f t="shared" ref="K68:K119" si="1">(IF(LEFT(G68,3)="III","5%",IF(LEFT(G68,3)="NON","2,5%",IF(LEFT(G68,3)="IV/","15%","0%"))))</f>
        <v>2,5%</v>
      </c>
    </row>
    <row r="69" spans="1:11" ht="15.75" x14ac:dyDescent="0.25">
      <c r="A69" s="3">
        <v>67</v>
      </c>
      <c r="B69" t="s">
        <v>350</v>
      </c>
      <c r="C69" t="s">
        <v>46</v>
      </c>
      <c r="D69" t="s">
        <v>351</v>
      </c>
      <c r="E69" s="4" t="s">
        <v>607</v>
      </c>
      <c r="F69" t="s">
        <v>47</v>
      </c>
      <c r="G69" t="s">
        <v>47</v>
      </c>
      <c r="H69" t="s">
        <v>352</v>
      </c>
      <c r="I69" s="4" t="s">
        <v>353</v>
      </c>
      <c r="J69" t="s">
        <v>17</v>
      </c>
      <c r="K69" t="str">
        <f t="shared" si="1"/>
        <v>2,5%</v>
      </c>
    </row>
    <row r="70" spans="1:11" ht="15.75" x14ac:dyDescent="0.25">
      <c r="A70" s="3">
        <v>68</v>
      </c>
      <c r="B70" t="s">
        <v>204</v>
      </c>
      <c r="C70" t="s">
        <v>46</v>
      </c>
      <c r="D70" t="s">
        <v>205</v>
      </c>
      <c r="E70" s="4" t="s">
        <v>206</v>
      </c>
      <c r="F70" t="s">
        <v>47</v>
      </c>
      <c r="G70" t="s">
        <v>47</v>
      </c>
      <c r="H70" t="s">
        <v>207</v>
      </c>
      <c r="I70" t="s">
        <v>208</v>
      </c>
      <c r="J70" t="s">
        <v>17</v>
      </c>
      <c r="K70" t="str">
        <f t="shared" si="1"/>
        <v>2,5%</v>
      </c>
    </row>
    <row r="71" spans="1:11" ht="15.75" x14ac:dyDescent="0.25">
      <c r="A71" s="3">
        <v>69</v>
      </c>
      <c r="B71" t="s">
        <v>316</v>
      </c>
      <c r="C71" t="s">
        <v>46</v>
      </c>
      <c r="D71" t="s">
        <v>317</v>
      </c>
      <c r="E71" s="4" t="s">
        <v>318</v>
      </c>
      <c r="F71" t="s">
        <v>47</v>
      </c>
      <c r="G71" t="s">
        <v>47</v>
      </c>
      <c r="H71" t="s">
        <v>319</v>
      </c>
      <c r="I71" t="s">
        <v>320</v>
      </c>
      <c r="J71" t="s">
        <v>17</v>
      </c>
      <c r="K71" t="str">
        <f t="shared" si="1"/>
        <v>2,5%</v>
      </c>
    </row>
    <row r="72" spans="1:11" ht="15.75" x14ac:dyDescent="0.25">
      <c r="A72" s="3">
        <v>70</v>
      </c>
      <c r="B72" t="s">
        <v>150</v>
      </c>
      <c r="C72" t="s">
        <v>46</v>
      </c>
      <c r="D72" t="s">
        <v>151</v>
      </c>
      <c r="E72" s="4" t="s">
        <v>152</v>
      </c>
      <c r="F72" t="s">
        <v>47</v>
      </c>
      <c r="G72" t="s">
        <v>47</v>
      </c>
      <c r="H72" t="s">
        <v>153</v>
      </c>
      <c r="I72" t="s">
        <v>154</v>
      </c>
      <c r="J72" t="s">
        <v>17</v>
      </c>
      <c r="K72" t="str">
        <f t="shared" si="1"/>
        <v>2,5%</v>
      </c>
    </row>
    <row r="73" spans="1:11" ht="15.75" x14ac:dyDescent="0.25">
      <c r="A73" s="3">
        <v>71</v>
      </c>
      <c r="B73" t="s">
        <v>177</v>
      </c>
      <c r="C73" t="s">
        <v>46</v>
      </c>
      <c r="D73" t="s">
        <v>178</v>
      </c>
      <c r="E73" t="s">
        <v>179</v>
      </c>
      <c r="F73" t="s">
        <v>47</v>
      </c>
      <c r="G73" t="s">
        <v>47</v>
      </c>
      <c r="H73" t="s">
        <v>180</v>
      </c>
      <c r="I73" t="s">
        <v>181</v>
      </c>
      <c r="J73" t="s">
        <v>17</v>
      </c>
      <c r="K73" t="str">
        <f t="shared" si="1"/>
        <v>2,5%</v>
      </c>
    </row>
    <row r="74" spans="1:11" ht="15.75" x14ac:dyDescent="0.25">
      <c r="A74" s="3">
        <v>72</v>
      </c>
      <c r="B74" t="s">
        <v>452</v>
      </c>
      <c r="C74" t="s">
        <v>46</v>
      </c>
      <c r="D74" t="s">
        <v>453</v>
      </c>
      <c r="E74" s="4" t="s">
        <v>454</v>
      </c>
      <c r="F74" t="s">
        <v>47</v>
      </c>
      <c r="G74" t="s">
        <v>47</v>
      </c>
      <c r="H74" t="s">
        <v>452</v>
      </c>
      <c r="I74" s="4" t="s">
        <v>455</v>
      </c>
      <c r="J74" t="s">
        <v>17</v>
      </c>
      <c r="K74" t="str">
        <f t="shared" si="1"/>
        <v>2,5%</v>
      </c>
    </row>
    <row r="75" spans="1:11" ht="15.75" x14ac:dyDescent="0.25">
      <c r="A75" s="3">
        <v>73</v>
      </c>
      <c r="B75" t="s">
        <v>550</v>
      </c>
      <c r="C75" t="s">
        <v>46</v>
      </c>
      <c r="D75" t="s">
        <v>549</v>
      </c>
      <c r="E75" s="4" t="s">
        <v>606</v>
      </c>
      <c r="F75" t="s">
        <v>47</v>
      </c>
      <c r="G75" t="s">
        <v>47</v>
      </c>
      <c r="H75" t="s">
        <v>604</v>
      </c>
      <c r="I75" s="4" t="s">
        <v>605</v>
      </c>
      <c r="J75" t="s">
        <v>17</v>
      </c>
      <c r="K75" t="str">
        <f t="shared" si="1"/>
        <v>2,5%</v>
      </c>
    </row>
    <row r="76" spans="1:11" ht="15.75" x14ac:dyDescent="0.25">
      <c r="A76" s="3">
        <v>74</v>
      </c>
      <c r="B76" t="s">
        <v>552</v>
      </c>
      <c r="C76" t="s">
        <v>46</v>
      </c>
      <c r="D76" t="s">
        <v>551</v>
      </c>
      <c r="E76" s="4" t="s">
        <v>46</v>
      </c>
      <c r="F76" t="s">
        <v>47</v>
      </c>
      <c r="G76" t="s">
        <v>47</v>
      </c>
      <c r="H76" t="s">
        <v>552</v>
      </c>
      <c r="I76" s="4" t="s">
        <v>603</v>
      </c>
      <c r="J76" t="s">
        <v>17</v>
      </c>
      <c r="K76" t="str">
        <f t="shared" si="1"/>
        <v>2,5%</v>
      </c>
    </row>
    <row r="77" spans="1:11" ht="15.75" x14ac:dyDescent="0.25">
      <c r="A77" s="3">
        <v>75</v>
      </c>
      <c r="B77" t="s">
        <v>556</v>
      </c>
      <c r="C77" t="s">
        <v>46</v>
      </c>
      <c r="D77" t="s">
        <v>553</v>
      </c>
      <c r="E77" s="4" t="s">
        <v>46</v>
      </c>
      <c r="F77" t="s">
        <v>47</v>
      </c>
      <c r="G77" t="s">
        <v>47</v>
      </c>
      <c r="H77" t="s">
        <v>48</v>
      </c>
      <c r="I77" t="s">
        <v>49</v>
      </c>
      <c r="J77" t="s">
        <v>17</v>
      </c>
      <c r="K77" t="str">
        <f t="shared" si="1"/>
        <v>2,5%</v>
      </c>
    </row>
    <row r="78" spans="1:11" ht="15.75" x14ac:dyDescent="0.25">
      <c r="A78" s="3">
        <v>76</v>
      </c>
      <c r="B78" t="s">
        <v>224</v>
      </c>
      <c r="C78" t="s">
        <v>46</v>
      </c>
      <c r="D78" t="s">
        <v>225</v>
      </c>
      <c r="E78" t="s">
        <v>226</v>
      </c>
      <c r="F78" t="s">
        <v>47</v>
      </c>
      <c r="G78" t="s">
        <v>47</v>
      </c>
      <c r="H78" t="s">
        <v>227</v>
      </c>
      <c r="I78" t="s">
        <v>228</v>
      </c>
      <c r="J78" t="s">
        <v>17</v>
      </c>
      <c r="K78" t="str">
        <f t="shared" si="1"/>
        <v>2,5%</v>
      </c>
    </row>
    <row r="79" spans="1:11" ht="15.75" x14ac:dyDescent="0.25">
      <c r="A79" s="3">
        <v>77</v>
      </c>
      <c r="B79" t="s">
        <v>555</v>
      </c>
      <c r="C79" t="s">
        <v>46</v>
      </c>
      <c r="D79" t="s">
        <v>554</v>
      </c>
      <c r="E79" s="4" t="s">
        <v>46</v>
      </c>
      <c r="F79" t="s">
        <v>47</v>
      </c>
      <c r="G79" t="s">
        <v>47</v>
      </c>
      <c r="H79" t="s">
        <v>609</v>
      </c>
      <c r="I79" t="s">
        <v>608</v>
      </c>
      <c r="J79" t="s">
        <v>17</v>
      </c>
      <c r="K79" t="str">
        <f t="shared" si="1"/>
        <v>2,5%</v>
      </c>
    </row>
    <row r="80" spans="1:11" ht="15.75" x14ac:dyDescent="0.25">
      <c r="A80" s="3">
        <v>78</v>
      </c>
      <c r="B80" t="s">
        <v>558</v>
      </c>
      <c r="C80" t="s">
        <v>46</v>
      </c>
      <c r="D80" t="s">
        <v>557</v>
      </c>
      <c r="E80" s="4" t="s">
        <v>46</v>
      </c>
      <c r="F80" t="s">
        <v>47</v>
      </c>
      <c r="G80" t="s">
        <v>47</v>
      </c>
      <c r="H80" t="s">
        <v>621</v>
      </c>
      <c r="I80" t="s">
        <v>611</v>
      </c>
      <c r="J80" t="s">
        <v>17</v>
      </c>
      <c r="K80" t="str">
        <f t="shared" si="1"/>
        <v>2,5%</v>
      </c>
    </row>
    <row r="81" spans="1:11" ht="15.75" x14ac:dyDescent="0.25">
      <c r="A81" s="3">
        <v>79</v>
      </c>
      <c r="B81" t="s">
        <v>560</v>
      </c>
      <c r="C81" t="s">
        <v>46</v>
      </c>
      <c r="D81" t="s">
        <v>559</v>
      </c>
      <c r="E81" s="4" t="s">
        <v>46</v>
      </c>
      <c r="F81" t="s">
        <v>47</v>
      </c>
      <c r="G81" t="s">
        <v>47</v>
      </c>
      <c r="H81" t="s">
        <v>635</v>
      </c>
      <c r="I81" s="4" t="s">
        <v>636</v>
      </c>
      <c r="J81" t="s">
        <v>17</v>
      </c>
      <c r="K81" t="str">
        <f t="shared" si="1"/>
        <v>2,5%</v>
      </c>
    </row>
    <row r="82" spans="1:11" ht="15.75" x14ac:dyDescent="0.25">
      <c r="A82" s="3">
        <v>80</v>
      </c>
      <c r="B82" t="s">
        <v>562</v>
      </c>
      <c r="C82" t="s">
        <v>46</v>
      </c>
      <c r="D82" t="s">
        <v>561</v>
      </c>
      <c r="E82" s="4" t="s">
        <v>46</v>
      </c>
      <c r="F82" t="s">
        <v>47</v>
      </c>
      <c r="G82" t="s">
        <v>47</v>
      </c>
      <c r="H82" t="s">
        <v>637</v>
      </c>
      <c r="I82" s="4" t="s">
        <v>638</v>
      </c>
      <c r="J82" t="s">
        <v>17</v>
      </c>
      <c r="K82" t="str">
        <f t="shared" si="1"/>
        <v>2,5%</v>
      </c>
    </row>
    <row r="83" spans="1:11" ht="15.75" x14ac:dyDescent="0.25">
      <c r="A83" s="3">
        <v>81</v>
      </c>
      <c r="B83" t="s">
        <v>564</v>
      </c>
      <c r="C83" t="s">
        <v>46</v>
      </c>
      <c r="D83" t="s">
        <v>563</v>
      </c>
      <c r="E83" s="4" t="s">
        <v>46</v>
      </c>
      <c r="F83" t="s">
        <v>47</v>
      </c>
      <c r="G83" t="s">
        <v>47</v>
      </c>
      <c r="H83" t="s">
        <v>610</v>
      </c>
      <c r="I83" s="4" t="s">
        <v>639</v>
      </c>
      <c r="J83" t="s">
        <v>17</v>
      </c>
      <c r="K83" t="str">
        <f t="shared" si="1"/>
        <v>2,5%</v>
      </c>
    </row>
    <row r="84" spans="1:11" ht="15.75" x14ac:dyDescent="0.25">
      <c r="A84" s="3">
        <v>82</v>
      </c>
      <c r="B84" t="s">
        <v>566</v>
      </c>
      <c r="C84" t="s">
        <v>46</v>
      </c>
      <c r="D84" t="s">
        <v>565</v>
      </c>
      <c r="E84" s="4" t="s">
        <v>46</v>
      </c>
      <c r="F84" t="s">
        <v>47</v>
      </c>
      <c r="G84" t="s">
        <v>47</v>
      </c>
      <c r="H84" t="s">
        <v>640</v>
      </c>
      <c r="I84" s="4" t="s">
        <v>641</v>
      </c>
      <c r="J84" t="s">
        <v>17</v>
      </c>
      <c r="K84" t="str">
        <f t="shared" si="1"/>
        <v>2,5%</v>
      </c>
    </row>
    <row r="85" spans="1:11" ht="15.75" x14ac:dyDescent="0.25">
      <c r="A85" s="3">
        <v>83</v>
      </c>
      <c r="B85" t="s">
        <v>568</v>
      </c>
      <c r="C85" t="s">
        <v>46</v>
      </c>
      <c r="D85" t="s">
        <v>567</v>
      </c>
      <c r="E85" s="4" t="s">
        <v>46</v>
      </c>
      <c r="F85" t="s">
        <v>47</v>
      </c>
      <c r="G85" t="s">
        <v>47</v>
      </c>
      <c r="H85" t="s">
        <v>642</v>
      </c>
      <c r="I85" s="4" t="s">
        <v>643</v>
      </c>
      <c r="J85" t="s">
        <v>17</v>
      </c>
      <c r="K85" t="str">
        <f t="shared" si="1"/>
        <v>2,5%</v>
      </c>
    </row>
    <row r="86" spans="1:11" ht="15.75" x14ac:dyDescent="0.25">
      <c r="A86" s="3">
        <v>84</v>
      </c>
      <c r="B86" t="s">
        <v>570</v>
      </c>
      <c r="C86" t="s">
        <v>46</v>
      </c>
      <c r="D86" t="s">
        <v>569</v>
      </c>
      <c r="E86" s="4" t="s">
        <v>46</v>
      </c>
      <c r="F86" t="s">
        <v>47</v>
      </c>
      <c r="G86" t="s">
        <v>47</v>
      </c>
      <c r="H86" t="s">
        <v>644</v>
      </c>
      <c r="I86" s="4" t="s">
        <v>645</v>
      </c>
      <c r="J86" t="s">
        <v>17</v>
      </c>
      <c r="K86" t="str">
        <f t="shared" si="1"/>
        <v>2,5%</v>
      </c>
    </row>
    <row r="87" spans="1:11" ht="15.75" x14ac:dyDescent="0.25">
      <c r="A87" s="3">
        <v>85</v>
      </c>
      <c r="B87" t="s">
        <v>572</v>
      </c>
      <c r="C87" t="s">
        <v>46</v>
      </c>
      <c r="D87" t="s">
        <v>571</v>
      </c>
      <c r="E87" s="4" t="s">
        <v>46</v>
      </c>
      <c r="F87" t="s">
        <v>47</v>
      </c>
      <c r="G87" t="s">
        <v>47</v>
      </c>
      <c r="H87" t="s">
        <v>646</v>
      </c>
      <c r="I87" s="4" t="s">
        <v>647</v>
      </c>
      <c r="J87" t="s">
        <v>17</v>
      </c>
      <c r="K87" t="str">
        <f t="shared" si="1"/>
        <v>2,5%</v>
      </c>
    </row>
    <row r="88" spans="1:11" ht="15.75" x14ac:dyDescent="0.25">
      <c r="A88" s="3">
        <v>86</v>
      </c>
      <c r="B88" t="s">
        <v>574</v>
      </c>
      <c r="C88" t="s">
        <v>46</v>
      </c>
      <c r="D88" t="s">
        <v>573</v>
      </c>
      <c r="E88" s="4" t="s">
        <v>46</v>
      </c>
      <c r="F88" t="s">
        <v>47</v>
      </c>
      <c r="G88" t="s">
        <v>47</v>
      </c>
      <c r="H88" t="s">
        <v>648</v>
      </c>
      <c r="I88" s="4" t="s">
        <v>653</v>
      </c>
      <c r="J88" t="s">
        <v>17</v>
      </c>
      <c r="K88" t="str">
        <f t="shared" si="1"/>
        <v>2,5%</v>
      </c>
    </row>
    <row r="89" spans="1:11" ht="15.75" x14ac:dyDescent="0.25">
      <c r="A89" s="3">
        <v>87</v>
      </c>
      <c r="B89" t="s">
        <v>576</v>
      </c>
      <c r="C89" t="s">
        <v>46</v>
      </c>
      <c r="D89" t="s">
        <v>575</v>
      </c>
      <c r="E89" s="4" t="s">
        <v>46</v>
      </c>
      <c r="F89" t="s">
        <v>47</v>
      </c>
      <c r="G89" t="s">
        <v>47</v>
      </c>
      <c r="H89" t="s">
        <v>649</v>
      </c>
      <c r="I89" s="4" t="s">
        <v>652</v>
      </c>
      <c r="J89" t="s">
        <v>17</v>
      </c>
      <c r="K89" t="str">
        <f t="shared" si="1"/>
        <v>2,5%</v>
      </c>
    </row>
    <row r="90" spans="1:11" ht="15.75" x14ac:dyDescent="0.25">
      <c r="A90" s="3">
        <v>88</v>
      </c>
      <c r="B90" t="s">
        <v>578</v>
      </c>
      <c r="C90" t="s">
        <v>46</v>
      </c>
      <c r="D90" t="s">
        <v>577</v>
      </c>
      <c r="E90" s="4" t="s">
        <v>46</v>
      </c>
      <c r="F90" t="s">
        <v>47</v>
      </c>
      <c r="G90" t="s">
        <v>47</v>
      </c>
      <c r="H90" t="s">
        <v>650</v>
      </c>
      <c r="I90" s="4" t="s">
        <v>651</v>
      </c>
      <c r="J90" t="s">
        <v>17</v>
      </c>
      <c r="K90" t="str">
        <f t="shared" si="1"/>
        <v>2,5%</v>
      </c>
    </row>
    <row r="91" spans="1:11" ht="15.75" x14ac:dyDescent="0.25">
      <c r="A91" s="3">
        <v>89</v>
      </c>
      <c r="B91" t="s">
        <v>580</v>
      </c>
      <c r="C91" t="s">
        <v>46</v>
      </c>
      <c r="D91" t="s">
        <v>579</v>
      </c>
      <c r="E91" s="4" t="s">
        <v>46</v>
      </c>
      <c r="F91" t="s">
        <v>47</v>
      </c>
      <c r="G91" t="s">
        <v>47</v>
      </c>
      <c r="H91" t="s">
        <v>631</v>
      </c>
      <c r="I91" t="s">
        <v>615</v>
      </c>
      <c r="J91" t="s">
        <v>17</v>
      </c>
      <c r="K91" t="str">
        <f t="shared" si="1"/>
        <v>2,5%</v>
      </c>
    </row>
    <row r="92" spans="1:11" ht="15.75" x14ac:dyDescent="0.25">
      <c r="A92" s="3">
        <v>90</v>
      </c>
      <c r="B92" t="s">
        <v>582</v>
      </c>
      <c r="C92" t="s">
        <v>46</v>
      </c>
      <c r="D92" t="s">
        <v>581</v>
      </c>
      <c r="E92" s="4" t="s">
        <v>46</v>
      </c>
      <c r="F92" t="s">
        <v>47</v>
      </c>
      <c r="G92" t="s">
        <v>47</v>
      </c>
      <c r="H92" t="s">
        <v>622</v>
      </c>
      <c r="I92" t="s">
        <v>613</v>
      </c>
      <c r="J92" t="s">
        <v>17</v>
      </c>
      <c r="K92" t="str">
        <f t="shared" si="1"/>
        <v>2,5%</v>
      </c>
    </row>
    <row r="93" spans="1:11" ht="15.75" x14ac:dyDescent="0.25">
      <c r="A93" s="3">
        <v>91</v>
      </c>
      <c r="B93" t="s">
        <v>584</v>
      </c>
      <c r="C93" t="s">
        <v>46</v>
      </c>
      <c r="D93" t="s">
        <v>583</v>
      </c>
      <c r="E93" s="4" t="s">
        <v>46</v>
      </c>
      <c r="F93" t="s">
        <v>47</v>
      </c>
      <c r="G93" t="s">
        <v>47</v>
      </c>
      <c r="H93" t="s">
        <v>632</v>
      </c>
      <c r="I93" t="s">
        <v>614</v>
      </c>
      <c r="J93" t="s">
        <v>17</v>
      </c>
      <c r="K93" t="str">
        <f t="shared" si="1"/>
        <v>2,5%</v>
      </c>
    </row>
    <row r="94" spans="1:11" ht="15.75" x14ac:dyDescent="0.25">
      <c r="A94" s="3">
        <v>92</v>
      </c>
      <c r="B94" t="s">
        <v>586</v>
      </c>
      <c r="C94" t="s">
        <v>46</v>
      </c>
      <c r="D94" t="s">
        <v>585</v>
      </c>
      <c r="E94" s="4" t="s">
        <v>46</v>
      </c>
      <c r="F94" t="s">
        <v>47</v>
      </c>
      <c r="G94" t="s">
        <v>47</v>
      </c>
      <c r="H94" t="s">
        <v>623</v>
      </c>
      <c r="I94" t="s">
        <v>616</v>
      </c>
      <c r="J94" t="s">
        <v>17</v>
      </c>
      <c r="K94" t="str">
        <f t="shared" si="1"/>
        <v>2,5%</v>
      </c>
    </row>
    <row r="95" spans="1:11" ht="15.75" x14ac:dyDescent="0.25">
      <c r="A95" s="3">
        <v>93</v>
      </c>
      <c r="B95" t="s">
        <v>588</v>
      </c>
      <c r="C95" t="s">
        <v>46</v>
      </c>
      <c r="D95" t="s">
        <v>587</v>
      </c>
      <c r="E95" s="4" t="s">
        <v>46</v>
      </c>
      <c r="F95" t="s">
        <v>47</v>
      </c>
      <c r="G95" t="s">
        <v>47</v>
      </c>
      <c r="H95" t="s">
        <v>629</v>
      </c>
      <c r="I95" t="s">
        <v>627</v>
      </c>
      <c r="J95" t="s">
        <v>17</v>
      </c>
      <c r="K95" t="str">
        <f t="shared" si="1"/>
        <v>2,5%</v>
      </c>
    </row>
    <row r="96" spans="1:11" ht="15.75" x14ac:dyDescent="0.25">
      <c r="A96" s="3">
        <v>94</v>
      </c>
      <c r="B96" t="s">
        <v>590</v>
      </c>
      <c r="C96" t="s">
        <v>46</v>
      </c>
      <c r="D96" t="s">
        <v>589</v>
      </c>
      <c r="E96" s="4" t="s">
        <v>46</v>
      </c>
      <c r="F96" t="s">
        <v>47</v>
      </c>
      <c r="G96" t="s">
        <v>47</v>
      </c>
      <c r="H96" t="s">
        <v>630</v>
      </c>
      <c r="I96" t="s">
        <v>628</v>
      </c>
      <c r="J96" t="s">
        <v>17</v>
      </c>
      <c r="K96" t="str">
        <f t="shared" si="1"/>
        <v>2,5%</v>
      </c>
    </row>
    <row r="97" spans="1:11" ht="15.75" x14ac:dyDescent="0.25">
      <c r="A97" s="3">
        <v>95</v>
      </c>
      <c r="B97" t="s">
        <v>592</v>
      </c>
      <c r="C97" t="s">
        <v>46</v>
      </c>
      <c r="D97" t="s">
        <v>591</v>
      </c>
      <c r="E97" s="4" t="s">
        <v>46</v>
      </c>
      <c r="F97" t="s">
        <v>47</v>
      </c>
      <c r="G97" t="s">
        <v>47</v>
      </c>
      <c r="H97" t="s">
        <v>633</v>
      </c>
      <c r="I97" t="s">
        <v>619</v>
      </c>
      <c r="J97" t="s">
        <v>17</v>
      </c>
      <c r="K97" t="str">
        <f t="shared" si="1"/>
        <v>2,5%</v>
      </c>
    </row>
    <row r="98" spans="1:11" ht="15.75" x14ac:dyDescent="0.25">
      <c r="A98" s="3">
        <v>96</v>
      </c>
      <c r="B98" t="s">
        <v>594</v>
      </c>
      <c r="C98" t="s">
        <v>46</v>
      </c>
      <c r="D98" t="s">
        <v>593</v>
      </c>
      <c r="E98" s="4" t="s">
        <v>46</v>
      </c>
      <c r="F98" t="s">
        <v>47</v>
      </c>
      <c r="G98" t="s">
        <v>47</v>
      </c>
      <c r="H98" t="s">
        <v>624</v>
      </c>
      <c r="I98" t="s">
        <v>618</v>
      </c>
      <c r="J98" t="s">
        <v>17</v>
      </c>
      <c r="K98" t="str">
        <f t="shared" si="1"/>
        <v>2,5%</v>
      </c>
    </row>
    <row r="99" spans="1:11" ht="15.75" x14ac:dyDescent="0.25">
      <c r="A99" s="3">
        <v>97</v>
      </c>
      <c r="B99" t="s">
        <v>596</v>
      </c>
      <c r="C99" t="s">
        <v>46</v>
      </c>
      <c r="D99" t="s">
        <v>595</v>
      </c>
      <c r="E99" s="4" t="s">
        <v>46</v>
      </c>
      <c r="F99" t="s">
        <v>47</v>
      </c>
      <c r="G99" t="s">
        <v>47</v>
      </c>
      <c r="H99" t="s">
        <v>625</v>
      </c>
      <c r="I99" t="s">
        <v>617</v>
      </c>
      <c r="J99" t="s">
        <v>17</v>
      </c>
      <c r="K99" t="str">
        <f t="shared" si="1"/>
        <v>2,5%</v>
      </c>
    </row>
    <row r="100" spans="1:11" ht="15.75" x14ac:dyDescent="0.25">
      <c r="A100" s="3">
        <v>98</v>
      </c>
      <c r="B100" t="s">
        <v>598</v>
      </c>
      <c r="C100" t="s">
        <v>46</v>
      </c>
      <c r="D100" t="s">
        <v>597</v>
      </c>
      <c r="E100" s="4" t="s">
        <v>46</v>
      </c>
      <c r="F100" t="s">
        <v>47</v>
      </c>
      <c r="G100" t="s">
        <v>47</v>
      </c>
      <c r="H100" t="s">
        <v>626</v>
      </c>
      <c r="I100" t="s">
        <v>620</v>
      </c>
      <c r="J100" t="s">
        <v>17</v>
      </c>
      <c r="K100" t="str">
        <f t="shared" si="1"/>
        <v>2,5%</v>
      </c>
    </row>
    <row r="101" spans="1:11" ht="15.75" x14ac:dyDescent="0.25">
      <c r="A101" s="3">
        <v>99</v>
      </c>
      <c r="B101" t="s">
        <v>600</v>
      </c>
      <c r="C101" t="s">
        <v>46</v>
      </c>
      <c r="D101" t="s">
        <v>599</v>
      </c>
      <c r="E101" s="4" t="s">
        <v>46</v>
      </c>
      <c r="F101" t="s">
        <v>47</v>
      </c>
      <c r="G101" t="s">
        <v>47</v>
      </c>
      <c r="H101" t="s">
        <v>634</v>
      </c>
      <c r="I101" t="s">
        <v>612</v>
      </c>
      <c r="J101" t="s">
        <v>17</v>
      </c>
      <c r="K101" t="str">
        <f t="shared" si="1"/>
        <v>2,5%</v>
      </c>
    </row>
    <row r="102" spans="1:11" ht="15.75" x14ac:dyDescent="0.25">
      <c r="A102" s="3">
        <v>100</v>
      </c>
      <c r="B102" t="s">
        <v>388</v>
      </c>
      <c r="C102" t="s">
        <v>46</v>
      </c>
      <c r="D102" t="s">
        <v>389</v>
      </c>
      <c r="E102" t="s">
        <v>390</v>
      </c>
      <c r="F102" t="s">
        <v>47</v>
      </c>
      <c r="G102" t="s">
        <v>47</v>
      </c>
      <c r="H102" t="s">
        <v>388</v>
      </c>
      <c r="I102" t="s">
        <v>391</v>
      </c>
      <c r="J102" t="s">
        <v>192</v>
      </c>
      <c r="K102" t="str">
        <f t="shared" si="1"/>
        <v>2,5%</v>
      </c>
    </row>
    <row r="103" spans="1:11" ht="15.4" customHeight="1" x14ac:dyDescent="0.25">
      <c r="A103" s="3">
        <v>101</v>
      </c>
      <c r="B103" t="s">
        <v>344</v>
      </c>
      <c r="C103" t="s">
        <v>46</v>
      </c>
      <c r="D103" t="s">
        <v>345</v>
      </c>
      <c r="E103" t="s">
        <v>346</v>
      </c>
      <c r="F103" t="s">
        <v>47</v>
      </c>
      <c r="G103" t="s">
        <v>47</v>
      </c>
      <c r="H103" t="s">
        <v>347</v>
      </c>
      <c r="I103" s="4" t="s">
        <v>348</v>
      </c>
      <c r="J103" t="s">
        <v>349</v>
      </c>
      <c r="K103" t="str">
        <f t="shared" si="1"/>
        <v>2,5%</v>
      </c>
    </row>
    <row r="104" spans="1:11" ht="15.4" customHeight="1" x14ac:dyDescent="0.25">
      <c r="A104" s="3">
        <v>102</v>
      </c>
      <c r="B104" t="s">
        <v>354</v>
      </c>
      <c r="C104" t="s">
        <v>46</v>
      </c>
      <c r="D104" t="s">
        <v>355</v>
      </c>
      <c r="E104" t="s">
        <v>356</v>
      </c>
      <c r="F104" t="s">
        <v>47</v>
      </c>
      <c r="G104" t="s">
        <v>47</v>
      </c>
      <c r="H104" t="s">
        <v>354</v>
      </c>
      <c r="I104" s="4" t="s">
        <v>357</v>
      </c>
      <c r="J104" t="s">
        <v>17</v>
      </c>
      <c r="K104" t="str">
        <f t="shared" si="1"/>
        <v>2,5%</v>
      </c>
    </row>
    <row r="105" spans="1:11" ht="15.4" customHeight="1" x14ac:dyDescent="0.25">
      <c r="A105" s="3">
        <v>103</v>
      </c>
      <c r="B105" t="s">
        <v>358</v>
      </c>
      <c r="C105" t="s">
        <v>46</v>
      </c>
      <c r="D105" t="s">
        <v>359</v>
      </c>
      <c r="E105" t="s">
        <v>360</v>
      </c>
      <c r="F105" t="s">
        <v>47</v>
      </c>
      <c r="G105" t="s">
        <v>47</v>
      </c>
      <c r="H105" t="s">
        <v>361</v>
      </c>
      <c r="I105" s="4" t="s">
        <v>362</v>
      </c>
      <c r="J105" t="s">
        <v>349</v>
      </c>
      <c r="K105" t="str">
        <f t="shared" si="1"/>
        <v>2,5%</v>
      </c>
    </row>
    <row r="106" spans="1:11" ht="15.4" customHeight="1" x14ac:dyDescent="0.25">
      <c r="A106" s="3">
        <v>104</v>
      </c>
      <c r="B106" t="s">
        <v>395</v>
      </c>
      <c r="C106" t="s">
        <v>46</v>
      </c>
      <c r="D106" t="s">
        <v>396</v>
      </c>
      <c r="E106" t="s">
        <v>397</v>
      </c>
      <c r="F106" t="s">
        <v>47</v>
      </c>
      <c r="G106" t="s">
        <v>47</v>
      </c>
      <c r="H106" t="s">
        <v>395</v>
      </c>
      <c r="I106" t="s">
        <v>398</v>
      </c>
      <c r="J106" t="s">
        <v>192</v>
      </c>
      <c r="K106" t="str">
        <f t="shared" si="1"/>
        <v>2,5%</v>
      </c>
    </row>
    <row r="107" spans="1:11" ht="15.4" customHeight="1" x14ac:dyDescent="0.25">
      <c r="A107" s="3">
        <v>105</v>
      </c>
      <c r="B107" t="s">
        <v>399</v>
      </c>
      <c r="C107" t="s">
        <v>46</v>
      </c>
      <c r="D107" s="4" t="s">
        <v>400</v>
      </c>
      <c r="E107" s="4" t="s">
        <v>401</v>
      </c>
      <c r="F107" t="s">
        <v>47</v>
      </c>
      <c r="G107" t="s">
        <v>47</v>
      </c>
      <c r="H107" t="s">
        <v>402</v>
      </c>
      <c r="I107" s="4" t="s">
        <v>403</v>
      </c>
      <c r="J107" t="s">
        <v>404</v>
      </c>
      <c r="K107" t="str">
        <f t="shared" si="1"/>
        <v>2,5%</v>
      </c>
    </row>
    <row r="108" spans="1:11" ht="15.4" customHeight="1" x14ac:dyDescent="0.25">
      <c r="A108" s="3">
        <v>106</v>
      </c>
      <c r="B108" t="s">
        <v>405</v>
      </c>
      <c r="C108" t="s">
        <v>46</v>
      </c>
      <c r="D108" s="4" t="s">
        <v>406</v>
      </c>
      <c r="E108" s="4" t="s">
        <v>407</v>
      </c>
      <c r="F108" t="s">
        <v>47</v>
      </c>
      <c r="G108" t="s">
        <v>47</v>
      </c>
      <c r="H108" t="s">
        <v>408</v>
      </c>
      <c r="I108" s="4" t="s">
        <v>409</v>
      </c>
      <c r="J108" t="s">
        <v>17</v>
      </c>
      <c r="K108" t="str">
        <f t="shared" si="1"/>
        <v>2,5%</v>
      </c>
    </row>
    <row r="109" spans="1:11" ht="15.4" customHeight="1" x14ac:dyDescent="0.25">
      <c r="A109" s="3">
        <v>107</v>
      </c>
      <c r="B109" t="s">
        <v>410</v>
      </c>
      <c r="C109" t="s">
        <v>46</v>
      </c>
      <c r="D109" s="4" t="s">
        <v>411</v>
      </c>
      <c r="E109" s="4" t="s">
        <v>412</v>
      </c>
      <c r="F109" t="s">
        <v>47</v>
      </c>
      <c r="G109" t="s">
        <v>47</v>
      </c>
      <c r="H109" t="s">
        <v>413</v>
      </c>
      <c r="I109" s="4" t="s">
        <v>414</v>
      </c>
      <c r="J109" t="s">
        <v>17</v>
      </c>
      <c r="K109" t="str">
        <f t="shared" si="1"/>
        <v>2,5%</v>
      </c>
    </row>
    <row r="110" spans="1:11" ht="15.4" customHeight="1" x14ac:dyDescent="0.25">
      <c r="A110" s="3">
        <v>108</v>
      </c>
      <c r="B110" t="s">
        <v>415</v>
      </c>
      <c r="C110" t="s">
        <v>46</v>
      </c>
      <c r="D110" s="4" t="s">
        <v>416</v>
      </c>
      <c r="E110" s="4" t="s">
        <v>417</v>
      </c>
      <c r="F110" t="s">
        <v>47</v>
      </c>
      <c r="G110" t="s">
        <v>47</v>
      </c>
      <c r="H110" t="s">
        <v>418</v>
      </c>
      <c r="I110" s="4" t="s">
        <v>419</v>
      </c>
      <c r="J110" t="s">
        <v>17</v>
      </c>
      <c r="K110" t="str">
        <f t="shared" si="1"/>
        <v>2,5%</v>
      </c>
    </row>
    <row r="111" spans="1:11" ht="15.4" customHeight="1" x14ac:dyDescent="0.25">
      <c r="A111" s="3">
        <v>109</v>
      </c>
      <c r="B111" t="s">
        <v>420</v>
      </c>
      <c r="C111" t="s">
        <v>46</v>
      </c>
      <c r="D111" s="4" t="s">
        <v>421</v>
      </c>
      <c r="E111" s="4" t="s">
        <v>422</v>
      </c>
      <c r="F111" t="s">
        <v>47</v>
      </c>
      <c r="G111" t="s">
        <v>47</v>
      </c>
      <c r="H111" t="s">
        <v>423</v>
      </c>
      <c r="I111" s="4" t="s">
        <v>424</v>
      </c>
      <c r="J111" t="s">
        <v>17</v>
      </c>
      <c r="K111" t="str">
        <f t="shared" si="1"/>
        <v>2,5%</v>
      </c>
    </row>
    <row r="112" spans="1:11" ht="15.4" customHeight="1" x14ac:dyDescent="0.25">
      <c r="A112" s="3">
        <v>110</v>
      </c>
      <c r="B112" t="s">
        <v>425</v>
      </c>
      <c r="C112" t="s">
        <v>46</v>
      </c>
      <c r="D112" s="4" t="s">
        <v>426</v>
      </c>
      <c r="E112" s="4" t="s">
        <v>427</v>
      </c>
      <c r="F112" t="s">
        <v>47</v>
      </c>
      <c r="G112" t="s">
        <v>47</v>
      </c>
      <c r="H112" t="s">
        <v>428</v>
      </c>
      <c r="I112" s="4" t="s">
        <v>429</v>
      </c>
      <c r="J112" t="s">
        <v>17</v>
      </c>
      <c r="K112" t="str">
        <f t="shared" si="1"/>
        <v>2,5%</v>
      </c>
    </row>
    <row r="113" spans="1:11" ht="15.4" customHeight="1" x14ac:dyDescent="0.25">
      <c r="A113" s="3">
        <v>111</v>
      </c>
      <c r="B113" t="s">
        <v>430</v>
      </c>
      <c r="C113" t="s">
        <v>46</v>
      </c>
      <c r="D113" s="4" t="s">
        <v>431</v>
      </c>
      <c r="E113" s="4" t="s">
        <v>432</v>
      </c>
      <c r="F113" t="s">
        <v>47</v>
      </c>
      <c r="G113" t="s">
        <v>47</v>
      </c>
      <c r="H113" t="s">
        <v>430</v>
      </c>
      <c r="I113" s="4" t="s">
        <v>433</v>
      </c>
      <c r="J113" t="s">
        <v>17</v>
      </c>
      <c r="K113" t="str">
        <f t="shared" si="1"/>
        <v>2,5%</v>
      </c>
    </row>
    <row r="114" spans="1:11" ht="15.4" customHeight="1" x14ac:dyDescent="0.25">
      <c r="A114" s="3">
        <v>112</v>
      </c>
      <c r="B114" t="s">
        <v>479</v>
      </c>
      <c r="C114" t="s">
        <v>46</v>
      </c>
      <c r="D114" t="s">
        <v>480</v>
      </c>
      <c r="E114" t="s">
        <v>481</v>
      </c>
      <c r="F114" t="s">
        <v>47</v>
      </c>
      <c r="G114" t="s">
        <v>47</v>
      </c>
      <c r="H114" t="s">
        <v>479</v>
      </c>
      <c r="I114" s="4" t="s">
        <v>482</v>
      </c>
      <c r="J114" t="s">
        <v>371</v>
      </c>
      <c r="K114" t="str">
        <f t="shared" si="1"/>
        <v>2,5%</v>
      </c>
    </row>
    <row r="115" spans="1:11" ht="15.4" customHeight="1" x14ac:dyDescent="0.25">
      <c r="A115" s="3">
        <v>113</v>
      </c>
      <c r="B115" t="s">
        <v>483</v>
      </c>
      <c r="C115" t="s">
        <v>46</v>
      </c>
      <c r="D115" s="4" t="s">
        <v>46</v>
      </c>
      <c r="E115" s="4" t="s">
        <v>484</v>
      </c>
      <c r="F115" t="s">
        <v>47</v>
      </c>
      <c r="G115" t="s">
        <v>47</v>
      </c>
      <c r="H115" t="s">
        <v>485</v>
      </c>
      <c r="I115" s="4" t="s">
        <v>486</v>
      </c>
      <c r="J115" t="s">
        <v>404</v>
      </c>
      <c r="K115" t="str">
        <f t="shared" si="1"/>
        <v>2,5%</v>
      </c>
    </row>
    <row r="116" spans="1:11" ht="15.4" customHeight="1" x14ac:dyDescent="0.25">
      <c r="A116" s="3">
        <v>114</v>
      </c>
      <c r="B116" t="s">
        <v>487</v>
      </c>
      <c r="C116" t="s">
        <v>46</v>
      </c>
      <c r="D116" t="s">
        <v>488</v>
      </c>
      <c r="E116" t="s">
        <v>489</v>
      </c>
      <c r="F116" t="s">
        <v>47</v>
      </c>
      <c r="G116" t="s">
        <v>47</v>
      </c>
      <c r="H116" t="s">
        <v>490</v>
      </c>
      <c r="I116" t="s">
        <v>491</v>
      </c>
      <c r="J116" t="s">
        <v>17</v>
      </c>
      <c r="K116" t="str">
        <f t="shared" si="1"/>
        <v>2,5%</v>
      </c>
    </row>
    <row r="117" spans="1:11" ht="15.4" customHeight="1" x14ac:dyDescent="0.25">
      <c r="A117" s="3">
        <v>115</v>
      </c>
      <c r="B117" t="s">
        <v>492</v>
      </c>
      <c r="C117" t="s">
        <v>46</v>
      </c>
      <c r="D117" s="1" t="s">
        <v>46</v>
      </c>
      <c r="E117" s="5" t="s">
        <v>493</v>
      </c>
      <c r="F117" t="s">
        <v>47</v>
      </c>
      <c r="G117" t="s">
        <v>47</v>
      </c>
      <c r="H117" t="s">
        <v>494</v>
      </c>
      <c r="I117" s="4" t="s">
        <v>495</v>
      </c>
      <c r="J117" t="s">
        <v>371</v>
      </c>
      <c r="K117" t="str">
        <f t="shared" si="1"/>
        <v>2,5%</v>
      </c>
    </row>
    <row r="118" spans="1:11" ht="15.4" customHeight="1" x14ac:dyDescent="0.25">
      <c r="A118" s="3">
        <v>116</v>
      </c>
      <c r="B118" t="s">
        <v>363</v>
      </c>
      <c r="C118" t="s">
        <v>46</v>
      </c>
      <c r="D118" t="s">
        <v>364</v>
      </c>
      <c r="E118" t="s">
        <v>365</v>
      </c>
      <c r="F118" t="s">
        <v>47</v>
      </c>
      <c r="G118" t="s">
        <v>47</v>
      </c>
      <c r="H118" t="s">
        <v>363</v>
      </c>
      <c r="I118" t="s">
        <v>366</v>
      </c>
      <c r="J118" t="s">
        <v>17</v>
      </c>
      <c r="K118" t="str">
        <f t="shared" si="1"/>
        <v>2,5%</v>
      </c>
    </row>
    <row r="119" spans="1:11" ht="15.4" customHeight="1" x14ac:dyDescent="0.25">
      <c r="A119" s="3">
        <v>117</v>
      </c>
      <c r="B119" t="s">
        <v>367</v>
      </c>
      <c r="C119" t="s">
        <v>46</v>
      </c>
      <c r="D119" t="s">
        <v>368</v>
      </c>
      <c r="E119" t="s">
        <v>369</v>
      </c>
      <c r="F119" t="s">
        <v>47</v>
      </c>
      <c r="G119" t="s">
        <v>47</v>
      </c>
      <c r="H119" t="s">
        <v>367</v>
      </c>
      <c r="I119" t="s">
        <v>370</v>
      </c>
      <c r="J119" t="s">
        <v>371</v>
      </c>
      <c r="K119" t="str">
        <f t="shared" si="1"/>
        <v>2,5%</v>
      </c>
    </row>
    <row r="120" spans="1:11" ht="15.4" customHeight="1" x14ac:dyDescent="0.25">
      <c r="A120" s="3">
        <v>118</v>
      </c>
      <c r="B120" t="s">
        <v>372</v>
      </c>
      <c r="C120" t="s">
        <v>46</v>
      </c>
      <c r="D120" t="s">
        <v>373</v>
      </c>
      <c r="E120" t="s">
        <v>374</v>
      </c>
      <c r="F120" t="s">
        <v>47</v>
      </c>
      <c r="G120" t="s">
        <v>47</v>
      </c>
      <c r="H120" t="s">
        <v>372</v>
      </c>
      <c r="I120" t="s">
        <v>375</v>
      </c>
      <c r="J120" t="s">
        <v>17</v>
      </c>
      <c r="K120" t="str">
        <f t="shared" ref="K120:K137" si="2">(IF(LEFT(G120,3)="III","5%",IF(LEFT(G120,3)="NON","2,5%",IF(LEFT(G120,3)="IV/","15%","0%"))))</f>
        <v>2,5%</v>
      </c>
    </row>
    <row r="121" spans="1:11" ht="15.4" customHeight="1" x14ac:dyDescent="0.25">
      <c r="A121" s="3">
        <v>119</v>
      </c>
      <c r="B121" t="s">
        <v>376</v>
      </c>
      <c r="C121" t="s">
        <v>46</v>
      </c>
      <c r="D121" t="s">
        <v>377</v>
      </c>
      <c r="E121" t="s">
        <v>378</v>
      </c>
      <c r="F121" t="s">
        <v>47</v>
      </c>
      <c r="G121" t="s">
        <v>47</v>
      </c>
      <c r="H121" t="s">
        <v>376</v>
      </c>
      <c r="I121" t="s">
        <v>379</v>
      </c>
      <c r="J121" t="s">
        <v>371</v>
      </c>
      <c r="K121" t="str">
        <f t="shared" si="2"/>
        <v>2,5%</v>
      </c>
    </row>
    <row r="122" spans="1:11" ht="15.4" customHeight="1" x14ac:dyDescent="0.25">
      <c r="A122" s="3">
        <v>120</v>
      </c>
      <c r="B122" t="s">
        <v>380</v>
      </c>
      <c r="C122" t="s">
        <v>46</v>
      </c>
      <c r="D122" s="4" t="s">
        <v>381</v>
      </c>
      <c r="E122" s="4" t="s">
        <v>382</v>
      </c>
      <c r="F122" t="s">
        <v>47</v>
      </c>
      <c r="G122" t="s">
        <v>47</v>
      </c>
      <c r="H122" t="s">
        <v>380</v>
      </c>
      <c r="I122" s="4" t="s">
        <v>383</v>
      </c>
      <c r="J122" t="s">
        <v>17</v>
      </c>
      <c r="K122" t="str">
        <f t="shared" si="2"/>
        <v>2,5%</v>
      </c>
    </row>
    <row r="123" spans="1:11" ht="15.4" customHeight="1" x14ac:dyDescent="0.25">
      <c r="A123" s="3">
        <v>121</v>
      </c>
      <c r="B123" t="s">
        <v>384</v>
      </c>
      <c r="C123" t="s">
        <v>46</v>
      </c>
      <c r="D123" s="4" t="s">
        <v>385</v>
      </c>
      <c r="E123" s="4" t="s">
        <v>386</v>
      </c>
      <c r="F123" t="s">
        <v>47</v>
      </c>
      <c r="G123" t="s">
        <v>47</v>
      </c>
      <c r="H123" t="s">
        <v>384</v>
      </c>
      <c r="I123" s="4" t="s">
        <v>387</v>
      </c>
      <c r="J123" t="s">
        <v>17</v>
      </c>
      <c r="K123" t="str">
        <f t="shared" si="2"/>
        <v>2,5%</v>
      </c>
    </row>
    <row r="124" spans="1:11" ht="15.4" customHeight="1" x14ac:dyDescent="0.25">
      <c r="K124" t="str">
        <f t="shared" si="2"/>
        <v>0%</v>
      </c>
    </row>
    <row r="125" spans="1:11" ht="15.4" customHeight="1" x14ac:dyDescent="0.25">
      <c r="K125" t="str">
        <f t="shared" si="2"/>
        <v>0%</v>
      </c>
    </row>
    <row r="126" spans="1:11" ht="15.4" customHeight="1" x14ac:dyDescent="0.25">
      <c r="K126" t="str">
        <f t="shared" si="2"/>
        <v>0%</v>
      </c>
    </row>
    <row r="127" spans="1:11" ht="15.4" customHeight="1" x14ac:dyDescent="0.25">
      <c r="K127" t="str">
        <f t="shared" si="2"/>
        <v>0%</v>
      </c>
    </row>
    <row r="128" spans="1:11" ht="15.4" customHeight="1" x14ac:dyDescent="0.25">
      <c r="K128" t="str">
        <f t="shared" si="2"/>
        <v>0%</v>
      </c>
    </row>
    <row r="129" spans="11:11" ht="15.4" customHeight="1" x14ac:dyDescent="0.25">
      <c r="K129" t="str">
        <f t="shared" si="2"/>
        <v>0%</v>
      </c>
    </row>
    <row r="130" spans="11:11" ht="15.4" customHeight="1" x14ac:dyDescent="0.25">
      <c r="K130" t="str">
        <f t="shared" si="2"/>
        <v>0%</v>
      </c>
    </row>
    <row r="131" spans="11:11" ht="15.4" customHeight="1" x14ac:dyDescent="0.25">
      <c r="K131" t="str">
        <f t="shared" si="2"/>
        <v>0%</v>
      </c>
    </row>
    <row r="132" spans="11:11" ht="15.4" customHeight="1" x14ac:dyDescent="0.25">
      <c r="K132" t="str">
        <f t="shared" si="2"/>
        <v>0%</v>
      </c>
    </row>
    <row r="133" spans="11:11" ht="15.4" customHeight="1" x14ac:dyDescent="0.25">
      <c r="K133" t="str">
        <f t="shared" si="2"/>
        <v>0%</v>
      </c>
    </row>
    <row r="134" spans="11:11" ht="15.4" customHeight="1" x14ac:dyDescent="0.25">
      <c r="K134" t="str">
        <f t="shared" si="2"/>
        <v>0%</v>
      </c>
    </row>
    <row r="135" spans="11:11" ht="15.4" customHeight="1" x14ac:dyDescent="0.25">
      <c r="K135" t="str">
        <f t="shared" si="2"/>
        <v>0%</v>
      </c>
    </row>
    <row r="136" spans="11:11" ht="15.4" customHeight="1" x14ac:dyDescent="0.25">
      <c r="K136" t="str">
        <f t="shared" si="2"/>
        <v>0%</v>
      </c>
    </row>
    <row r="137" spans="11:11" ht="15.4" customHeight="1" x14ac:dyDescent="0.25">
      <c r="K137" t="str">
        <f t="shared" si="2"/>
        <v>0%</v>
      </c>
    </row>
  </sheetData>
  <autoFilter ref="E1:G123" xr:uid="{2A8784C3-9187-41C1-A6DA-46285C2D8776}"/>
  <sortState xmlns:xlrd2="http://schemas.microsoft.com/office/spreadsheetml/2017/richdata2" ref="A67:J113">
    <sortCondition ref="A67:A113"/>
  </sortState>
  <conditionalFormatting sqref="B115:B123 B61:B62 B69:B102 B2:B43">
    <cfRule type="duplicateValues" dxfId="22" priority="45"/>
  </conditionalFormatting>
  <pageMargins left="0.7" right="0.7" top="0.75" bottom="0.75" header="0.3" footer="0.3"/>
  <pageSetup paperSize="9" orientation="portrait" useFirstPageNumber="1"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E0082-A5E7-4C70-9C41-4D6B46317723}">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853</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950</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D11:L11"/>
    <mergeCell ref="F3:F4"/>
    <mergeCell ref="I3:I4"/>
    <mergeCell ref="K3:K4"/>
    <mergeCell ref="J3:J4"/>
    <mergeCell ref="G3:G4"/>
    <mergeCell ref="H3:H4"/>
    <mergeCell ref="L3:L4"/>
  </mergeCells>
  <conditionalFormatting sqref="B9:C9 C6:C8">
    <cfRule type="duplicateValues" dxfId="21"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680E762F-B9D2-4293-B3A0-CE5AEFCE33D1}">
          <x14:formula1>
            <xm:f>'Ref Pegawai'!$B$2:$B$123</xm:f>
          </x14:formula1>
          <xm:sqref>C6:C8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AAEC-02F7-4B51-9C29-A8327D418AA7}">
  <sheetPr>
    <tabColor theme="5" tint="0.39997558519241921"/>
    <pageSetUpPr fitToPage="1"/>
  </sheetPr>
  <dimension ref="A1:R33"/>
  <sheetViews>
    <sheetView view="pageBreakPreview" zoomScale="85" zoomScaleNormal="85" zoomScaleSheetLayoutView="85" workbookViewId="0">
      <selection activeCell="M22" sqref="M22"/>
    </sheetView>
  </sheetViews>
  <sheetFormatPr defaultColWidth="9.125" defaultRowHeight="15.4" customHeight="1" x14ac:dyDescent="0.25"/>
  <cols>
    <col min="1" max="1" width="5.125" style="8" customWidth="1"/>
    <col min="2" max="2" width="21" style="8" customWidth="1"/>
    <col min="3" max="3" width="19.75" style="8" customWidth="1"/>
    <col min="4" max="4" width="18.5" style="8" customWidth="1"/>
    <col min="5" max="5" width="8.25" style="8" customWidth="1"/>
    <col min="6" max="6" width="4.875" style="8" customWidth="1"/>
    <col min="7" max="7" width="13.25" style="8" customWidth="1"/>
    <col min="8" max="8" width="12.75" style="8" customWidth="1"/>
    <col min="9" max="9" width="11.625" style="8" customWidth="1"/>
    <col min="10" max="10" width="6.25" style="8" customWidth="1"/>
    <col min="11" max="11" width="11.625" style="8" customWidth="1"/>
    <col min="12" max="12" width="12.25" style="8" customWidth="1"/>
    <col min="13" max="13" width="16.25" style="8" customWidth="1"/>
    <col min="14" max="14" width="20.25" style="8" customWidth="1"/>
    <col min="15" max="15" width="11.625" style="8" customWidth="1"/>
    <col min="16" max="16" width="30.75" style="8" customWidth="1"/>
    <col min="17" max="17" width="9.125" style="8" customWidth="1"/>
    <col min="18" max="18" width="84.625" style="8" customWidth="1"/>
    <col min="19" max="19" width="9.125" style="8" customWidth="1"/>
    <col min="20" max="16384" width="9.125" style="8"/>
  </cols>
  <sheetData>
    <row r="1" spans="1:18" ht="15.75" x14ac:dyDescent="0.25">
      <c r="A1" s="7" t="s">
        <v>655</v>
      </c>
    </row>
    <row r="2" spans="1:18" ht="17.25" customHeight="1" x14ac:dyDescent="0.35">
      <c r="A2" s="9" t="s">
        <v>656</v>
      </c>
      <c r="Q2" s="10"/>
      <c r="R2" s="11"/>
    </row>
    <row r="3" spans="1:18" ht="15.75" x14ac:dyDescent="0.25">
      <c r="A3" s="12" t="s">
        <v>697</v>
      </c>
      <c r="B3" s="12"/>
      <c r="C3" s="12"/>
      <c r="D3" s="12"/>
      <c r="Q3" s="13"/>
      <c r="R3" s="11"/>
    </row>
    <row r="4" spans="1:18" ht="15.75" x14ac:dyDescent="0.25">
      <c r="A4" s="12"/>
      <c r="B4" s="12"/>
      <c r="C4" s="12"/>
      <c r="D4" s="12"/>
      <c r="Q4" s="13"/>
      <c r="R4" s="11"/>
    </row>
    <row r="5" spans="1:18" ht="15.75" x14ac:dyDescent="0.25">
      <c r="A5" s="161" t="s">
        <v>866</v>
      </c>
      <c r="B5" s="161"/>
      <c r="C5" s="161"/>
      <c r="D5" s="161"/>
      <c r="E5" s="161"/>
      <c r="F5" s="161"/>
      <c r="G5" s="161"/>
      <c r="H5" s="161"/>
      <c r="I5" s="161"/>
      <c r="J5" s="161"/>
      <c r="K5" s="161"/>
      <c r="L5" s="161"/>
      <c r="M5" s="161"/>
      <c r="N5" s="161"/>
      <c r="O5" s="14"/>
      <c r="P5" s="14"/>
      <c r="Q5" s="13"/>
      <c r="R5" s="11"/>
    </row>
    <row r="6" spans="1:18" ht="15.75" x14ac:dyDescent="0.25">
      <c r="A6" s="161" t="s">
        <v>867</v>
      </c>
      <c r="B6" s="161"/>
      <c r="C6" s="161"/>
      <c r="D6" s="161"/>
      <c r="E6" s="161"/>
      <c r="F6" s="161"/>
      <c r="G6" s="161"/>
      <c r="H6" s="161"/>
      <c r="I6" s="161"/>
      <c r="J6" s="161"/>
      <c r="K6" s="161"/>
      <c r="L6" s="161"/>
      <c r="M6" s="161"/>
      <c r="N6" s="161"/>
      <c r="O6" s="14"/>
      <c r="P6" s="14"/>
      <c r="Q6" s="15"/>
      <c r="R6" s="11"/>
    </row>
    <row r="7" spans="1:18" ht="18.75" x14ac:dyDescent="0.3">
      <c r="A7" s="129" t="s">
        <v>864</v>
      </c>
      <c r="B7" s="17"/>
      <c r="C7" s="17"/>
      <c r="D7" s="17"/>
      <c r="E7" s="17"/>
      <c r="F7" s="17"/>
      <c r="G7" s="17"/>
      <c r="H7" s="17"/>
      <c r="I7" s="17"/>
      <c r="J7" s="17"/>
      <c r="Q7" s="15"/>
      <c r="R7" s="11"/>
    </row>
    <row r="8" spans="1:18" ht="13.5" customHeight="1" x14ac:dyDescent="0.3">
      <c r="A8" s="129"/>
      <c r="B8" s="17"/>
      <c r="C8" s="17"/>
      <c r="D8" s="17"/>
      <c r="E8" s="17"/>
      <c r="F8" s="17"/>
      <c r="G8" s="17"/>
      <c r="H8" s="17"/>
      <c r="I8" s="17"/>
      <c r="J8" s="17"/>
      <c r="Q8" s="15"/>
      <c r="R8" s="11"/>
    </row>
    <row r="9" spans="1:18" s="19" customFormat="1" ht="48" customHeight="1" x14ac:dyDescent="0.25">
      <c r="A9" s="158" t="s">
        <v>658</v>
      </c>
      <c r="B9" s="158" t="s">
        <v>659</v>
      </c>
      <c r="C9" s="158" t="s">
        <v>660</v>
      </c>
      <c r="D9" s="158" t="s">
        <v>661</v>
      </c>
      <c r="E9" s="157" t="s">
        <v>662</v>
      </c>
      <c r="F9" s="162" t="s">
        <v>663</v>
      </c>
      <c r="G9" s="162"/>
      <c r="H9" s="162"/>
      <c r="I9" s="18" t="s">
        <v>664</v>
      </c>
      <c r="J9" s="159" t="s">
        <v>665</v>
      </c>
      <c r="K9" s="159"/>
      <c r="L9" s="157" t="s">
        <v>666</v>
      </c>
      <c r="M9" s="157" t="s">
        <v>667</v>
      </c>
      <c r="N9" s="157" t="s">
        <v>668</v>
      </c>
      <c r="O9" s="157" t="s">
        <v>9</v>
      </c>
      <c r="P9" s="157" t="s">
        <v>787</v>
      </c>
      <c r="Q9" s="16"/>
      <c r="R9" s="11"/>
    </row>
    <row r="10" spans="1:18" s="19" customFormat="1" ht="30.75" customHeight="1" x14ac:dyDescent="0.25">
      <c r="A10" s="158"/>
      <c r="B10" s="158"/>
      <c r="C10" s="158"/>
      <c r="D10" s="158"/>
      <c r="E10" s="157"/>
      <c r="F10" s="20" t="s">
        <v>839</v>
      </c>
      <c r="G10" s="21" t="s">
        <v>670</v>
      </c>
      <c r="H10" s="20" t="s">
        <v>671</v>
      </c>
      <c r="I10" s="18" t="s">
        <v>700</v>
      </c>
      <c r="J10" s="20" t="s">
        <v>672</v>
      </c>
      <c r="K10" s="21" t="s">
        <v>673</v>
      </c>
      <c r="L10" s="157"/>
      <c r="M10" s="160"/>
      <c r="N10" s="157"/>
      <c r="O10" s="157"/>
      <c r="P10" s="157"/>
      <c r="Q10" s="16"/>
      <c r="R10" s="11"/>
    </row>
    <row r="11" spans="1:18" s="19" customFormat="1" ht="18" customHeight="1" x14ac:dyDescent="0.25">
      <c r="A11" s="21" t="s">
        <v>674</v>
      </c>
      <c r="B11" s="21" t="s">
        <v>675</v>
      </c>
      <c r="C11" s="21" t="s">
        <v>676</v>
      </c>
      <c r="D11" s="20" t="s">
        <v>677</v>
      </c>
      <c r="E11" s="21" t="s">
        <v>678</v>
      </c>
      <c r="F11" s="21" t="s">
        <v>679</v>
      </c>
      <c r="G11" s="21" t="s">
        <v>680</v>
      </c>
      <c r="H11" s="21" t="s">
        <v>706</v>
      </c>
      <c r="I11" s="21" t="s">
        <v>681</v>
      </c>
      <c r="J11" s="21" t="s">
        <v>701</v>
      </c>
      <c r="K11" s="21" t="s">
        <v>704</v>
      </c>
      <c r="L11" s="21" t="s">
        <v>705</v>
      </c>
      <c r="M11" s="21" t="s">
        <v>703</v>
      </c>
      <c r="N11" s="21" t="s">
        <v>683</v>
      </c>
      <c r="O11" s="21" t="s">
        <v>684</v>
      </c>
      <c r="P11" s="21" t="s">
        <v>788</v>
      </c>
      <c r="Q11" s="16"/>
      <c r="R11" s="11"/>
    </row>
    <row r="12" spans="1:18" s="19" customFormat="1" ht="50.1" customHeight="1" x14ac:dyDescent="0.25">
      <c r="A12" s="22">
        <v>1</v>
      </c>
      <c r="B12" s="23" t="s">
        <v>187</v>
      </c>
      <c r="C12" s="24" t="str">
        <f>_xlfn.IFNA(VLOOKUP(B12,'Ref Pegawai'!$B$2:$J$123,3,FALSE),"")</f>
        <v>3203014705630016</v>
      </c>
      <c r="D12" s="25" t="str">
        <f>_xlfn.IFNA(VLOOKUP(B12,'Ref Pegawai'!$B$2:$J$123,4,FALSE),"")</f>
        <v>259754364406000</v>
      </c>
      <c r="E12" s="26" t="str">
        <f>_xlfn.IFNA(VLOOKUP(B12,'Ref Pegawai'!$B$2:$J$123,6,FALSE),"")</f>
        <v>IV/d</v>
      </c>
      <c r="F12" s="27">
        <v>1</v>
      </c>
      <c r="G12" s="28">
        <v>450000</v>
      </c>
      <c r="H12" s="28">
        <f>G12*F12</f>
        <v>450000</v>
      </c>
      <c r="I12" s="28">
        <f>+H12</f>
        <v>450000</v>
      </c>
      <c r="J12" s="29" t="str">
        <f>_xlfn.IFNA(VLOOKUP(E12,'Ref Pegawai'!$G$2:$K$123,5,FALSE),"")</f>
        <v>15%</v>
      </c>
      <c r="K12" s="28">
        <f>+J12*I12</f>
        <v>67500</v>
      </c>
      <c r="L12" s="28">
        <f>H12-K12</f>
        <v>382500</v>
      </c>
      <c r="M12" s="23" t="str">
        <f>PROPER(VLOOKUP(B12,[13]Ref!$B$2:$P$170,9,FALSE))</f>
        <v>Paristiyanti Nurwardani</v>
      </c>
      <c r="N12" s="30" t="str">
        <f>VLOOKUP(B12,[13]Ref!$B$2:$P$170,10,FALSE)</f>
        <v>1330097022735</v>
      </c>
      <c r="O12" s="23" t="str">
        <f>PROPER(VLOOKUP(B12,[13]Ref!$B$2:$P$170,11,FALSE))</f>
        <v>Mandiri</v>
      </c>
      <c r="P12" s="121" t="str">
        <f>VLOOKUP(B12,'Ref Pegawai'!$B$2:$L$123,11,FALSE)</f>
        <v>nurwardaniparistiyanti@gmail.com</v>
      </c>
      <c r="Q12" s="16"/>
      <c r="R12" s="11"/>
    </row>
    <row r="13" spans="1:18" s="19" customFormat="1" ht="45.75" customHeight="1" x14ac:dyDescent="0.25">
      <c r="A13" s="22">
        <f>+A12+1</f>
        <v>2</v>
      </c>
      <c r="B13" s="23" t="s">
        <v>166</v>
      </c>
      <c r="C13" s="24" t="str">
        <f>_xlfn.IFNA(VLOOKUP(B13,'Ref Pegawai'!$B$2:$J$123,3,FALSE),"")</f>
        <v>3275112611810004</v>
      </c>
      <c r="D13" s="25" t="str">
        <f>_xlfn.IFNA(VLOOKUP(B13,'Ref Pegawai'!$B$2:$J$123,4,FALSE),"")</f>
        <v>253270904432000</v>
      </c>
      <c r="E13" s="26" t="str">
        <f>_xlfn.IFNA(VLOOKUP(B13,'Ref Pegawai'!$B$2:$J$123,6,FALSE),"")</f>
        <v>III/d</v>
      </c>
      <c r="F13" s="27">
        <v>1</v>
      </c>
      <c r="G13" s="28">
        <v>400000</v>
      </c>
      <c r="H13" s="28">
        <f t="shared" ref="H13:H14" si="0">G13*F13</f>
        <v>400000</v>
      </c>
      <c r="I13" s="28">
        <f t="shared" ref="I13:I14" si="1">+H13</f>
        <v>400000</v>
      </c>
      <c r="J13" s="29" t="str">
        <f>_xlfn.IFNA(VLOOKUP(E13,'Ref Pegawai'!$G$2:$K$123,5,FALSE),"")</f>
        <v>5%</v>
      </c>
      <c r="K13" s="28">
        <f t="shared" ref="K13:K14" si="2">+J13*I13</f>
        <v>20000</v>
      </c>
      <c r="L13" s="28">
        <f>H13-K13</f>
        <v>380000</v>
      </c>
      <c r="M13" s="23" t="str">
        <f>PROPER(VLOOKUP(B13,[13]Ref!$B$2:$P$170,9,FALSE))</f>
        <v>Noviyanto</v>
      </c>
      <c r="N13" s="30" t="str">
        <f>VLOOKUP(B13,[13]Ref!$B$2:$P$170,10,FALSE)</f>
        <v>0172856645</v>
      </c>
      <c r="O13" s="23" t="str">
        <f>PROPER(VLOOKUP(B13,[13]Ref!$B$2:$P$170,11,FALSE))</f>
        <v>Bni</v>
      </c>
      <c r="P13" s="121" t="str">
        <f>VLOOKUP(B13,'Ref Pegawai'!$B$2:$L$123,11,FALSE)</f>
        <v>noviyanto26@gmail.com</v>
      </c>
      <c r="Q13" s="16"/>
      <c r="R13" s="11"/>
    </row>
    <row r="14" spans="1:18" s="19" customFormat="1" ht="48" customHeight="1" x14ac:dyDescent="0.25">
      <c r="A14" s="22">
        <f t="shared" ref="A14" si="3">+A13+1</f>
        <v>3</v>
      </c>
      <c r="B14" s="23" t="s">
        <v>282</v>
      </c>
      <c r="C14" s="24" t="str">
        <f>_xlfn.IFNA(VLOOKUP(B14,'Ref Pegawai'!$B$2:$J$123,3,FALSE),"")</f>
        <v>3275051603830019</v>
      </c>
      <c r="D14" s="25" t="str">
        <f>_xlfn.IFNA(VLOOKUP(B14,'Ref Pegawai'!$B$2:$J$123,4,FALSE),"")</f>
        <v>367289113432000</v>
      </c>
      <c r="E14" s="26" t="str">
        <f>_xlfn.IFNA(VLOOKUP(B14,'Ref Pegawai'!$B$2:$J$123,6,FALSE),"")</f>
        <v>III/c</v>
      </c>
      <c r="F14" s="27">
        <v>1</v>
      </c>
      <c r="G14" s="28">
        <v>300000</v>
      </c>
      <c r="H14" s="28">
        <f t="shared" si="0"/>
        <v>300000</v>
      </c>
      <c r="I14" s="28">
        <f t="shared" si="1"/>
        <v>300000</v>
      </c>
      <c r="J14" s="29" t="str">
        <f>_xlfn.IFNA(VLOOKUP(E14,'Ref Pegawai'!$G$2:$K$123,5,FALSE),"")</f>
        <v>5%</v>
      </c>
      <c r="K14" s="28">
        <f t="shared" si="2"/>
        <v>15000</v>
      </c>
      <c r="L14" s="28">
        <f>H14-K14</f>
        <v>285000</v>
      </c>
      <c r="M14" s="23" t="str">
        <f>PROPER(VLOOKUP(B14,[13]Ref!$B$2:$P$170,9,FALSE))</f>
        <v>Taufan Setyo Pranggono, S.Kom</v>
      </c>
      <c r="N14" s="30" t="str">
        <f>VLOOKUP(B14,[13]Ref!$B$2:$P$170,10,FALSE)</f>
        <v>0221963721</v>
      </c>
      <c r="O14" s="23" t="str">
        <f>PROPER(VLOOKUP(B14,[13]Ref!$B$2:$P$170,11,FALSE))</f>
        <v>Bni</v>
      </c>
      <c r="P14" s="121" t="str">
        <f>VLOOKUP(B14,'Ref Pegawai'!$B$2:$L$123,11,FALSE)</f>
        <v>taufan.prast@gmail.com</v>
      </c>
      <c r="Q14" s="16"/>
      <c r="R14" s="11"/>
    </row>
    <row r="15" spans="1:18" s="19" customFormat="1" ht="6.75" customHeight="1" x14ac:dyDescent="0.25">
      <c r="A15" s="22"/>
      <c r="B15" s="23"/>
      <c r="C15" s="24"/>
      <c r="D15" s="25"/>
      <c r="E15" s="26"/>
      <c r="F15" s="27"/>
      <c r="G15" s="28"/>
      <c r="H15" s="28"/>
      <c r="I15" s="28"/>
      <c r="J15" s="29"/>
      <c r="K15" s="28"/>
      <c r="L15" s="28"/>
      <c r="M15" s="31"/>
      <c r="N15" s="25"/>
      <c r="O15" s="25"/>
      <c r="P15" s="22"/>
      <c r="Q15" s="16"/>
      <c r="R15" s="11"/>
    </row>
    <row r="16" spans="1:18" s="19" customFormat="1" ht="30" customHeight="1" x14ac:dyDescent="0.25">
      <c r="A16" s="21"/>
      <c r="B16" s="21" t="s">
        <v>685</v>
      </c>
      <c r="C16" s="21"/>
      <c r="D16" s="21"/>
      <c r="E16" s="21"/>
      <c r="F16" s="32">
        <f>SUM(F12:F15)</f>
        <v>3</v>
      </c>
      <c r="G16" s="33">
        <f>SUBTOTAL(9,G12:G15)</f>
        <v>1150000</v>
      </c>
      <c r="H16" s="33">
        <f>SUBTOTAL(9,H12:H15)</f>
        <v>1150000</v>
      </c>
      <c r="I16" s="33">
        <f t="shared" ref="I16" si="4">SUBTOTAL(9,I12:I14)</f>
        <v>1150000</v>
      </c>
      <c r="J16" s="33">
        <v>0</v>
      </c>
      <c r="K16" s="33">
        <f>SUBTOTAL(9,K12:K15)</f>
        <v>102500</v>
      </c>
      <c r="L16" s="33">
        <f>SUBTOTAL(9,L12:L15)</f>
        <v>1047500</v>
      </c>
      <c r="M16" s="33"/>
      <c r="N16" s="21"/>
      <c r="O16" s="21"/>
      <c r="P16" s="112"/>
    </row>
    <row r="17" spans="1:16" s="36" customFormat="1" ht="30" customHeight="1" x14ac:dyDescent="0.25">
      <c r="A17" s="34"/>
      <c r="B17" s="34" t="s">
        <v>686</v>
      </c>
      <c r="C17" s="35"/>
      <c r="D17" s="155"/>
      <c r="E17" s="155"/>
      <c r="F17" s="155"/>
      <c r="G17" s="155"/>
      <c r="H17" s="155"/>
      <c r="I17" s="155"/>
      <c r="J17" s="155"/>
      <c r="K17" s="155"/>
      <c r="L17" s="155"/>
      <c r="M17" s="155"/>
      <c r="N17" s="155"/>
      <c r="O17" s="156"/>
      <c r="P17" s="113"/>
    </row>
    <row r="18" spans="1:16" ht="30" customHeight="1" x14ac:dyDescent="0.25"/>
    <row r="19" spans="1:16" ht="15.75" x14ac:dyDescent="0.25">
      <c r="A19" s="37" t="s">
        <v>688</v>
      </c>
      <c r="K19" s="38"/>
    </row>
    <row r="20" spans="1:16" ht="15" customHeight="1" x14ac:dyDescent="0.25">
      <c r="A20" s="37" t="s">
        <v>689</v>
      </c>
      <c r="K20" s="39"/>
    </row>
    <row r="22" spans="1:16" ht="15.75" x14ac:dyDescent="0.25">
      <c r="D22" s="40"/>
      <c r="E22" s="40"/>
      <c r="G22" s="40"/>
      <c r="H22" s="40"/>
      <c r="I22" s="40"/>
      <c r="J22" s="40"/>
      <c r="K22" s="41"/>
      <c r="M22" s="40" t="s">
        <v>702</v>
      </c>
    </row>
    <row r="23" spans="1:16" ht="15.75" x14ac:dyDescent="0.25">
      <c r="A23" s="8" t="s">
        <v>690</v>
      </c>
      <c r="D23" s="40"/>
      <c r="E23" s="40"/>
      <c r="H23" s="40"/>
      <c r="I23" s="40"/>
      <c r="J23" s="40"/>
      <c r="K23" s="40"/>
      <c r="M23" s="42" t="s">
        <v>691</v>
      </c>
    </row>
    <row r="24" spans="1:16" ht="15.75" x14ac:dyDescent="0.25">
      <c r="A24" s="8" t="s">
        <v>692</v>
      </c>
      <c r="D24" s="40"/>
      <c r="E24" s="40"/>
      <c r="H24" s="40"/>
      <c r="I24" s="40"/>
      <c r="J24" s="40"/>
      <c r="K24" s="40"/>
      <c r="M24" s="42" t="s">
        <v>693</v>
      </c>
    </row>
    <row r="25" spans="1:16" ht="15.75" x14ac:dyDescent="0.25">
      <c r="A25" s="8" t="s">
        <v>694</v>
      </c>
      <c r="D25" s="40"/>
      <c r="E25" s="40"/>
      <c r="H25" s="40"/>
      <c r="I25" s="40"/>
      <c r="J25" s="40"/>
      <c r="K25" s="40"/>
      <c r="M25" s="42"/>
    </row>
    <row r="26" spans="1:16" ht="15.75" x14ac:dyDescent="0.25">
      <c r="D26" s="40"/>
      <c r="E26" s="40"/>
      <c r="H26" s="40"/>
      <c r="I26" s="40"/>
      <c r="J26" s="40"/>
      <c r="K26" s="40"/>
      <c r="M26" s="42"/>
    </row>
    <row r="27" spans="1:16" ht="15.75" x14ac:dyDescent="0.25">
      <c r="D27" s="40"/>
      <c r="E27" s="40"/>
      <c r="H27" s="40"/>
      <c r="I27" s="40"/>
      <c r="J27" s="40"/>
      <c r="K27" s="40"/>
      <c r="M27" s="42"/>
    </row>
    <row r="28" spans="1:16" ht="15.75" x14ac:dyDescent="0.25">
      <c r="D28" s="40"/>
      <c r="E28" s="40"/>
      <c r="H28" s="40"/>
      <c r="I28" s="40"/>
      <c r="J28" s="40"/>
      <c r="K28" s="40"/>
      <c r="M28" s="42"/>
    </row>
    <row r="29" spans="1:16" ht="15.75" x14ac:dyDescent="0.25">
      <c r="A29" s="44" t="s">
        <v>56</v>
      </c>
      <c r="D29" s="40"/>
      <c r="E29" s="40"/>
      <c r="H29" s="45"/>
      <c r="I29" s="40"/>
      <c r="J29" s="40"/>
      <c r="K29" s="40"/>
      <c r="M29" s="45" t="s">
        <v>77</v>
      </c>
    </row>
    <row r="30" spans="1:16" ht="15.75" x14ac:dyDescent="0.25">
      <c r="A30" s="44" t="s">
        <v>695</v>
      </c>
      <c r="D30" s="40"/>
      <c r="E30" s="40"/>
      <c r="H30" s="14"/>
      <c r="I30" s="40"/>
      <c r="J30" s="40"/>
      <c r="K30" s="40"/>
      <c r="M30" s="14" t="s">
        <v>696</v>
      </c>
    </row>
    <row r="31" spans="1:16" ht="15.75" x14ac:dyDescent="0.25">
      <c r="D31" s="40"/>
      <c r="E31" s="40"/>
      <c r="F31" s="40"/>
      <c r="G31" s="40"/>
      <c r="H31" s="40"/>
      <c r="I31" s="40"/>
      <c r="J31" s="40"/>
    </row>
    <row r="32" spans="1:16" ht="15.75" x14ac:dyDescent="0.25">
      <c r="D32" s="40"/>
      <c r="E32" s="40"/>
      <c r="F32" s="40"/>
      <c r="G32" s="40"/>
      <c r="H32" s="40"/>
      <c r="I32" s="40"/>
      <c r="J32" s="40"/>
    </row>
    <row r="33" spans="4:10" ht="15.75" x14ac:dyDescent="0.25">
      <c r="D33" s="40"/>
      <c r="E33" s="40"/>
      <c r="F33" s="40"/>
      <c r="G33" s="40"/>
      <c r="H33" s="40"/>
      <c r="I33" s="40"/>
      <c r="J33" s="40"/>
    </row>
  </sheetData>
  <mergeCells count="15">
    <mergeCell ref="P9:P10"/>
    <mergeCell ref="A5:N5"/>
    <mergeCell ref="A6:N6"/>
    <mergeCell ref="A9:A10"/>
    <mergeCell ref="B9:B10"/>
    <mergeCell ref="C9:C10"/>
    <mergeCell ref="D9:D10"/>
    <mergeCell ref="E9:E10"/>
    <mergeCell ref="F9:H9"/>
    <mergeCell ref="D17:O17"/>
    <mergeCell ref="J9:K9"/>
    <mergeCell ref="L9:L10"/>
    <mergeCell ref="M9:M10"/>
    <mergeCell ref="N9:N10"/>
    <mergeCell ref="O9:O10"/>
  </mergeCells>
  <conditionalFormatting sqref="B12:B15">
    <cfRule type="duplicateValues" dxfId="20" priority="1"/>
  </conditionalFormatting>
  <pageMargins left="0.196850393700787" right="0.36" top="0.59055118110236204" bottom="0.39370078740157499" header="0.31496062992126" footer="0.31496062992126"/>
  <pageSetup scale="55" fitToHeight="0" orientation="landscape" useFirstPageNumber="1" horizontalDpi="120" verticalDpi="72" r:id="rId1"/>
  <rowBreaks count="1" manualBreakCount="1">
    <brk id="30"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9B48C2C-B768-47CD-B633-80A858F13192}">
          <x14:formula1>
            <xm:f>'Ref Pegawai'!$B$2:$B$123</xm:f>
          </x14:formula1>
          <xm:sqref>B12:B14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4F7AB-1BD0-4BB0-ADCA-3FA26505AF2B}">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865</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702</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F3:F4"/>
    <mergeCell ref="G3:G4"/>
    <mergeCell ref="D11:L11"/>
    <mergeCell ref="H3:H4"/>
    <mergeCell ref="I3:I4"/>
    <mergeCell ref="J3:J4"/>
    <mergeCell ref="K3:K4"/>
    <mergeCell ref="L3:L4"/>
  </mergeCells>
  <conditionalFormatting sqref="B9:C9 C6:C8">
    <cfRule type="duplicateValues" dxfId="19"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2F37EC8E-6714-4AA1-B979-5D27A299A4D2}">
          <x14:formula1>
            <xm:f>'Ref Pegawai'!$B$2:$B$123</xm:f>
          </x14:formula1>
          <xm:sqref>C6:C8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AD3C-FD29-4526-8DA2-85055DA33F16}">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868</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702</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F3:F4"/>
    <mergeCell ref="G3:G4"/>
    <mergeCell ref="D11:L11"/>
    <mergeCell ref="H3:H4"/>
    <mergeCell ref="I3:I4"/>
    <mergeCell ref="J3:J4"/>
    <mergeCell ref="K3:K4"/>
    <mergeCell ref="L3:L4"/>
  </mergeCells>
  <conditionalFormatting sqref="B9:C9 C6:C8">
    <cfRule type="duplicateValues" dxfId="18"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EF6B4A56-AF1C-4457-91DF-0426D359F93D}">
          <x14:formula1>
            <xm:f>'Ref Pegawai'!$B$2:$B$123</xm:f>
          </x14:formula1>
          <xm:sqref>C6:C8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063B-23B0-41A3-802F-3D379EEFD236}">
  <sheetPr>
    <tabColor theme="5" tint="0.39997558519241921"/>
    <pageSetUpPr fitToPage="1"/>
  </sheetPr>
  <dimension ref="A1:S35"/>
  <sheetViews>
    <sheetView view="pageBreakPreview" zoomScale="85" zoomScaleNormal="85" zoomScaleSheetLayoutView="85" workbookViewId="0">
      <selection activeCell="O14" sqref="O14"/>
    </sheetView>
  </sheetViews>
  <sheetFormatPr defaultColWidth="9.125" defaultRowHeight="15.4" customHeight="1" x14ac:dyDescent="0.25"/>
  <cols>
    <col min="1" max="1" width="5.125" style="8" customWidth="1"/>
    <col min="2" max="3" width="21" style="8" customWidth="1"/>
    <col min="4" max="4" width="19.75" style="8" customWidth="1"/>
    <col min="5" max="5" width="18.5" style="8" customWidth="1"/>
    <col min="6" max="6" width="8.25" style="8" customWidth="1"/>
    <col min="7" max="7" width="4.875" style="8" customWidth="1"/>
    <col min="8" max="8" width="13.25" style="8" customWidth="1"/>
    <col min="9" max="9" width="12.75" style="8" customWidth="1"/>
    <col min="10" max="10" width="11.625" style="8" customWidth="1"/>
    <col min="11" max="11" width="6.25" style="8" customWidth="1"/>
    <col min="12" max="12" width="11.625" style="8" customWidth="1"/>
    <col min="13" max="13" width="12.25" style="8" customWidth="1"/>
    <col min="14" max="14" width="16.25" style="8" customWidth="1"/>
    <col min="15" max="15" width="20.25" style="8" customWidth="1"/>
    <col min="16" max="16" width="11.625" style="8" customWidth="1"/>
    <col min="17" max="17" width="30.75" style="8" customWidth="1"/>
    <col min="18" max="18" width="9.125" style="8" customWidth="1"/>
    <col min="19" max="19" width="84.625" style="8" customWidth="1"/>
    <col min="20" max="20" width="9.125" style="8" customWidth="1"/>
    <col min="21" max="16384" width="9.125" style="8"/>
  </cols>
  <sheetData>
    <row r="1" spans="1:19" ht="15.75" x14ac:dyDescent="0.25">
      <c r="A1" s="7" t="s">
        <v>655</v>
      </c>
    </row>
    <row r="2" spans="1:19" ht="17.25" customHeight="1" x14ac:dyDescent="0.35">
      <c r="A2" s="9" t="s">
        <v>656</v>
      </c>
      <c r="R2" s="10"/>
      <c r="S2" s="11"/>
    </row>
    <row r="3" spans="1:19" ht="15.75" x14ac:dyDescent="0.25">
      <c r="A3" s="12" t="s">
        <v>697</v>
      </c>
      <c r="B3" s="12"/>
      <c r="C3" s="12"/>
      <c r="D3" s="12"/>
      <c r="E3" s="12"/>
      <c r="R3" s="13"/>
      <c r="S3" s="11"/>
    </row>
    <row r="4" spans="1:19" ht="15.75" x14ac:dyDescent="0.25">
      <c r="A4" s="12"/>
      <c r="B4" s="12"/>
      <c r="C4" s="12"/>
      <c r="D4" s="12"/>
      <c r="E4" s="12"/>
      <c r="R4" s="13"/>
      <c r="S4" s="11"/>
    </row>
    <row r="5" spans="1:19" ht="15.75" x14ac:dyDescent="0.25">
      <c r="A5" s="161" t="s">
        <v>840</v>
      </c>
      <c r="B5" s="161"/>
      <c r="C5" s="161"/>
      <c r="D5" s="161"/>
      <c r="E5" s="161"/>
      <c r="F5" s="161"/>
      <c r="G5" s="161"/>
      <c r="H5" s="161"/>
      <c r="I5" s="161"/>
      <c r="J5" s="161"/>
      <c r="K5" s="161"/>
      <c r="L5" s="161"/>
      <c r="M5" s="161"/>
      <c r="N5" s="161"/>
      <c r="O5" s="161"/>
      <c r="P5" s="14"/>
      <c r="Q5" s="14"/>
      <c r="R5" s="13"/>
      <c r="S5" s="11"/>
    </row>
    <row r="6" spans="1:19" ht="15.75" x14ac:dyDescent="0.25">
      <c r="A6" s="161" t="s">
        <v>698</v>
      </c>
      <c r="B6" s="161"/>
      <c r="C6" s="161"/>
      <c r="D6" s="161"/>
      <c r="E6" s="161"/>
      <c r="F6" s="161"/>
      <c r="G6" s="161"/>
      <c r="H6" s="161"/>
      <c r="I6" s="161"/>
      <c r="J6" s="161"/>
      <c r="K6" s="161"/>
      <c r="L6" s="161"/>
      <c r="M6" s="161"/>
      <c r="N6" s="161"/>
      <c r="O6" s="161"/>
      <c r="P6" s="14"/>
      <c r="Q6" s="14"/>
      <c r="R6" s="15"/>
      <c r="S6" s="11"/>
    </row>
    <row r="7" spans="1:19" ht="15.75" x14ac:dyDescent="0.25">
      <c r="A7" s="161" t="s">
        <v>657</v>
      </c>
      <c r="B7" s="161"/>
      <c r="C7" s="161"/>
      <c r="D7" s="161"/>
      <c r="E7" s="161"/>
      <c r="F7" s="161"/>
      <c r="G7" s="161"/>
      <c r="H7" s="161"/>
      <c r="I7" s="161"/>
      <c r="J7" s="161"/>
      <c r="K7" s="161"/>
      <c r="L7" s="161"/>
      <c r="M7" s="161"/>
      <c r="N7" s="161"/>
      <c r="O7" s="161"/>
      <c r="P7" s="14"/>
      <c r="Q7" s="14"/>
      <c r="R7" s="16"/>
      <c r="S7" s="11"/>
    </row>
    <row r="8" spans="1:19" ht="15.75" x14ac:dyDescent="0.25">
      <c r="A8" s="161" t="s">
        <v>699</v>
      </c>
      <c r="B8" s="161"/>
      <c r="C8" s="161"/>
      <c r="D8" s="161"/>
      <c r="E8" s="161"/>
      <c r="F8" s="161"/>
      <c r="G8" s="161"/>
      <c r="H8" s="161"/>
      <c r="I8" s="161"/>
      <c r="J8" s="161"/>
      <c r="K8" s="161"/>
      <c r="L8" s="161"/>
      <c r="M8" s="161"/>
      <c r="N8" s="161"/>
      <c r="O8" s="161"/>
      <c r="P8" s="14"/>
      <c r="Q8" s="14"/>
      <c r="R8" s="13"/>
      <c r="S8" s="11"/>
    </row>
    <row r="9" spans="1:19" ht="15.75" x14ac:dyDescent="0.25">
      <c r="A9" s="45" t="s">
        <v>869</v>
      </c>
      <c r="B9" s="17"/>
      <c r="C9" s="17"/>
      <c r="D9" s="17"/>
      <c r="E9" s="17"/>
      <c r="F9" s="17"/>
      <c r="G9" s="17"/>
      <c r="H9" s="17"/>
      <c r="I9" s="17"/>
      <c r="J9" s="17"/>
      <c r="K9" s="17"/>
      <c r="R9" s="15"/>
      <c r="S9" s="11"/>
    </row>
    <row r="10" spans="1:19" ht="15.75" x14ac:dyDescent="0.25">
      <c r="A10" s="45"/>
      <c r="B10" s="17"/>
      <c r="C10" s="17"/>
      <c r="D10" s="17"/>
      <c r="E10" s="17"/>
      <c r="F10" s="17"/>
      <c r="G10" s="17"/>
      <c r="H10" s="17"/>
      <c r="I10" s="17"/>
      <c r="J10" s="17"/>
      <c r="K10" s="17"/>
      <c r="R10" s="15"/>
      <c r="S10" s="11"/>
    </row>
    <row r="11" spans="1:19" s="19" customFormat="1" ht="48" customHeight="1" x14ac:dyDescent="0.25">
      <c r="A11" s="158" t="s">
        <v>658</v>
      </c>
      <c r="B11" s="158" t="s">
        <v>659</v>
      </c>
      <c r="C11" s="157" t="s">
        <v>939</v>
      </c>
      <c r="D11" s="158" t="s">
        <v>660</v>
      </c>
      <c r="E11" s="158" t="s">
        <v>661</v>
      </c>
      <c r="F11" s="157" t="s">
        <v>662</v>
      </c>
      <c r="G11" s="162" t="s">
        <v>663</v>
      </c>
      <c r="H11" s="162"/>
      <c r="I11" s="162"/>
      <c r="J11" s="18" t="s">
        <v>664</v>
      </c>
      <c r="K11" s="159" t="s">
        <v>665</v>
      </c>
      <c r="L11" s="159"/>
      <c r="M11" s="157" t="s">
        <v>666</v>
      </c>
      <c r="N11" s="157" t="s">
        <v>667</v>
      </c>
      <c r="O11" s="157" t="s">
        <v>668</v>
      </c>
      <c r="P11" s="157" t="s">
        <v>9</v>
      </c>
      <c r="Q11" s="157" t="s">
        <v>787</v>
      </c>
      <c r="R11" s="16"/>
      <c r="S11" s="11"/>
    </row>
    <row r="12" spans="1:19" s="19" customFormat="1" ht="30.75" customHeight="1" x14ac:dyDescent="0.25">
      <c r="A12" s="158"/>
      <c r="B12" s="158"/>
      <c r="C12" s="157"/>
      <c r="D12" s="158"/>
      <c r="E12" s="158"/>
      <c r="F12" s="157"/>
      <c r="G12" s="20" t="s">
        <v>839</v>
      </c>
      <c r="H12" s="21" t="s">
        <v>670</v>
      </c>
      <c r="I12" s="20" t="s">
        <v>671</v>
      </c>
      <c r="J12" s="18" t="s">
        <v>700</v>
      </c>
      <c r="K12" s="20" t="s">
        <v>672</v>
      </c>
      <c r="L12" s="21" t="s">
        <v>673</v>
      </c>
      <c r="M12" s="157"/>
      <c r="N12" s="160"/>
      <c r="O12" s="157"/>
      <c r="P12" s="157"/>
      <c r="Q12" s="157"/>
      <c r="R12" s="16"/>
      <c r="S12" s="11"/>
    </row>
    <row r="13" spans="1:19" s="19" customFormat="1" ht="18" customHeight="1" x14ac:dyDescent="0.25">
      <c r="A13" s="21" t="s">
        <v>674</v>
      </c>
      <c r="B13" s="21" t="s">
        <v>675</v>
      </c>
      <c r="C13" s="21"/>
      <c r="D13" s="21" t="s">
        <v>676</v>
      </c>
      <c r="E13" s="20" t="s">
        <v>677</v>
      </c>
      <c r="F13" s="21" t="s">
        <v>678</v>
      </c>
      <c r="G13" s="21" t="s">
        <v>679</v>
      </c>
      <c r="H13" s="21" t="s">
        <v>680</v>
      </c>
      <c r="I13" s="21" t="s">
        <v>706</v>
      </c>
      <c r="J13" s="21" t="s">
        <v>681</v>
      </c>
      <c r="K13" s="21" t="s">
        <v>701</v>
      </c>
      <c r="L13" s="21" t="s">
        <v>704</v>
      </c>
      <c r="M13" s="21" t="s">
        <v>705</v>
      </c>
      <c r="N13" s="21" t="s">
        <v>703</v>
      </c>
      <c r="O13" s="21" t="s">
        <v>683</v>
      </c>
      <c r="P13" s="21" t="s">
        <v>684</v>
      </c>
      <c r="Q13" s="21" t="s">
        <v>788</v>
      </c>
      <c r="R13" s="16"/>
      <c r="S13" s="11"/>
    </row>
    <row r="14" spans="1:19" s="19" customFormat="1" ht="50.1" customHeight="1" x14ac:dyDescent="0.25">
      <c r="A14" s="22">
        <v>1</v>
      </c>
      <c r="B14" s="23" t="s">
        <v>187</v>
      </c>
      <c r="C14" s="23" t="s">
        <v>904</v>
      </c>
      <c r="D14" s="24" t="str">
        <f>_xlfn.IFNA(VLOOKUP(B14,'Ref Pegawai'!$B$2:$J$123,3,FALSE),"")</f>
        <v>3203014705630016</v>
      </c>
      <c r="E14" s="25" t="str">
        <f>_xlfn.IFNA(VLOOKUP(B14,'Ref Pegawai'!$B$2:$J$123,4,FALSE),"")</f>
        <v>259754364406000</v>
      </c>
      <c r="F14" s="26" t="str">
        <f>_xlfn.IFNA(VLOOKUP(B14,'Ref Pegawai'!$B$2:$J$123,6,FALSE),"")</f>
        <v>IV/d</v>
      </c>
      <c r="G14" s="27">
        <v>1</v>
      </c>
      <c r="H14" s="28">
        <v>450000</v>
      </c>
      <c r="I14" s="28">
        <f>H14*G14</f>
        <v>450000</v>
      </c>
      <c r="J14" s="28">
        <f>+I14</f>
        <v>450000</v>
      </c>
      <c r="K14" s="29" t="str">
        <f>_xlfn.IFNA(VLOOKUP(F14,'Ref Pegawai'!$G$2:$K$123,5,FALSE),"")</f>
        <v>15%</v>
      </c>
      <c r="L14" s="28">
        <f>+K14*J14</f>
        <v>67500</v>
      </c>
      <c r="M14" s="28">
        <f>I14-L14</f>
        <v>382500</v>
      </c>
      <c r="N14" s="23" t="str">
        <f>PROPER(VLOOKUP(B14,[13]Ref!$B$2:$P$170,9,FALSE))</f>
        <v>Paristiyanti Nurwardani</v>
      </c>
      <c r="O14" s="30" t="str">
        <f>VLOOKUP(B14,[13]Ref!$B$2:$P$170,10,FALSE)</f>
        <v>1330097022735</v>
      </c>
      <c r="P14" s="23" t="str">
        <f>PROPER(VLOOKUP(B14,[13]Ref!$B$2:$P$170,11,FALSE))</f>
        <v>Mandiri</v>
      </c>
      <c r="Q14" s="121" t="str">
        <f>VLOOKUP(B14,'Ref Pegawai'!$B$2:$L$123,11,FALSE)</f>
        <v>nurwardaniparistiyanti@gmail.com</v>
      </c>
      <c r="R14" s="16"/>
      <c r="S14" s="11"/>
    </row>
    <row r="15" spans="1:19" s="19" customFormat="1" ht="45.75" customHeight="1" x14ac:dyDescent="0.25">
      <c r="A15" s="22">
        <f>+A14+1</f>
        <v>2</v>
      </c>
      <c r="B15" s="23" t="s">
        <v>166</v>
      </c>
      <c r="C15" s="23" t="s">
        <v>791</v>
      </c>
      <c r="D15" s="24" t="str">
        <f>_xlfn.IFNA(VLOOKUP(B15,'Ref Pegawai'!$B$2:$J$123,3,FALSE),"")</f>
        <v>3275112611810004</v>
      </c>
      <c r="E15" s="25" t="str">
        <f>_xlfn.IFNA(VLOOKUP(B15,'Ref Pegawai'!$B$2:$J$123,4,FALSE),"")</f>
        <v>253270904432000</v>
      </c>
      <c r="F15" s="26" t="str">
        <f>_xlfn.IFNA(VLOOKUP(B15,'Ref Pegawai'!$B$2:$J$123,6,FALSE),"")</f>
        <v>III/d</v>
      </c>
      <c r="G15" s="27">
        <v>1</v>
      </c>
      <c r="H15" s="28">
        <v>400000</v>
      </c>
      <c r="I15" s="28">
        <f t="shared" ref="I15:I16" si="0">H15*G15</f>
        <v>400000</v>
      </c>
      <c r="J15" s="28">
        <f t="shared" ref="J15:J16" si="1">+I15</f>
        <v>400000</v>
      </c>
      <c r="K15" s="29" t="str">
        <f>_xlfn.IFNA(VLOOKUP(F15,'Ref Pegawai'!$G$2:$K$123,5,FALSE),"")</f>
        <v>5%</v>
      </c>
      <c r="L15" s="28">
        <f t="shared" ref="L15:L16" si="2">+K15*J15</f>
        <v>20000</v>
      </c>
      <c r="M15" s="28">
        <f>I15-L15</f>
        <v>380000</v>
      </c>
      <c r="N15" s="23" t="str">
        <f>PROPER(VLOOKUP(B15,[13]Ref!$B$2:$P$170,9,FALSE))</f>
        <v>Noviyanto</v>
      </c>
      <c r="O15" s="30" t="str">
        <f>VLOOKUP(B15,[13]Ref!$B$2:$P$170,10,FALSE)</f>
        <v>0172856645</v>
      </c>
      <c r="P15" s="23" t="str">
        <f>PROPER(VLOOKUP(B15,[13]Ref!$B$2:$P$170,11,FALSE))</f>
        <v>Bni</v>
      </c>
      <c r="Q15" s="121" t="str">
        <f>VLOOKUP(B15,'Ref Pegawai'!$B$2:$L$123,11,FALSE)</f>
        <v>noviyanto26@gmail.com</v>
      </c>
      <c r="R15" s="16"/>
      <c r="S15" s="11"/>
    </row>
    <row r="16" spans="1:19" s="19" customFormat="1" ht="48" customHeight="1" x14ac:dyDescent="0.25">
      <c r="A16" s="22">
        <f t="shared" ref="A16" si="3">+A15+1</f>
        <v>3</v>
      </c>
      <c r="B16" s="23" t="s">
        <v>282</v>
      </c>
      <c r="C16" s="23" t="s">
        <v>911</v>
      </c>
      <c r="D16" s="24" t="str">
        <f>_xlfn.IFNA(VLOOKUP(B16,'Ref Pegawai'!$B$2:$J$123,3,FALSE),"")</f>
        <v>3275051603830019</v>
      </c>
      <c r="E16" s="25" t="str">
        <f>_xlfn.IFNA(VLOOKUP(B16,'Ref Pegawai'!$B$2:$J$123,4,FALSE),"")</f>
        <v>367289113432000</v>
      </c>
      <c r="F16" s="26" t="str">
        <f>_xlfn.IFNA(VLOOKUP(B16,'Ref Pegawai'!$B$2:$J$123,6,FALSE),"")</f>
        <v>III/c</v>
      </c>
      <c r="G16" s="27">
        <v>1</v>
      </c>
      <c r="H16" s="28">
        <v>300000</v>
      </c>
      <c r="I16" s="28">
        <f t="shared" si="0"/>
        <v>300000</v>
      </c>
      <c r="J16" s="28">
        <f t="shared" si="1"/>
        <v>300000</v>
      </c>
      <c r="K16" s="29" t="str">
        <f>_xlfn.IFNA(VLOOKUP(F16,'Ref Pegawai'!$G$2:$K$123,5,FALSE),"")</f>
        <v>5%</v>
      </c>
      <c r="L16" s="28">
        <f t="shared" si="2"/>
        <v>15000</v>
      </c>
      <c r="M16" s="28">
        <f>I16-L16</f>
        <v>285000</v>
      </c>
      <c r="N16" s="23" t="str">
        <f>PROPER(VLOOKUP(B16,[13]Ref!$B$2:$P$170,9,FALSE))</f>
        <v>Taufan Setyo Pranggono, S.Kom</v>
      </c>
      <c r="O16" s="30" t="str">
        <f>VLOOKUP(B16,[13]Ref!$B$2:$P$170,10,FALSE)</f>
        <v>0221963721</v>
      </c>
      <c r="P16" s="23" t="str">
        <f>PROPER(VLOOKUP(B16,[13]Ref!$B$2:$P$170,11,FALSE))</f>
        <v>Bni</v>
      </c>
      <c r="Q16" s="121" t="str">
        <f>VLOOKUP(B16,'Ref Pegawai'!$B$2:$L$123,11,FALSE)</f>
        <v>taufan.prast@gmail.com</v>
      </c>
      <c r="R16" s="16"/>
      <c r="S16" s="11"/>
    </row>
    <row r="17" spans="1:19" s="19" customFormat="1" ht="6.75" customHeight="1" x14ac:dyDescent="0.25">
      <c r="A17" s="22"/>
      <c r="B17" s="23"/>
      <c r="C17" s="23"/>
      <c r="D17" s="24"/>
      <c r="E17" s="25"/>
      <c r="F17" s="26"/>
      <c r="G17" s="27"/>
      <c r="H17" s="28"/>
      <c r="I17" s="28"/>
      <c r="J17" s="28"/>
      <c r="K17" s="29"/>
      <c r="L17" s="28"/>
      <c r="M17" s="28"/>
      <c r="N17" s="31"/>
      <c r="O17" s="25"/>
      <c r="P17" s="25"/>
      <c r="Q17" s="22"/>
      <c r="R17" s="16"/>
      <c r="S17" s="11"/>
    </row>
    <row r="18" spans="1:19" s="19" customFormat="1" ht="30" customHeight="1" x14ac:dyDescent="0.25">
      <c r="A18" s="21"/>
      <c r="B18" s="21" t="s">
        <v>685</v>
      </c>
      <c r="C18" s="21"/>
      <c r="D18" s="21"/>
      <c r="E18" s="21"/>
      <c r="F18" s="21"/>
      <c r="G18" s="32">
        <f>SUM(G14:G17)</f>
        <v>3</v>
      </c>
      <c r="H18" s="33">
        <f>SUBTOTAL(9,H14:H17)</f>
        <v>1150000</v>
      </c>
      <c r="I18" s="33">
        <f>SUBTOTAL(9,I14:I17)</f>
        <v>1150000</v>
      </c>
      <c r="J18" s="33">
        <f t="shared" ref="J18" si="4">SUBTOTAL(9,J14:J16)</f>
        <v>1150000</v>
      </c>
      <c r="K18" s="33">
        <v>0</v>
      </c>
      <c r="L18" s="33">
        <f>SUBTOTAL(9,L14:L17)</f>
        <v>102500</v>
      </c>
      <c r="M18" s="33">
        <f>SUBTOTAL(9,M14:M17)</f>
        <v>1047500</v>
      </c>
      <c r="N18" s="33"/>
      <c r="O18" s="21"/>
      <c r="P18" s="21"/>
      <c r="Q18" s="112"/>
    </row>
    <row r="19" spans="1:19" s="36" customFormat="1" ht="30" customHeight="1" x14ac:dyDescent="0.25">
      <c r="A19" s="34"/>
      <c r="B19" s="34" t="s">
        <v>686</v>
      </c>
      <c r="C19" s="35"/>
      <c r="D19" s="35" t="s">
        <v>687</v>
      </c>
      <c r="E19" s="155" t="s">
        <v>789</v>
      </c>
      <c r="F19" s="155"/>
      <c r="G19" s="155"/>
      <c r="H19" s="155"/>
      <c r="I19" s="155"/>
      <c r="J19" s="155"/>
      <c r="K19" s="155"/>
      <c r="L19" s="155"/>
      <c r="M19" s="155"/>
      <c r="N19" s="155"/>
      <c r="O19" s="155"/>
      <c r="P19" s="156"/>
      <c r="Q19" s="113"/>
    </row>
    <row r="20" spans="1:19" ht="30" customHeight="1" x14ac:dyDescent="0.25"/>
    <row r="21" spans="1:19" ht="15.75" x14ac:dyDescent="0.25">
      <c r="A21" s="37" t="s">
        <v>688</v>
      </c>
      <c r="L21" s="38"/>
    </row>
    <row r="22" spans="1:19" ht="15" customHeight="1" x14ac:dyDescent="0.25">
      <c r="A22" s="37" t="s">
        <v>689</v>
      </c>
      <c r="L22" s="39"/>
    </row>
    <row r="24" spans="1:19" ht="15.75" x14ac:dyDescent="0.25">
      <c r="E24" s="40"/>
      <c r="F24" s="40"/>
      <c r="H24" s="40"/>
      <c r="I24" s="40"/>
      <c r="J24" s="40"/>
      <c r="K24" s="40"/>
      <c r="L24" s="41"/>
      <c r="N24" s="40" t="s">
        <v>702</v>
      </c>
    </row>
    <row r="25" spans="1:19" ht="15.75" x14ac:dyDescent="0.25">
      <c r="A25" s="8" t="s">
        <v>690</v>
      </c>
      <c r="E25" s="40"/>
      <c r="F25" s="40"/>
      <c r="I25" s="40"/>
      <c r="J25" s="40"/>
      <c r="K25" s="40"/>
      <c r="L25" s="40"/>
      <c r="N25" s="42" t="s">
        <v>691</v>
      </c>
    </row>
    <row r="26" spans="1:19" ht="15.75" x14ac:dyDescent="0.25">
      <c r="A26" s="8" t="s">
        <v>692</v>
      </c>
      <c r="E26" s="40"/>
      <c r="F26" s="40"/>
      <c r="I26" s="40"/>
      <c r="J26" s="40"/>
      <c r="K26" s="40"/>
      <c r="L26" s="40"/>
      <c r="N26" s="42" t="s">
        <v>693</v>
      </c>
    </row>
    <row r="27" spans="1:19" ht="15.75" x14ac:dyDescent="0.25">
      <c r="A27" s="8" t="s">
        <v>694</v>
      </c>
      <c r="E27" s="40"/>
      <c r="F27" s="40"/>
      <c r="I27" s="40"/>
      <c r="J27" s="40"/>
      <c r="K27" s="40"/>
      <c r="L27" s="40"/>
      <c r="N27" s="42"/>
    </row>
    <row r="28" spans="1:19" ht="15.75" x14ac:dyDescent="0.25">
      <c r="E28" s="40"/>
      <c r="F28" s="40"/>
      <c r="I28" s="40"/>
      <c r="J28" s="40"/>
      <c r="K28" s="40"/>
      <c r="L28" s="40"/>
      <c r="N28" s="42"/>
    </row>
    <row r="29" spans="1:19" ht="15.75" x14ac:dyDescent="0.25">
      <c r="E29" s="40"/>
      <c r="F29" s="40"/>
      <c r="I29" s="40"/>
      <c r="J29" s="40"/>
      <c r="K29" s="40"/>
      <c r="L29" s="40"/>
      <c r="N29" s="42"/>
    </row>
    <row r="30" spans="1:19" ht="15.75" x14ac:dyDescent="0.25">
      <c r="E30" s="40"/>
      <c r="F30" s="40"/>
      <c r="I30" s="40"/>
      <c r="J30" s="40"/>
      <c r="K30" s="40"/>
      <c r="L30" s="40"/>
      <c r="N30" s="42"/>
    </row>
    <row r="31" spans="1:19" ht="15.75" x14ac:dyDescent="0.25">
      <c r="A31" s="44" t="s">
        <v>56</v>
      </c>
      <c r="E31" s="40"/>
      <c r="F31" s="40"/>
      <c r="I31" s="45"/>
      <c r="J31" s="40"/>
      <c r="K31" s="40"/>
      <c r="L31" s="40"/>
      <c r="N31" s="45" t="s">
        <v>77</v>
      </c>
    </row>
    <row r="32" spans="1:19" ht="15.75" x14ac:dyDescent="0.25">
      <c r="A32" s="44" t="s">
        <v>695</v>
      </c>
      <c r="E32" s="40"/>
      <c r="F32" s="40"/>
      <c r="I32" s="14"/>
      <c r="J32" s="40"/>
      <c r="K32" s="40"/>
      <c r="L32" s="40"/>
      <c r="N32" s="14" t="s">
        <v>696</v>
      </c>
    </row>
    <row r="33" spans="5:11" ht="15.75" x14ac:dyDescent="0.25">
      <c r="E33" s="40"/>
      <c r="F33" s="40"/>
      <c r="G33" s="40"/>
      <c r="H33" s="40"/>
      <c r="I33" s="40"/>
      <c r="J33" s="40"/>
      <c r="K33" s="40"/>
    </row>
    <row r="34" spans="5:11" ht="15.75" x14ac:dyDescent="0.25">
      <c r="E34" s="40"/>
      <c r="F34" s="40"/>
      <c r="G34" s="40"/>
      <c r="H34" s="40"/>
      <c r="I34" s="40"/>
      <c r="J34" s="40"/>
      <c r="K34" s="40"/>
    </row>
    <row r="35" spans="5:11" ht="15.75" x14ac:dyDescent="0.25">
      <c r="E35" s="40"/>
      <c r="F35" s="40"/>
      <c r="G35" s="40"/>
      <c r="H35" s="40"/>
      <c r="I35" s="40"/>
      <c r="J35" s="40"/>
      <c r="K35" s="40"/>
    </row>
  </sheetData>
  <mergeCells count="18">
    <mergeCell ref="E19:P19"/>
    <mergeCell ref="K11:L11"/>
    <mergeCell ref="M11:M12"/>
    <mergeCell ref="N11:N12"/>
    <mergeCell ref="O11:O12"/>
    <mergeCell ref="P11:P12"/>
    <mergeCell ref="Q11:Q12"/>
    <mergeCell ref="A5:O5"/>
    <mergeCell ref="A6:O6"/>
    <mergeCell ref="A7:O7"/>
    <mergeCell ref="A8:O8"/>
    <mergeCell ref="A11:A12"/>
    <mergeCell ref="B11:B12"/>
    <mergeCell ref="D11:D12"/>
    <mergeCell ref="E11:E12"/>
    <mergeCell ref="F11:F12"/>
    <mergeCell ref="G11:I11"/>
    <mergeCell ref="C11:C12"/>
  </mergeCells>
  <pageMargins left="0.196850393700787" right="0.36" top="0.59055118110236204" bottom="0.39370078740157499" header="0.31496062992126" footer="0.31496062992126"/>
  <pageSetup scale="51" fitToHeight="0" orientation="landscape" useFirstPageNumber="1" horizontalDpi="120" verticalDpi="72" r:id="rId1"/>
  <rowBreaks count="1" manualBreakCount="1">
    <brk id="32" max="15" man="1"/>
  </rowBreaks>
  <extLst>
    <ext xmlns:x14="http://schemas.microsoft.com/office/spreadsheetml/2009/9/main" uri="{CCE6A557-97BC-4b89-ADB6-D9C93CAAB3DF}">
      <x14:dataValidations xmlns:xm="http://schemas.microsoft.com/office/excel/2006/main" count="2">
        <x14:dataValidation type="list" allowBlank="1" showInputMessage="1" showErrorMessage="1" xr:uid="{55D8743C-11C1-45DD-AF61-E3423B966F06}">
          <x14:formula1>
            <xm:f>RefAnggaran!$A$8:$A$15</xm:f>
          </x14:formula1>
          <xm:sqref>C14:C16</xm:sqref>
        </x14:dataValidation>
        <x14:dataValidation type="list" allowBlank="1" showInputMessage="1" showErrorMessage="1" xr:uid="{AF4EF3B8-A7BC-4B72-AA81-12CBA47DB912}">
          <x14:formula1>
            <xm:f>'Ref Pegawai'!$B$2:$B$123</xm:f>
          </x14:formula1>
          <xm:sqref>B14:B16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114D-14EC-4665-9C4B-D7D3DF767E6D}">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870</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702</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F3:F4"/>
    <mergeCell ref="G3:G4"/>
    <mergeCell ref="D11:L11"/>
    <mergeCell ref="H3:H4"/>
    <mergeCell ref="I3:I4"/>
    <mergeCell ref="J3:J4"/>
    <mergeCell ref="K3:K4"/>
    <mergeCell ref="L3:L4"/>
  </mergeCells>
  <conditionalFormatting sqref="B9:C9 C6:C8">
    <cfRule type="duplicateValues" dxfId="17"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EC2CD1E7-FCA7-49BA-947D-9D7296AB3B7B}">
          <x14:formula1>
            <xm:f>'Ref Pegawai'!$B$2:$B$123</xm:f>
          </x14:formula1>
          <xm:sqref>C6:C8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7F022-AB7B-490B-B7FC-EFCAA137373E}">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871</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702</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F3:F4"/>
    <mergeCell ref="G3:G4"/>
    <mergeCell ref="D11:L11"/>
    <mergeCell ref="H3:H4"/>
    <mergeCell ref="I3:I4"/>
    <mergeCell ref="J3:J4"/>
    <mergeCell ref="K3:K4"/>
    <mergeCell ref="L3:L4"/>
  </mergeCells>
  <conditionalFormatting sqref="B9:C9 C6:C8">
    <cfRule type="duplicateValues" dxfId="16"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F4EE05B-E338-452C-9C6A-4E06469C681C}">
          <x14:formula1>
            <xm:f>'Ref Pegawai'!$B$2:$B$123</xm:f>
          </x14:formula1>
          <xm:sqref>C6:C8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03CC-AA19-4E00-95BF-2A18CA0CF121}">
  <sheetPr>
    <tabColor theme="5" tint="0.39997558519241921"/>
    <pageSetUpPr fitToPage="1"/>
  </sheetPr>
  <dimension ref="A1:S35"/>
  <sheetViews>
    <sheetView view="pageBreakPreview" zoomScale="85" zoomScaleNormal="85" zoomScaleSheetLayoutView="85" workbookViewId="0">
      <selection activeCell="K16" sqref="K16"/>
    </sheetView>
  </sheetViews>
  <sheetFormatPr defaultColWidth="9.125" defaultRowHeight="15.4" customHeight="1" x14ac:dyDescent="0.25"/>
  <cols>
    <col min="1" max="1" width="5.125" style="8" customWidth="1"/>
    <col min="2" max="3" width="21" style="8" customWidth="1"/>
    <col min="4" max="4" width="19.75" style="8" customWidth="1"/>
    <col min="5" max="5" width="18.5" style="8" customWidth="1"/>
    <col min="6" max="6" width="8.25" style="8" customWidth="1"/>
    <col min="7" max="7" width="4.875" style="8" customWidth="1"/>
    <col min="8" max="8" width="13.25" style="8" customWidth="1"/>
    <col min="9" max="9" width="12.75" style="8" customWidth="1"/>
    <col min="10" max="10" width="11.625" style="8" customWidth="1"/>
    <col min="11" max="11" width="6.25" style="8" customWidth="1"/>
    <col min="12" max="12" width="11.625" style="8" customWidth="1"/>
    <col min="13" max="13" width="12.25" style="8" customWidth="1"/>
    <col min="14" max="14" width="16.25" style="8" customWidth="1"/>
    <col min="15" max="15" width="20.25" style="8" customWidth="1"/>
    <col min="16" max="16" width="11.625" style="8" customWidth="1"/>
    <col min="17" max="17" width="30.75" style="8" customWidth="1"/>
    <col min="18" max="18" width="9.125" style="8" customWidth="1"/>
    <col min="19" max="19" width="84.625" style="8" customWidth="1"/>
    <col min="20" max="20" width="9.125" style="8" customWidth="1"/>
    <col min="21" max="16384" width="9.125" style="8"/>
  </cols>
  <sheetData>
    <row r="1" spans="1:19" ht="15.75" x14ac:dyDescent="0.25">
      <c r="A1" s="7" t="s">
        <v>655</v>
      </c>
    </row>
    <row r="2" spans="1:19" ht="17.25" customHeight="1" x14ac:dyDescent="0.35">
      <c r="A2" s="9" t="s">
        <v>656</v>
      </c>
      <c r="R2" s="10"/>
      <c r="S2" s="11"/>
    </row>
    <row r="3" spans="1:19" ht="15.75" x14ac:dyDescent="0.25">
      <c r="A3" s="12" t="s">
        <v>697</v>
      </c>
      <c r="B3" s="12"/>
      <c r="C3" s="12"/>
      <c r="D3" s="12"/>
      <c r="E3" s="12"/>
      <c r="R3" s="13"/>
      <c r="S3" s="11"/>
    </row>
    <row r="4" spans="1:19" ht="15.75" x14ac:dyDescent="0.25">
      <c r="A4" s="12"/>
      <c r="B4" s="12"/>
      <c r="C4" s="12"/>
      <c r="D4" s="12"/>
      <c r="E4" s="12"/>
      <c r="R4" s="13"/>
      <c r="S4" s="11"/>
    </row>
    <row r="5" spans="1:19" ht="15.75" x14ac:dyDescent="0.25">
      <c r="A5" s="161" t="s">
        <v>872</v>
      </c>
      <c r="B5" s="161"/>
      <c r="C5" s="161"/>
      <c r="D5" s="161"/>
      <c r="E5" s="161"/>
      <c r="F5" s="161"/>
      <c r="G5" s="161"/>
      <c r="H5" s="161"/>
      <c r="I5" s="161"/>
      <c r="J5" s="161"/>
      <c r="K5" s="161"/>
      <c r="L5" s="161"/>
      <c r="M5" s="161"/>
      <c r="N5" s="161"/>
      <c r="O5" s="161"/>
      <c r="P5" s="14"/>
      <c r="Q5" s="14"/>
      <c r="R5" s="13"/>
      <c r="S5" s="11"/>
    </row>
    <row r="6" spans="1:19" ht="15.75" x14ac:dyDescent="0.25">
      <c r="A6" s="161" t="s">
        <v>698</v>
      </c>
      <c r="B6" s="161"/>
      <c r="C6" s="161"/>
      <c r="D6" s="161"/>
      <c r="E6" s="161"/>
      <c r="F6" s="161"/>
      <c r="G6" s="161"/>
      <c r="H6" s="161"/>
      <c r="I6" s="161"/>
      <c r="J6" s="161"/>
      <c r="K6" s="161"/>
      <c r="L6" s="161"/>
      <c r="M6" s="161"/>
      <c r="N6" s="161"/>
      <c r="O6" s="161"/>
      <c r="P6" s="14"/>
      <c r="Q6" s="14"/>
      <c r="R6" s="15"/>
      <c r="S6" s="11"/>
    </row>
    <row r="7" spans="1:19" ht="15.75" x14ac:dyDescent="0.25">
      <c r="A7" s="161" t="s">
        <v>657</v>
      </c>
      <c r="B7" s="161"/>
      <c r="C7" s="161"/>
      <c r="D7" s="161"/>
      <c r="E7" s="161"/>
      <c r="F7" s="161"/>
      <c r="G7" s="161"/>
      <c r="H7" s="161"/>
      <c r="I7" s="161"/>
      <c r="J7" s="161"/>
      <c r="K7" s="161"/>
      <c r="L7" s="161"/>
      <c r="M7" s="161"/>
      <c r="N7" s="161"/>
      <c r="O7" s="161"/>
      <c r="P7" s="14"/>
      <c r="Q7" s="14"/>
      <c r="R7" s="16"/>
      <c r="S7" s="11"/>
    </row>
    <row r="8" spans="1:19" ht="15.75" x14ac:dyDescent="0.25">
      <c r="A8" s="161" t="s">
        <v>699</v>
      </c>
      <c r="B8" s="161"/>
      <c r="C8" s="161"/>
      <c r="D8" s="161"/>
      <c r="E8" s="161"/>
      <c r="F8" s="161"/>
      <c r="G8" s="161"/>
      <c r="H8" s="161"/>
      <c r="I8" s="161"/>
      <c r="J8" s="161"/>
      <c r="K8" s="161"/>
      <c r="L8" s="161"/>
      <c r="M8" s="161"/>
      <c r="N8" s="161"/>
      <c r="O8" s="161"/>
      <c r="P8" s="14"/>
      <c r="Q8" s="14"/>
      <c r="R8" s="13"/>
      <c r="S8" s="11"/>
    </row>
    <row r="9" spans="1:19" ht="15.75" x14ac:dyDescent="0.25">
      <c r="A9" s="45" t="s">
        <v>940</v>
      </c>
      <c r="B9" s="17"/>
      <c r="C9" s="17"/>
      <c r="D9" s="17"/>
      <c r="E9" s="17"/>
      <c r="F9" s="17"/>
      <c r="G9" s="17"/>
      <c r="H9" s="17"/>
      <c r="I9" s="17"/>
      <c r="J9" s="17"/>
      <c r="K9" s="17"/>
      <c r="R9" s="15"/>
      <c r="S9" s="11"/>
    </row>
    <row r="10" spans="1:19" ht="15.75" x14ac:dyDescent="0.25">
      <c r="A10" s="45"/>
      <c r="B10" s="17"/>
      <c r="C10" s="17"/>
      <c r="D10" s="17"/>
      <c r="E10" s="17"/>
      <c r="F10" s="17"/>
      <c r="G10" s="17"/>
      <c r="H10" s="17"/>
      <c r="I10" s="17"/>
      <c r="J10" s="17"/>
      <c r="K10" s="17"/>
      <c r="R10" s="15"/>
      <c r="S10" s="11"/>
    </row>
    <row r="11" spans="1:19" s="19" customFormat="1" ht="48" customHeight="1" x14ac:dyDescent="0.25">
      <c r="A11" s="158" t="s">
        <v>658</v>
      </c>
      <c r="B11" s="158" t="s">
        <v>659</v>
      </c>
      <c r="C11" s="157" t="s">
        <v>939</v>
      </c>
      <c r="D11" s="158" t="s">
        <v>660</v>
      </c>
      <c r="E11" s="158" t="s">
        <v>661</v>
      </c>
      <c r="F11" s="157" t="s">
        <v>662</v>
      </c>
      <c r="G11" s="162" t="s">
        <v>663</v>
      </c>
      <c r="H11" s="162"/>
      <c r="I11" s="162"/>
      <c r="J11" s="18" t="s">
        <v>664</v>
      </c>
      <c r="K11" s="159" t="s">
        <v>665</v>
      </c>
      <c r="L11" s="159"/>
      <c r="M11" s="157" t="s">
        <v>666</v>
      </c>
      <c r="N11" s="157" t="s">
        <v>667</v>
      </c>
      <c r="O11" s="157" t="s">
        <v>668</v>
      </c>
      <c r="P11" s="157" t="s">
        <v>9</v>
      </c>
      <c r="Q11" s="157" t="s">
        <v>787</v>
      </c>
      <c r="R11" s="16"/>
      <c r="S11" s="11"/>
    </row>
    <row r="12" spans="1:19" s="19" customFormat="1" ht="30.75" customHeight="1" x14ac:dyDescent="0.25">
      <c r="A12" s="158"/>
      <c r="B12" s="158"/>
      <c r="C12" s="157"/>
      <c r="D12" s="158"/>
      <c r="E12" s="158"/>
      <c r="F12" s="157"/>
      <c r="G12" s="20" t="s">
        <v>669</v>
      </c>
      <c r="H12" s="21" t="s">
        <v>670</v>
      </c>
      <c r="I12" s="20" t="s">
        <v>671</v>
      </c>
      <c r="J12" s="18" t="s">
        <v>700</v>
      </c>
      <c r="K12" s="20" t="s">
        <v>672</v>
      </c>
      <c r="L12" s="21" t="s">
        <v>673</v>
      </c>
      <c r="M12" s="157"/>
      <c r="N12" s="160"/>
      <c r="O12" s="157"/>
      <c r="P12" s="157"/>
      <c r="Q12" s="157"/>
      <c r="R12" s="16"/>
      <c r="S12" s="11"/>
    </row>
    <row r="13" spans="1:19" s="19" customFormat="1" ht="18" customHeight="1" x14ac:dyDescent="0.25">
      <c r="A13" s="21" t="s">
        <v>674</v>
      </c>
      <c r="B13" s="21" t="s">
        <v>675</v>
      </c>
      <c r="C13" s="21"/>
      <c r="D13" s="21" t="s">
        <v>676</v>
      </c>
      <c r="E13" s="20" t="s">
        <v>677</v>
      </c>
      <c r="F13" s="21" t="s">
        <v>678</v>
      </c>
      <c r="G13" s="21" t="s">
        <v>679</v>
      </c>
      <c r="H13" s="21" t="s">
        <v>680</v>
      </c>
      <c r="I13" s="21" t="s">
        <v>706</v>
      </c>
      <c r="J13" s="21" t="s">
        <v>681</v>
      </c>
      <c r="K13" s="21" t="s">
        <v>701</v>
      </c>
      <c r="L13" s="21" t="s">
        <v>704</v>
      </c>
      <c r="M13" s="21" t="s">
        <v>705</v>
      </c>
      <c r="N13" s="21" t="s">
        <v>703</v>
      </c>
      <c r="O13" s="21" t="s">
        <v>683</v>
      </c>
      <c r="P13" s="21" t="s">
        <v>684</v>
      </c>
      <c r="Q13" s="21" t="s">
        <v>788</v>
      </c>
      <c r="R13" s="16"/>
      <c r="S13" s="11"/>
    </row>
    <row r="14" spans="1:19" s="19" customFormat="1" ht="50.1" customHeight="1" x14ac:dyDescent="0.25">
      <c r="A14" s="22">
        <v>1</v>
      </c>
      <c r="B14" s="23" t="s">
        <v>479</v>
      </c>
      <c r="C14" s="23" t="s">
        <v>922</v>
      </c>
      <c r="D14" s="24" t="str">
        <f>_xlfn.IFNA(VLOOKUP(B14,'Ref Pegawai'!$B$2:$J$123,3,FALSE),"")</f>
        <v>3603176801700003</v>
      </c>
      <c r="E14" s="25" t="str">
        <f>_xlfn.IFNA(VLOOKUP(B14,'Ref Pegawai'!$B$2:$J$123,4,FALSE),"")</f>
        <v>093100444451001</v>
      </c>
      <c r="F14" s="26" t="str">
        <f>_xlfn.IFNA(VLOOKUP(B14,'Ref Pegawai'!$B$2:$J$123,6,FALSE),"")</f>
        <v>Non PNS</v>
      </c>
      <c r="G14" s="27">
        <v>3</v>
      </c>
      <c r="H14" s="28">
        <v>1000000</v>
      </c>
      <c r="I14" s="28">
        <f>H14*G14</f>
        <v>3000000</v>
      </c>
      <c r="J14" s="28">
        <f>+I14</f>
        <v>3000000</v>
      </c>
      <c r="K14" s="29" t="str">
        <f>_xlfn.IFNA(VLOOKUP(F14,'Ref Pegawai'!$G$2:$K$123,5,FALSE),"")</f>
        <v>2,5%</v>
      </c>
      <c r="L14" s="28">
        <f>+K14*J14</f>
        <v>75000</v>
      </c>
      <c r="M14" s="28">
        <f>I14-L14</f>
        <v>2925000</v>
      </c>
      <c r="N14" s="23" t="str">
        <f>PROPER(VLOOKUP(B14,[13]Ref!$B$2:$P$170,9,FALSE))</f>
        <v>Lisye Nurzaman</v>
      </c>
      <c r="O14" s="30" t="str">
        <f>VLOOKUP(B14,[13]Ref!$B$2:$P$170,10,FALSE)</f>
        <v>8840445870</v>
      </c>
      <c r="P14" s="23" t="str">
        <f>PROPER(VLOOKUP(B14,[13]Ref!$B$2:$P$170,11,FALSE))</f>
        <v>Bca</v>
      </c>
      <c r="Q14" s="121">
        <f>VLOOKUP(B14,'Ref Pegawai'!$B$2:$L$123,11,FALSE)</f>
        <v>0</v>
      </c>
      <c r="R14" s="16"/>
      <c r="S14" s="11"/>
    </row>
    <row r="15" spans="1:19" s="19" customFormat="1" ht="45.75" customHeight="1" x14ac:dyDescent="0.25">
      <c r="A15" s="22">
        <f>+A14+1</f>
        <v>2</v>
      </c>
      <c r="B15" s="23" t="s">
        <v>344</v>
      </c>
      <c r="C15" s="23" t="s">
        <v>922</v>
      </c>
      <c r="D15" s="24" t="str">
        <f>_xlfn.IFNA(VLOOKUP(B15,'Ref Pegawai'!$B$2:$J$123,3,FALSE),"")</f>
        <v>3276024305540010</v>
      </c>
      <c r="E15" s="25" t="str">
        <f>_xlfn.IFNA(VLOOKUP(B15,'Ref Pegawai'!$B$2:$J$123,4,FALSE),"")</f>
        <v>055741540412001</v>
      </c>
      <c r="F15" s="26" t="str">
        <f>_xlfn.IFNA(VLOOKUP(B15,'Ref Pegawai'!$B$2:$J$123,6,FALSE),"")</f>
        <v>Non PNS</v>
      </c>
      <c r="G15" s="27">
        <v>3</v>
      </c>
      <c r="H15" s="28">
        <v>900000</v>
      </c>
      <c r="I15" s="28">
        <f t="shared" ref="I15:I16" si="0">H15*G15</f>
        <v>2700000</v>
      </c>
      <c r="J15" s="28">
        <f t="shared" ref="J15:J16" si="1">+I15</f>
        <v>2700000</v>
      </c>
      <c r="K15" s="29" t="str">
        <f>_xlfn.IFNA(VLOOKUP(F15,'Ref Pegawai'!$G$2:$K$123,5,FALSE),"")</f>
        <v>2,5%</v>
      </c>
      <c r="L15" s="28">
        <f t="shared" ref="L15:L16" si="2">+K15*J15</f>
        <v>67500</v>
      </c>
      <c r="M15" s="28">
        <f>I15-L15</f>
        <v>2632500</v>
      </c>
      <c r="N15" s="23" t="str">
        <f>PROPER(VLOOKUP(B15,[13]Ref!$B$2:$P$170,9,FALSE))</f>
        <v>Eko Sri Margianti</v>
      </c>
      <c r="O15" s="30" t="str">
        <f>VLOOKUP(B15,[13]Ref!$B$2:$P$170,10,FALSE)</f>
        <v>50220016237</v>
      </c>
      <c r="P15" s="23" t="str">
        <f>PROPER(VLOOKUP(B15,[13]Ref!$B$2:$P$170,11,FALSE))</f>
        <v>Dki</v>
      </c>
      <c r="Q15" s="121">
        <f>VLOOKUP(B15,'Ref Pegawai'!$B$2:$L$123,11,FALSE)</f>
        <v>0</v>
      </c>
      <c r="R15" s="16"/>
      <c r="S15" s="11"/>
    </row>
    <row r="16" spans="1:19" s="19" customFormat="1" ht="48" customHeight="1" x14ac:dyDescent="0.25">
      <c r="A16" s="22">
        <f t="shared" ref="A16" si="3">+A15+1</f>
        <v>3</v>
      </c>
      <c r="B16" s="23" t="s">
        <v>392</v>
      </c>
      <c r="C16" s="23" t="s">
        <v>929</v>
      </c>
      <c r="D16" s="24" t="str">
        <f>_xlfn.IFNA(VLOOKUP(B16,'Ref Pegawai'!$B$2:$J$123,3,FALSE),"")</f>
        <v>3275084900788010</v>
      </c>
      <c r="E16" s="25" t="str">
        <f>_xlfn.IFNA(VLOOKUP(B16,'Ref Pegawai'!$B$2:$J$123,4,FALSE),"")</f>
        <v>696020676432000</v>
      </c>
      <c r="F16" s="26" t="str">
        <f>_xlfn.IFNA(VLOOKUP(B16,'Ref Pegawai'!$B$2:$J$123,6,FALSE),"")</f>
        <v>III/b</v>
      </c>
      <c r="G16" s="27">
        <v>3</v>
      </c>
      <c r="H16" s="28">
        <v>900000</v>
      </c>
      <c r="I16" s="28">
        <f t="shared" si="0"/>
        <v>2700000</v>
      </c>
      <c r="J16" s="28">
        <f t="shared" si="1"/>
        <v>2700000</v>
      </c>
      <c r="K16" s="29" t="str">
        <f>_xlfn.IFNA(VLOOKUP(F16,'Ref Pegawai'!$G$2:$K$123,5,FALSE),"")</f>
        <v>5%</v>
      </c>
      <c r="L16" s="28">
        <f t="shared" si="2"/>
        <v>135000</v>
      </c>
      <c r="M16" s="28">
        <f>I16-L16</f>
        <v>2565000</v>
      </c>
      <c r="N16" s="23" t="str">
        <f>PROPER(VLOOKUP(B16,[13]Ref!$B$2:$P$170,9,FALSE))</f>
        <v>Sutresna Wati</v>
      </c>
      <c r="O16" s="30" t="str">
        <f>VLOOKUP(B16,[13]Ref!$B$2:$P$170,10,FALSE)</f>
        <v>0417595642</v>
      </c>
      <c r="P16" s="23" t="str">
        <f>PROPER(VLOOKUP(B16,[13]Ref!$B$2:$P$170,11,FALSE))</f>
        <v>Bni</v>
      </c>
      <c r="Q16" s="121">
        <f>VLOOKUP(B16,'Ref Pegawai'!$B$2:$L$123,11,FALSE)</f>
        <v>0</v>
      </c>
      <c r="R16" s="16"/>
      <c r="S16" s="11"/>
    </row>
    <row r="17" spans="1:19" s="19" customFormat="1" ht="6.75" customHeight="1" x14ac:dyDescent="0.25">
      <c r="A17" s="22"/>
      <c r="B17" s="23"/>
      <c r="C17" s="23"/>
      <c r="D17" s="24"/>
      <c r="E17" s="25"/>
      <c r="F17" s="26"/>
      <c r="G17" s="27"/>
      <c r="H17" s="28"/>
      <c r="I17" s="28"/>
      <c r="J17" s="28"/>
      <c r="K17" s="29"/>
      <c r="L17" s="28"/>
      <c r="M17" s="28"/>
      <c r="N17" s="31"/>
      <c r="O17" s="25"/>
      <c r="P17" s="25"/>
      <c r="Q17" s="22"/>
      <c r="R17" s="16"/>
      <c r="S17" s="11"/>
    </row>
    <row r="18" spans="1:19" s="19" customFormat="1" ht="30" customHeight="1" x14ac:dyDescent="0.25">
      <c r="A18" s="21"/>
      <c r="B18" s="21" t="s">
        <v>685</v>
      </c>
      <c r="C18" s="21"/>
      <c r="D18" s="21"/>
      <c r="E18" s="21"/>
      <c r="F18" s="21"/>
      <c r="G18" s="32">
        <f>SUM(G14:G17)</f>
        <v>9</v>
      </c>
      <c r="H18" s="33">
        <f>SUBTOTAL(9,H14:H17)</f>
        <v>2800000</v>
      </c>
      <c r="I18" s="33">
        <f>SUBTOTAL(9,I14:I17)</f>
        <v>8400000</v>
      </c>
      <c r="J18" s="33">
        <f t="shared" ref="J18" si="4">SUBTOTAL(9,J14:J16)</f>
        <v>8400000</v>
      </c>
      <c r="K18" s="33">
        <v>0</v>
      </c>
      <c r="L18" s="33">
        <f>SUBTOTAL(9,L14:L17)</f>
        <v>277500</v>
      </c>
      <c r="M18" s="33">
        <f>SUBTOTAL(9,M14:M17)</f>
        <v>8122500</v>
      </c>
      <c r="N18" s="33"/>
      <c r="O18" s="21"/>
      <c r="P18" s="21"/>
      <c r="Q18" s="112"/>
    </row>
    <row r="19" spans="1:19" s="36" customFormat="1" ht="30" customHeight="1" x14ac:dyDescent="0.25">
      <c r="A19" s="34"/>
      <c r="B19" s="34" t="s">
        <v>686</v>
      </c>
      <c r="C19" s="35"/>
      <c r="D19" s="35" t="s">
        <v>687</v>
      </c>
      <c r="E19" s="155" t="s">
        <v>789</v>
      </c>
      <c r="F19" s="155"/>
      <c r="G19" s="155"/>
      <c r="H19" s="155"/>
      <c r="I19" s="155"/>
      <c r="J19" s="155"/>
      <c r="K19" s="155"/>
      <c r="L19" s="155"/>
      <c r="M19" s="155"/>
      <c r="N19" s="155"/>
      <c r="O19" s="155"/>
      <c r="P19" s="156"/>
      <c r="Q19" s="113"/>
    </row>
    <row r="20" spans="1:19" ht="30" customHeight="1" x14ac:dyDescent="0.25"/>
    <row r="21" spans="1:19" ht="15.75" x14ac:dyDescent="0.25">
      <c r="A21" s="37" t="s">
        <v>688</v>
      </c>
      <c r="L21" s="38"/>
    </row>
    <row r="22" spans="1:19" ht="15" customHeight="1" x14ac:dyDescent="0.25">
      <c r="A22" s="37" t="s">
        <v>689</v>
      </c>
      <c r="L22" s="39"/>
    </row>
    <row r="24" spans="1:19" ht="15.75" x14ac:dyDescent="0.25">
      <c r="E24" s="40"/>
      <c r="F24" s="40"/>
      <c r="H24" s="40"/>
      <c r="I24" s="40"/>
      <c r="J24" s="40"/>
      <c r="K24" s="40"/>
      <c r="L24" s="41"/>
      <c r="N24" s="40" t="s">
        <v>702</v>
      </c>
    </row>
    <row r="25" spans="1:19" ht="15.75" x14ac:dyDescent="0.25">
      <c r="A25" s="8" t="s">
        <v>690</v>
      </c>
      <c r="E25" s="40"/>
      <c r="F25" s="40"/>
      <c r="H25" s="42"/>
      <c r="I25" s="40"/>
      <c r="J25" s="40"/>
      <c r="K25" s="40"/>
      <c r="L25" s="40"/>
      <c r="N25" s="42" t="s">
        <v>691</v>
      </c>
    </row>
    <row r="26" spans="1:19" ht="15.75" x14ac:dyDescent="0.25">
      <c r="A26" s="8" t="s">
        <v>692</v>
      </c>
      <c r="E26" s="40"/>
      <c r="F26" s="40"/>
      <c r="H26" s="42"/>
      <c r="I26" s="40"/>
      <c r="J26" s="40"/>
      <c r="K26" s="40"/>
      <c r="L26" s="40"/>
      <c r="N26" s="42" t="s">
        <v>693</v>
      </c>
    </row>
    <row r="27" spans="1:19" ht="15.75" x14ac:dyDescent="0.25">
      <c r="A27" s="8" t="s">
        <v>694</v>
      </c>
      <c r="E27" s="40"/>
      <c r="F27" s="40"/>
      <c r="H27" s="42"/>
      <c r="I27" s="40"/>
      <c r="J27" s="40"/>
      <c r="K27" s="40"/>
      <c r="L27" s="40"/>
      <c r="N27" s="42"/>
    </row>
    <row r="28" spans="1:19" ht="15.75" x14ac:dyDescent="0.25">
      <c r="E28" s="40"/>
      <c r="F28" s="40"/>
      <c r="H28" s="42"/>
      <c r="I28" s="40"/>
      <c r="J28" s="40"/>
      <c r="K28" s="40"/>
      <c r="L28" s="40"/>
      <c r="N28" s="42"/>
    </row>
    <row r="29" spans="1:19" ht="15.75" x14ac:dyDescent="0.25">
      <c r="E29" s="40"/>
      <c r="F29" s="40"/>
      <c r="H29" s="42"/>
      <c r="I29" s="40"/>
      <c r="J29" s="40"/>
      <c r="K29" s="40"/>
      <c r="L29" s="40"/>
      <c r="N29" s="42"/>
    </row>
    <row r="30" spans="1:19" ht="15.75" x14ac:dyDescent="0.25">
      <c r="E30" s="40"/>
      <c r="F30" s="40"/>
      <c r="H30" s="42"/>
      <c r="I30" s="40"/>
      <c r="J30" s="40"/>
      <c r="K30" s="40"/>
      <c r="L30" s="40"/>
      <c r="N30" s="42"/>
    </row>
    <row r="31" spans="1:19" ht="15.75" x14ac:dyDescent="0.25">
      <c r="A31" s="44" t="s">
        <v>56</v>
      </c>
      <c r="E31" s="40"/>
      <c r="F31" s="40"/>
      <c r="H31" s="45"/>
      <c r="I31" s="45"/>
      <c r="J31" s="40"/>
      <c r="K31" s="40"/>
      <c r="L31" s="40"/>
      <c r="N31" s="45" t="s">
        <v>77</v>
      </c>
    </row>
    <row r="32" spans="1:19" ht="15.75" x14ac:dyDescent="0.25">
      <c r="A32" s="44" t="s">
        <v>695</v>
      </c>
      <c r="E32" s="40"/>
      <c r="F32" s="40"/>
      <c r="H32" s="14"/>
      <c r="I32" s="14"/>
      <c r="J32" s="40"/>
      <c r="K32" s="40"/>
      <c r="L32" s="40"/>
      <c r="N32" s="14" t="s">
        <v>696</v>
      </c>
    </row>
    <row r="33" spans="5:11" ht="15.75" x14ac:dyDescent="0.25">
      <c r="E33" s="40"/>
      <c r="F33" s="40"/>
      <c r="G33" s="40"/>
      <c r="H33" s="40"/>
      <c r="I33" s="40"/>
      <c r="J33" s="40"/>
      <c r="K33" s="40"/>
    </row>
    <row r="34" spans="5:11" ht="15.75" x14ac:dyDescent="0.25">
      <c r="E34" s="40"/>
      <c r="F34" s="40"/>
      <c r="G34" s="40"/>
      <c r="H34" s="40"/>
      <c r="I34" s="40"/>
      <c r="J34" s="40"/>
      <c r="K34" s="40"/>
    </row>
    <row r="35" spans="5:11" ht="15.75" x14ac:dyDescent="0.25">
      <c r="E35" s="40"/>
      <c r="F35" s="40"/>
      <c r="G35" s="40"/>
      <c r="H35" s="40"/>
      <c r="I35" s="40"/>
      <c r="J35" s="40"/>
      <c r="K35" s="40"/>
    </row>
  </sheetData>
  <mergeCells count="18">
    <mergeCell ref="A5:O5"/>
    <mergeCell ref="A6:O6"/>
    <mergeCell ref="A7:O7"/>
    <mergeCell ref="A8:O8"/>
    <mergeCell ref="A11:A12"/>
    <mergeCell ref="B11:B12"/>
    <mergeCell ref="D11:D12"/>
    <mergeCell ref="E11:E12"/>
    <mergeCell ref="F11:F12"/>
    <mergeCell ref="G11:I11"/>
    <mergeCell ref="E19:P19"/>
    <mergeCell ref="C11:C12"/>
    <mergeCell ref="Q11:Q12"/>
    <mergeCell ref="K11:L11"/>
    <mergeCell ref="M11:M12"/>
    <mergeCell ref="N11:N12"/>
    <mergeCell ref="O11:O12"/>
    <mergeCell ref="P11:P12"/>
  </mergeCells>
  <conditionalFormatting sqref="B17:C17 B14:B16">
    <cfRule type="duplicateValues" dxfId="15" priority="2"/>
  </conditionalFormatting>
  <pageMargins left="0.196850393700787" right="0.36" top="0.59055118110236204" bottom="0.39370078740157499" header="0.31496062992126" footer="0.31496062992126"/>
  <pageSetup scale="51" fitToHeight="0" orientation="landscape" useFirstPageNumber="1" horizontalDpi="120" verticalDpi="72" r:id="rId1"/>
  <rowBreaks count="1" manualBreakCount="1">
    <brk id="32" max="15" man="1"/>
  </rowBreaks>
  <extLst>
    <ext xmlns:x14="http://schemas.microsoft.com/office/spreadsheetml/2009/9/main" uri="{CCE6A557-97BC-4b89-ADB6-D9C93CAAB3DF}">
      <x14:dataValidations xmlns:xm="http://schemas.microsoft.com/office/excel/2006/main" count="2">
        <x14:dataValidation type="list" allowBlank="1" showInputMessage="1" showErrorMessage="1" xr:uid="{63691738-855F-4F21-B447-A2B001747FC6}">
          <x14:formula1>
            <xm:f>RefAnggaran!$A$8:$A$15</xm:f>
          </x14:formula1>
          <xm:sqref>C14:C16</xm:sqref>
        </x14:dataValidation>
        <x14:dataValidation type="list" allowBlank="1" showInputMessage="1" showErrorMessage="1" xr:uid="{EE1FE8A3-FF2D-4647-9A87-4CF8600701FA}">
          <x14:formula1>
            <xm:f>'Ref Pegawai'!$B$2:$B$123</xm:f>
          </x14:formula1>
          <xm:sqref>B14:B16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525E1-EA96-4F57-B87D-69F08DD574C7}">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941</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702</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F3:F4"/>
    <mergeCell ref="G3:G4"/>
    <mergeCell ref="D11:L11"/>
    <mergeCell ref="H3:H4"/>
    <mergeCell ref="I3:I4"/>
    <mergeCell ref="J3:J4"/>
    <mergeCell ref="K3:K4"/>
    <mergeCell ref="L3:L4"/>
  </mergeCells>
  <conditionalFormatting sqref="B9:C9 C6:C8">
    <cfRule type="duplicateValues" dxfId="14"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3A21B634-3448-4D2E-BCE9-12E9D1F04FD4}">
          <x14:formula1>
            <xm:f>'Ref Pegawai'!$B$2:$B$123</xm:f>
          </x14:formula1>
          <xm:sqref>C6:C8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E654-2ECB-4C02-84B4-6088931D5659}">
  <sheetPr>
    <tabColor rgb="FF92D050"/>
    <pageSetUpPr fitToPage="1"/>
  </sheetPr>
  <dimension ref="A1:O24"/>
  <sheetViews>
    <sheetView view="pageBreakPreview" zoomScale="85" zoomScaleNormal="85" zoomScaleSheetLayoutView="85" workbookViewId="0">
      <selection activeCell="L13" sqref="L13"/>
    </sheetView>
  </sheetViews>
  <sheetFormatPr defaultColWidth="9.125" defaultRowHeight="15.4" customHeight="1" x14ac:dyDescent="0.25"/>
  <cols>
    <col min="1" max="1" width="5.125" style="8" customWidth="1"/>
    <col min="2" max="3" width="21" style="8" customWidth="1"/>
    <col min="4" max="6" width="18.5" style="8" customWidth="1"/>
    <col min="7" max="7" width="16.25" style="8" customWidth="1"/>
    <col min="8" max="12" width="20.25" style="8" customWidth="1"/>
    <col min="13" max="13" width="30.75" style="8" customWidth="1"/>
    <col min="14" max="14" width="9.125" style="8" customWidth="1"/>
    <col min="15" max="15" width="84.625" style="8" customWidth="1"/>
    <col min="16" max="16" width="9.125" style="8" customWidth="1"/>
    <col min="17" max="16384" width="9.125" style="8"/>
  </cols>
  <sheetData>
    <row r="1" spans="1:15" ht="18.75" x14ac:dyDescent="0.3">
      <c r="A1" s="126" t="s">
        <v>942</v>
      </c>
      <c r="B1" s="17"/>
      <c r="C1" s="17"/>
      <c r="D1" s="17"/>
      <c r="E1" s="17"/>
      <c r="F1" s="17"/>
      <c r="N1" s="15"/>
      <c r="O1" s="11"/>
    </row>
    <row r="2" spans="1:15" ht="18.75" x14ac:dyDescent="0.3">
      <c r="A2" s="126"/>
      <c r="B2" s="17"/>
      <c r="C2" s="17"/>
      <c r="D2" s="17"/>
      <c r="E2" s="17"/>
      <c r="F2" s="17"/>
      <c r="N2" s="15"/>
      <c r="O2" s="11"/>
    </row>
    <row r="3" spans="1:15" s="19" customFormat="1" ht="48" customHeight="1" x14ac:dyDescent="0.25">
      <c r="A3" s="158" t="s">
        <v>658</v>
      </c>
      <c r="B3" s="158" t="s">
        <v>659</v>
      </c>
      <c r="C3" s="158" t="s">
        <v>854</v>
      </c>
      <c r="D3" s="158" t="s">
        <v>661</v>
      </c>
      <c r="E3" s="123" t="s">
        <v>667</v>
      </c>
      <c r="F3" s="157" t="s">
        <v>668</v>
      </c>
      <c r="G3" s="157" t="s">
        <v>9</v>
      </c>
      <c r="H3" s="157" t="s">
        <v>685</v>
      </c>
      <c r="I3" s="157" t="s">
        <v>858</v>
      </c>
      <c r="J3" s="157" t="s">
        <v>861</v>
      </c>
      <c r="K3" s="157" t="s">
        <v>862</v>
      </c>
      <c r="L3" s="157" t="s">
        <v>859</v>
      </c>
      <c r="M3" s="157" t="s">
        <v>787</v>
      </c>
      <c r="N3" s="16"/>
      <c r="O3" s="11"/>
    </row>
    <row r="4" spans="1:15" s="19" customFormat="1" ht="30.75" customHeight="1" x14ac:dyDescent="0.25">
      <c r="A4" s="158"/>
      <c r="B4" s="158"/>
      <c r="C4" s="158"/>
      <c r="D4" s="158"/>
      <c r="E4" s="124"/>
      <c r="F4" s="157"/>
      <c r="G4" s="157"/>
      <c r="H4" s="157"/>
      <c r="I4" s="157"/>
      <c r="J4" s="157"/>
      <c r="K4" s="157"/>
      <c r="L4" s="157"/>
      <c r="M4" s="157"/>
      <c r="N4" s="16"/>
      <c r="O4" s="11"/>
    </row>
    <row r="5" spans="1:15" s="19" customFormat="1" ht="18" customHeight="1" x14ac:dyDescent="0.25">
      <c r="A5" s="21" t="s">
        <v>674</v>
      </c>
      <c r="B5" s="21" t="s">
        <v>675</v>
      </c>
      <c r="C5" s="21" t="s">
        <v>676</v>
      </c>
      <c r="D5" s="20" t="s">
        <v>677</v>
      </c>
      <c r="E5" s="20" t="s">
        <v>678</v>
      </c>
      <c r="F5" s="20" t="s">
        <v>679</v>
      </c>
      <c r="G5" s="21" t="s">
        <v>680</v>
      </c>
      <c r="H5" s="21" t="s">
        <v>860</v>
      </c>
      <c r="I5" s="21" t="s">
        <v>852</v>
      </c>
      <c r="J5" s="21" t="s">
        <v>701</v>
      </c>
      <c r="K5" s="21" t="s">
        <v>682</v>
      </c>
      <c r="L5" s="21" t="s">
        <v>863</v>
      </c>
      <c r="M5" s="21" t="s">
        <v>703</v>
      </c>
      <c r="N5" s="16"/>
      <c r="O5" s="11"/>
    </row>
    <row r="6" spans="1:15" s="19" customFormat="1" ht="50.1" customHeight="1" x14ac:dyDescent="0.25">
      <c r="A6" s="22">
        <v>1</v>
      </c>
      <c r="B6" s="127" t="s">
        <v>856</v>
      </c>
      <c r="C6" s="23"/>
      <c r="D6" s="25" t="str">
        <f>_xlfn.IFNA(VLOOKUP(B6,'Ref Pegawai'!$B$2:$J$123,4,FALSE),"")</f>
        <v/>
      </c>
      <c r="E6" s="25"/>
      <c r="F6" s="25" t="str">
        <f>_xlfn.IFNA(VLOOKUP(C6,'Ref Pegawai'!$B$2:$J$123,4,FALSE),"")</f>
        <v/>
      </c>
      <c r="G6" s="23"/>
      <c r="H6" s="128">
        <v>6000000</v>
      </c>
      <c r="I6" s="128">
        <v>600000</v>
      </c>
      <c r="J6" s="128">
        <v>9000</v>
      </c>
      <c r="K6" s="128"/>
      <c r="L6" s="128">
        <f>H6-(I6+J6+K6)</f>
        <v>5391000</v>
      </c>
      <c r="M6" s="121"/>
      <c r="N6" s="16"/>
      <c r="O6" s="11"/>
    </row>
    <row r="7" spans="1:15" s="19" customFormat="1" ht="45.75" customHeight="1" x14ac:dyDescent="0.25">
      <c r="A7" s="22">
        <f>+A6+1</f>
        <v>2</v>
      </c>
      <c r="B7" s="127" t="s">
        <v>855</v>
      </c>
      <c r="C7" s="23"/>
      <c r="D7" s="25" t="str">
        <f>_xlfn.IFNA(VLOOKUP(B7,'Ref Pegawai'!$B$2:$J$123,4,FALSE),"")</f>
        <v/>
      </c>
      <c r="E7" s="25"/>
      <c r="F7" s="25" t="str">
        <f>_xlfn.IFNA(VLOOKUP(C7,'Ref Pegawai'!$B$2:$J$123,4,FALSE),"")</f>
        <v/>
      </c>
      <c r="G7" s="23"/>
      <c r="H7" s="128">
        <v>7000000</v>
      </c>
      <c r="I7" s="128">
        <v>700000</v>
      </c>
      <c r="J7" s="128"/>
      <c r="K7" s="128">
        <f>I7*2%</f>
        <v>14000</v>
      </c>
      <c r="L7" s="128">
        <f>H7-(I7+J7+K7)</f>
        <v>6286000</v>
      </c>
      <c r="M7" s="121"/>
      <c r="N7" s="16"/>
      <c r="O7" s="11"/>
    </row>
    <row r="8" spans="1:15" s="19" customFormat="1" ht="48" customHeight="1" x14ac:dyDescent="0.25">
      <c r="A8" s="22">
        <f t="shared" ref="A8" si="0">+A7+1</f>
        <v>3</v>
      </c>
      <c r="B8" s="127" t="s">
        <v>857</v>
      </c>
      <c r="C8" s="23"/>
      <c r="D8" s="25" t="str">
        <f>_xlfn.IFNA(VLOOKUP(B8,'Ref Pegawai'!$B$2:$J$123,4,FALSE),"")</f>
        <v/>
      </c>
      <c r="E8" s="25"/>
      <c r="F8" s="25" t="str">
        <f>_xlfn.IFNA(VLOOKUP(C8,'Ref Pegawai'!$B$2:$J$123,4,FALSE),"")</f>
        <v/>
      </c>
      <c r="G8" s="23"/>
      <c r="H8" s="128">
        <v>8000000</v>
      </c>
      <c r="I8" s="128">
        <v>800000</v>
      </c>
      <c r="J8" s="128">
        <f>H8*1.5%</f>
        <v>120000</v>
      </c>
      <c r="K8" s="128"/>
      <c r="L8" s="128">
        <f t="shared" ref="L8" si="1">H8-(I8+J8+K8)</f>
        <v>7080000</v>
      </c>
      <c r="M8" s="121"/>
      <c r="N8" s="16"/>
      <c r="O8" s="11"/>
    </row>
    <row r="9" spans="1:15" s="19" customFormat="1" ht="6.75" customHeight="1" x14ac:dyDescent="0.25">
      <c r="A9" s="22"/>
      <c r="B9" s="23"/>
      <c r="C9" s="23"/>
      <c r="D9" s="25"/>
      <c r="E9" s="25"/>
      <c r="F9" s="25"/>
      <c r="G9" s="31"/>
      <c r="H9" s="25"/>
      <c r="I9" s="25"/>
      <c r="J9" s="25"/>
      <c r="K9" s="25"/>
      <c r="L9" s="25"/>
      <c r="M9" s="22"/>
      <c r="N9" s="16"/>
      <c r="O9" s="11"/>
    </row>
    <row r="10" spans="1:15" s="19" customFormat="1" ht="30" customHeight="1" x14ac:dyDescent="0.25">
      <c r="A10" s="21"/>
      <c r="B10" s="21" t="s">
        <v>685</v>
      </c>
      <c r="C10" s="21"/>
      <c r="D10" s="21"/>
      <c r="E10" s="21"/>
      <c r="F10" s="21"/>
      <c r="G10" s="33"/>
      <c r="H10" s="21"/>
      <c r="I10" s="21"/>
      <c r="J10" s="21"/>
      <c r="K10" s="21"/>
      <c r="L10" s="21"/>
      <c r="M10" s="112"/>
    </row>
    <row r="11" spans="1:15" s="36" customFormat="1" ht="30" customHeight="1" x14ac:dyDescent="0.25">
      <c r="A11" s="34"/>
      <c r="B11" s="34" t="s">
        <v>686</v>
      </c>
      <c r="C11" s="35"/>
      <c r="D11" s="155"/>
      <c r="E11" s="155"/>
      <c r="F11" s="155"/>
      <c r="G11" s="155"/>
      <c r="H11" s="155"/>
      <c r="I11" s="155"/>
      <c r="J11" s="155"/>
      <c r="K11" s="155"/>
      <c r="L11" s="156"/>
      <c r="M11" s="113"/>
    </row>
    <row r="12" spans="1:15" ht="30" customHeight="1" x14ac:dyDescent="0.25"/>
    <row r="13" spans="1:15" ht="15.75" x14ac:dyDescent="0.25">
      <c r="D13" s="40"/>
      <c r="E13" s="40"/>
      <c r="F13" s="40"/>
      <c r="G13" s="40"/>
      <c r="L13" s="40" t="s">
        <v>702</v>
      </c>
    </row>
    <row r="14" spans="1:15" ht="15.75" x14ac:dyDescent="0.25">
      <c r="A14" s="8" t="s">
        <v>690</v>
      </c>
      <c r="D14" s="40"/>
      <c r="E14" s="40"/>
      <c r="F14" s="40"/>
      <c r="G14" s="42"/>
      <c r="L14" s="42" t="s">
        <v>691</v>
      </c>
    </row>
    <row r="15" spans="1:15" ht="15.75" x14ac:dyDescent="0.25">
      <c r="A15" s="8" t="s">
        <v>692</v>
      </c>
      <c r="D15" s="40"/>
      <c r="E15" s="40"/>
      <c r="F15" s="40"/>
      <c r="G15" s="42"/>
      <c r="L15" s="42" t="s">
        <v>693</v>
      </c>
    </row>
    <row r="16" spans="1:15" ht="15.75" x14ac:dyDescent="0.25">
      <c r="A16" s="8" t="s">
        <v>694</v>
      </c>
      <c r="D16" s="40"/>
      <c r="E16" s="40"/>
      <c r="F16" s="40"/>
      <c r="G16" s="42"/>
      <c r="L16" s="42"/>
    </row>
    <row r="17" spans="1:12" ht="15.75" x14ac:dyDescent="0.25">
      <c r="D17" s="40"/>
      <c r="E17" s="40"/>
      <c r="F17" s="40"/>
      <c r="G17" s="42"/>
      <c r="L17" s="42"/>
    </row>
    <row r="18" spans="1:12" ht="15.75" x14ac:dyDescent="0.25">
      <c r="D18" s="40"/>
      <c r="E18" s="40"/>
      <c r="F18" s="40"/>
      <c r="G18" s="42"/>
      <c r="L18" s="42"/>
    </row>
    <row r="19" spans="1:12" ht="15.75" x14ac:dyDescent="0.25">
      <c r="D19" s="40"/>
      <c r="E19" s="40"/>
      <c r="F19" s="40"/>
      <c r="G19" s="42"/>
      <c r="L19" s="42"/>
    </row>
    <row r="20" spans="1:12" ht="15.75" x14ac:dyDescent="0.25">
      <c r="A20" s="44" t="s">
        <v>56</v>
      </c>
      <c r="D20" s="40"/>
      <c r="E20" s="40"/>
      <c r="F20" s="40"/>
      <c r="G20" s="45"/>
      <c r="L20" s="45" t="s">
        <v>77</v>
      </c>
    </row>
    <row r="21" spans="1:12" ht="15.75" x14ac:dyDescent="0.25">
      <c r="A21" s="44" t="s">
        <v>695</v>
      </c>
      <c r="D21" s="40"/>
      <c r="E21" s="40"/>
      <c r="F21" s="40"/>
      <c r="G21" s="14"/>
      <c r="L21" s="14" t="s">
        <v>696</v>
      </c>
    </row>
    <row r="22" spans="1:12" ht="15.75" x14ac:dyDescent="0.25">
      <c r="D22" s="40"/>
      <c r="E22" s="40"/>
      <c r="F22" s="40"/>
    </row>
    <row r="23" spans="1:12" ht="15.75" x14ac:dyDescent="0.25">
      <c r="D23" s="40"/>
      <c r="E23" s="40"/>
      <c r="F23" s="40"/>
    </row>
    <row r="24" spans="1:12" ht="15.75" x14ac:dyDescent="0.25">
      <c r="D24" s="40"/>
      <c r="E24" s="40"/>
      <c r="F24" s="40"/>
    </row>
  </sheetData>
  <mergeCells count="13">
    <mergeCell ref="M3:M4"/>
    <mergeCell ref="A3:A4"/>
    <mergeCell ref="B3:B4"/>
    <mergeCell ref="C3:C4"/>
    <mergeCell ref="D3:D4"/>
    <mergeCell ref="F3:F4"/>
    <mergeCell ref="G3:G4"/>
    <mergeCell ref="D11:L11"/>
    <mergeCell ref="H3:H4"/>
    <mergeCell ref="I3:I4"/>
    <mergeCell ref="J3:J4"/>
    <mergeCell ref="K3:K4"/>
    <mergeCell ref="L3:L4"/>
  </mergeCells>
  <conditionalFormatting sqref="B9:C9 C6:C8">
    <cfRule type="duplicateValues" dxfId="13" priority="1"/>
  </conditionalFormatting>
  <pageMargins left="0.196850393700787" right="0.36" top="0.59055118110236204" bottom="0.39370078740157499" header="0.31496062992126" footer="0.31496062992126"/>
  <pageSetup scale="49" fitToHeight="0" orientation="landscape" useFirstPageNumber="1" horizontalDpi="120" verticalDpi="72" r:id="rId1"/>
  <rowBreaks count="1" manualBreakCount="1">
    <brk id="21" max="1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28B41C38-590A-484B-A02D-0CC5DB486362}">
          <x14:formula1>
            <xm:f>'Ref Pegawai'!$B$2:$B$123</xm:f>
          </x14:formula1>
          <xm:sqref>C6:C8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F9D5-6E7D-4DED-B521-7EEE85F4B0A5}">
  <sheetPr>
    <tabColor rgb="FF00B0F0"/>
    <pageSetUpPr fitToPage="1"/>
  </sheetPr>
  <dimension ref="B1:Z65"/>
  <sheetViews>
    <sheetView view="pageBreakPreview" zoomScale="85" zoomScaleNormal="85" zoomScaleSheetLayoutView="85" workbookViewId="0">
      <pane xSplit="3" ySplit="13" topLeftCell="D14" activePane="bottomRight" state="frozen"/>
      <selection pane="topRight" activeCell="E1" sqref="E1"/>
      <selection pane="bottomLeft" activeCell="A13" sqref="A13"/>
      <selection pane="bottomRight" activeCell="E11" sqref="E11:G11"/>
    </sheetView>
  </sheetViews>
  <sheetFormatPr defaultColWidth="9.125" defaultRowHeight="13.9" customHeight="1" x14ac:dyDescent="0.25"/>
  <cols>
    <col min="1" max="1" width="2.125" style="47" customWidth="1"/>
    <col min="2" max="2" width="5.25" style="47" customWidth="1"/>
    <col min="3" max="3" width="28.125" style="47" customWidth="1"/>
    <col min="4" max="4" width="14.125" style="47" customWidth="1"/>
    <col min="5" max="5" width="7.375" style="47" customWidth="1"/>
    <col min="6" max="6" width="10" style="47" customWidth="1"/>
    <col min="7" max="7" width="14.125" style="47" customWidth="1"/>
    <col min="8" max="8" width="7.375" style="47" customWidth="1"/>
    <col min="9" max="9" width="10" style="47" customWidth="1"/>
    <col min="10" max="10" width="14.125" style="47" customWidth="1"/>
    <col min="11" max="11" width="7.375" style="47" customWidth="1"/>
    <col min="12" max="12" width="10" style="47" customWidth="1"/>
    <col min="13" max="16" width="14.125" style="47" customWidth="1"/>
    <col min="17" max="17" width="15" style="47" customWidth="1"/>
    <col min="18" max="18" width="25.25" style="47" customWidth="1"/>
    <col min="19" max="19" width="18.75" style="47" customWidth="1"/>
    <col min="20" max="20" width="15.125" style="47" customWidth="1"/>
    <col min="21" max="21" width="22.5" style="47" customWidth="1"/>
    <col min="22" max="22" width="11.625" style="47" customWidth="1"/>
    <col min="23" max="23" width="10.25" style="47" customWidth="1"/>
    <col min="24" max="24" width="10.625" style="56" customWidth="1"/>
    <col min="25" max="25" width="9.125" style="47" customWidth="1"/>
    <col min="26" max="16384" width="9.125" style="47"/>
  </cols>
  <sheetData>
    <row r="1" spans="2:21" ht="18" customHeight="1" x14ac:dyDescent="0.25">
      <c r="B1" s="46" t="s">
        <v>655</v>
      </c>
    </row>
    <row r="2" spans="2:21" ht="18" customHeight="1" x14ac:dyDescent="0.25">
      <c r="B2" s="9" t="s">
        <v>707</v>
      </c>
    </row>
    <row r="3" spans="2:21" ht="18" customHeight="1" x14ac:dyDescent="0.25">
      <c r="B3" s="12" t="s">
        <v>714</v>
      </c>
      <c r="C3" s="48"/>
      <c r="D3" s="48"/>
      <c r="E3" s="48"/>
      <c r="F3" s="48"/>
      <c r="G3" s="48"/>
      <c r="H3" s="48"/>
      <c r="I3" s="48"/>
      <c r="J3" s="48"/>
      <c r="K3" s="48"/>
      <c r="L3" s="48"/>
      <c r="M3" s="48"/>
      <c r="N3" s="48"/>
      <c r="O3" s="48"/>
      <c r="P3" s="48"/>
    </row>
    <row r="4" spans="2:21" ht="18" customHeight="1" x14ac:dyDescent="0.25">
      <c r="Q4" s="46"/>
      <c r="R4" s="46"/>
      <c r="S4" s="46"/>
    </row>
    <row r="5" spans="2:21" ht="18" customHeight="1" x14ac:dyDescent="0.25">
      <c r="B5" s="173" t="s">
        <v>841</v>
      </c>
      <c r="C5" s="173"/>
      <c r="D5" s="173"/>
      <c r="E5" s="173"/>
      <c r="F5" s="173"/>
      <c r="G5" s="173"/>
      <c r="H5" s="173"/>
      <c r="I5" s="173"/>
      <c r="J5" s="173"/>
      <c r="K5" s="173"/>
      <c r="L5" s="173"/>
      <c r="M5" s="173"/>
      <c r="N5" s="173"/>
      <c r="O5" s="173"/>
      <c r="P5" s="173"/>
      <c r="Q5" s="173"/>
      <c r="R5" s="173"/>
      <c r="S5" s="173"/>
      <c r="T5" s="173"/>
    </row>
    <row r="6" spans="2:21" ht="18" customHeight="1" x14ac:dyDescent="0.25">
      <c r="B6" s="173" t="s">
        <v>698</v>
      </c>
      <c r="C6" s="173"/>
      <c r="D6" s="173"/>
      <c r="E6" s="173"/>
      <c r="F6" s="173"/>
      <c r="G6" s="173"/>
      <c r="H6" s="173"/>
      <c r="I6" s="173"/>
      <c r="J6" s="173"/>
      <c r="K6" s="173"/>
      <c r="L6" s="173"/>
      <c r="M6" s="173"/>
      <c r="N6" s="173"/>
      <c r="O6" s="173"/>
      <c r="P6" s="173"/>
      <c r="Q6" s="173"/>
      <c r="R6" s="173"/>
      <c r="S6" s="173"/>
      <c r="T6" s="173"/>
    </row>
    <row r="7" spans="2:21" ht="18" customHeight="1" x14ac:dyDescent="0.25">
      <c r="B7" s="173" t="s">
        <v>708</v>
      </c>
      <c r="C7" s="173"/>
      <c r="D7" s="173"/>
      <c r="E7" s="173"/>
      <c r="F7" s="173"/>
      <c r="G7" s="173"/>
      <c r="H7" s="173"/>
      <c r="I7" s="173"/>
      <c r="J7" s="173"/>
      <c r="K7" s="173"/>
      <c r="L7" s="173"/>
      <c r="M7" s="173"/>
      <c r="N7" s="173"/>
      <c r="O7" s="173"/>
      <c r="P7" s="173"/>
      <c r="Q7" s="173"/>
      <c r="R7" s="173"/>
      <c r="S7" s="173"/>
      <c r="T7" s="173"/>
    </row>
    <row r="8" spans="2:21" ht="18" customHeight="1" x14ac:dyDescent="0.25">
      <c r="B8" s="173" t="s">
        <v>699</v>
      </c>
      <c r="C8" s="173"/>
      <c r="D8" s="173"/>
      <c r="E8" s="173"/>
      <c r="F8" s="173"/>
      <c r="G8" s="173"/>
      <c r="H8" s="173"/>
      <c r="I8" s="173"/>
      <c r="J8" s="173"/>
      <c r="K8" s="173"/>
      <c r="L8" s="173"/>
      <c r="M8" s="173"/>
      <c r="N8" s="173"/>
      <c r="O8" s="173"/>
      <c r="P8" s="173"/>
      <c r="Q8" s="173"/>
      <c r="R8" s="173"/>
      <c r="S8" s="173"/>
      <c r="T8" s="173"/>
    </row>
    <row r="9" spans="2:21" ht="18" customHeight="1" x14ac:dyDescent="0.3">
      <c r="B9" s="126" t="s">
        <v>945</v>
      </c>
      <c r="C9"/>
      <c r="D9"/>
      <c r="E9"/>
      <c r="F9"/>
      <c r="G9"/>
      <c r="H9"/>
      <c r="I9"/>
      <c r="J9"/>
      <c r="K9"/>
      <c r="L9"/>
      <c r="M9"/>
      <c r="N9"/>
      <c r="O9"/>
      <c r="P9"/>
      <c r="Q9"/>
      <c r="R9"/>
      <c r="S9"/>
    </row>
    <row r="10" spans="2:21" ht="18" customHeight="1" x14ac:dyDescent="0.25">
      <c r="B10"/>
      <c r="C10"/>
      <c r="D10"/>
      <c r="E10" s="131"/>
      <c r="F10" s="131"/>
      <c r="G10" s="131"/>
      <c r="H10" s="131"/>
      <c r="I10" s="131"/>
      <c r="J10" s="131"/>
      <c r="K10" s="131"/>
      <c r="L10" s="131"/>
      <c r="M10" s="131"/>
      <c r="N10"/>
      <c r="O10"/>
      <c r="P10"/>
      <c r="Q10" s="131"/>
      <c r="R10"/>
      <c r="S10"/>
    </row>
    <row r="11" spans="2:21" ht="18" customHeight="1" x14ac:dyDescent="0.25">
      <c r="B11" s="169" t="s">
        <v>709</v>
      </c>
      <c r="C11" s="169" t="s">
        <v>659</v>
      </c>
      <c r="D11" s="163" t="s">
        <v>711</v>
      </c>
      <c r="E11" s="170" t="s">
        <v>842</v>
      </c>
      <c r="F11" s="171"/>
      <c r="G11" s="172"/>
      <c r="H11" s="170" t="s">
        <v>844</v>
      </c>
      <c r="I11" s="171"/>
      <c r="J11" s="172"/>
      <c r="K11" s="170" t="s">
        <v>845</v>
      </c>
      <c r="L11" s="171"/>
      <c r="M11" s="172"/>
      <c r="N11" s="163" t="s">
        <v>943</v>
      </c>
      <c r="O11" s="163" t="s">
        <v>944</v>
      </c>
      <c r="P11" s="163" t="s">
        <v>949</v>
      </c>
      <c r="Q11" s="168" t="s">
        <v>712</v>
      </c>
      <c r="R11" s="163" t="s">
        <v>667</v>
      </c>
      <c r="S11" s="163" t="s">
        <v>668</v>
      </c>
      <c r="T11" s="163" t="s">
        <v>9</v>
      </c>
      <c r="U11" s="157" t="s">
        <v>787</v>
      </c>
    </row>
    <row r="12" spans="2:21" ht="36.75" customHeight="1" x14ac:dyDescent="0.25">
      <c r="B12" s="169"/>
      <c r="C12" s="169"/>
      <c r="D12" s="163"/>
      <c r="E12" s="122" t="s">
        <v>710</v>
      </c>
      <c r="F12" s="122" t="s">
        <v>843</v>
      </c>
      <c r="G12" s="122" t="s">
        <v>685</v>
      </c>
      <c r="H12" s="122" t="s">
        <v>710</v>
      </c>
      <c r="I12" s="122" t="s">
        <v>843</v>
      </c>
      <c r="J12" s="122" t="s">
        <v>685</v>
      </c>
      <c r="K12" s="122" t="s">
        <v>710</v>
      </c>
      <c r="L12" s="122" t="s">
        <v>843</v>
      </c>
      <c r="M12" s="122" t="s">
        <v>685</v>
      </c>
      <c r="N12" s="163"/>
      <c r="O12" s="163"/>
      <c r="P12" s="164"/>
      <c r="Q12" s="163"/>
      <c r="R12" s="164"/>
      <c r="S12" s="164"/>
      <c r="T12" s="164"/>
      <c r="U12" s="157"/>
    </row>
    <row r="13" spans="2:21" ht="15.75" customHeight="1" x14ac:dyDescent="0.25">
      <c r="B13" s="49" t="s">
        <v>674</v>
      </c>
      <c r="C13" s="49" t="s">
        <v>675</v>
      </c>
      <c r="D13" s="50" t="s">
        <v>676</v>
      </c>
      <c r="E13" s="50" t="s">
        <v>677</v>
      </c>
      <c r="F13" s="50" t="s">
        <v>678</v>
      </c>
      <c r="G13" s="50" t="s">
        <v>846</v>
      </c>
      <c r="H13" s="50" t="s">
        <v>680</v>
      </c>
      <c r="I13" s="50" t="s">
        <v>847</v>
      </c>
      <c r="J13" s="50" t="s">
        <v>848</v>
      </c>
      <c r="K13" s="50" t="s">
        <v>701</v>
      </c>
      <c r="L13" s="50" t="s">
        <v>682</v>
      </c>
      <c r="M13" s="50" t="s">
        <v>849</v>
      </c>
      <c r="N13" s="50" t="s">
        <v>676</v>
      </c>
      <c r="O13" s="50" t="s">
        <v>676</v>
      </c>
      <c r="P13" s="50"/>
      <c r="Q13" s="49" t="s">
        <v>850</v>
      </c>
      <c r="R13" s="49" t="s">
        <v>683</v>
      </c>
      <c r="S13" s="49" t="s">
        <v>684</v>
      </c>
      <c r="T13" s="49" t="s">
        <v>788</v>
      </c>
      <c r="U13" s="21" t="s">
        <v>851</v>
      </c>
    </row>
    <row r="14" spans="2:21" ht="45" customHeight="1" x14ac:dyDescent="0.25">
      <c r="B14" s="51">
        <v>1</v>
      </c>
      <c r="C14" s="23" t="s">
        <v>166</v>
      </c>
      <c r="D14" s="52">
        <v>600000</v>
      </c>
      <c r="E14" s="52">
        <v>1</v>
      </c>
      <c r="F14" s="52">
        <v>430000</v>
      </c>
      <c r="G14" s="52">
        <f>E14*F14</f>
        <v>430000</v>
      </c>
      <c r="H14" s="52">
        <v>2</v>
      </c>
      <c r="I14" s="52">
        <v>150000</v>
      </c>
      <c r="J14" s="52">
        <f>H14*I14</f>
        <v>300000</v>
      </c>
      <c r="K14" s="52">
        <v>1</v>
      </c>
      <c r="L14" s="52">
        <v>105000</v>
      </c>
      <c r="M14" s="52">
        <f>K14*L14</f>
        <v>105000</v>
      </c>
      <c r="N14" s="52">
        <v>550000</v>
      </c>
      <c r="O14" s="52">
        <v>2500000</v>
      </c>
      <c r="P14" s="52"/>
      <c r="Q14" s="53">
        <f>D14+G14+J14+M14+N14+O14+P14</f>
        <v>4485000</v>
      </c>
      <c r="R14" s="53" t="str">
        <f>PROPER(VLOOKUP(C14,'Ref Pegawai'!$B$2:$J$123,8,FALSE))</f>
        <v>0172856645</v>
      </c>
      <c r="S14" s="53" t="str">
        <f>PROPER(VLOOKUP(C14,'Ref Pegawai'!$B$2:$J$123,8,FALSE))</f>
        <v>0172856645</v>
      </c>
      <c r="T14" s="53" t="str">
        <f>PROPER(VLOOKUP(C14,'Ref Pegawai'!$B$2:$J$123,9,FALSE))</f>
        <v>Bni</v>
      </c>
      <c r="U14" s="118" t="str">
        <f>VLOOKUP(C14,'Ref Pegawai'!$B$2:$L$123,11,FALSE)</f>
        <v>noviyanto26@gmail.com</v>
      </c>
    </row>
    <row r="15" spans="2:21" ht="38.25" customHeight="1" x14ac:dyDescent="0.25">
      <c r="B15" s="51">
        <f t="shared" ref="B15:B20" si="0">B14+1</f>
        <v>2</v>
      </c>
      <c r="C15" s="23" t="s">
        <v>282</v>
      </c>
      <c r="D15" s="52">
        <v>600000</v>
      </c>
      <c r="E15" s="52">
        <v>1</v>
      </c>
      <c r="F15" s="52">
        <v>430000</v>
      </c>
      <c r="G15" s="52">
        <f t="shared" ref="G15:G17" si="1">E15*F15</f>
        <v>430000</v>
      </c>
      <c r="H15" s="52">
        <v>2</v>
      </c>
      <c r="I15" s="52">
        <v>150000</v>
      </c>
      <c r="J15" s="52">
        <f t="shared" ref="J15:J17" si="2">H15*I15</f>
        <v>300000</v>
      </c>
      <c r="K15" s="52">
        <v>1</v>
      </c>
      <c r="L15" s="52">
        <v>105000</v>
      </c>
      <c r="M15" s="52">
        <f t="shared" ref="M15:M17" si="3">K15*L15</f>
        <v>105000</v>
      </c>
      <c r="N15" s="52">
        <v>550000</v>
      </c>
      <c r="O15" s="52">
        <v>2500000</v>
      </c>
      <c r="P15" s="52"/>
      <c r="Q15" s="53">
        <f t="shared" ref="Q15:Q19" si="4">D15+G15+J15+M15+N15+O15+P15</f>
        <v>4485000</v>
      </c>
      <c r="R15" s="53" t="str">
        <f>PROPER(VLOOKUP(C15,'Ref Pegawai'!$B$2:$J$123,8,FALSE))</f>
        <v>0221963721</v>
      </c>
      <c r="S15" s="53" t="str">
        <f>PROPER(VLOOKUP(C15,'Ref Pegawai'!$B$2:$J$123,8,FALSE))</f>
        <v>0221963721</v>
      </c>
      <c r="T15" s="53" t="str">
        <f>PROPER(VLOOKUP(C15,'Ref Pegawai'!$B$2:$J$123,9,FALSE))</f>
        <v>Bni</v>
      </c>
      <c r="U15" s="118" t="str">
        <f>VLOOKUP(C15,'Ref Pegawai'!$B$2:$L$123,11,FALSE)</f>
        <v>taufan.prast@gmail.com</v>
      </c>
    </row>
    <row r="16" spans="2:21" ht="45" customHeight="1" x14ac:dyDescent="0.25">
      <c r="B16" s="51">
        <f t="shared" si="0"/>
        <v>3</v>
      </c>
      <c r="C16" s="23" t="s">
        <v>30</v>
      </c>
      <c r="D16" s="52">
        <v>600000</v>
      </c>
      <c r="E16" s="52">
        <v>1</v>
      </c>
      <c r="F16" s="52">
        <v>430000</v>
      </c>
      <c r="G16" s="52">
        <f t="shared" si="1"/>
        <v>430000</v>
      </c>
      <c r="H16" s="52">
        <v>2</v>
      </c>
      <c r="I16" s="52">
        <v>150000</v>
      </c>
      <c r="J16" s="52">
        <f t="shared" si="2"/>
        <v>300000</v>
      </c>
      <c r="K16" s="52">
        <v>1</v>
      </c>
      <c r="L16" s="52">
        <v>105000</v>
      </c>
      <c r="M16" s="52">
        <f t="shared" si="3"/>
        <v>105000</v>
      </c>
      <c r="N16" s="52">
        <v>550000</v>
      </c>
      <c r="O16" s="52">
        <v>2500000</v>
      </c>
      <c r="P16" s="52"/>
      <c r="Q16" s="53">
        <f t="shared" si="4"/>
        <v>4485000</v>
      </c>
      <c r="R16" s="53" t="str">
        <f>PROPER(VLOOKUP(C16,'Ref Pegawai'!$B$2:$J$123,8,FALSE))</f>
        <v>0397880661</v>
      </c>
      <c r="S16" s="53" t="str">
        <f>PROPER(VLOOKUP(C16,'Ref Pegawai'!$B$2:$J$123,8,FALSE))</f>
        <v>0397880661</v>
      </c>
      <c r="T16" s="53" t="str">
        <f>PROPER(VLOOKUP(C16,'Ref Pegawai'!$B$2:$J$123,9,FALSE))</f>
        <v>Bni</v>
      </c>
      <c r="U16" s="118" t="str">
        <f>VLOOKUP(C16,'Ref Pegawai'!$B$2:$L$123,11,FALSE)</f>
        <v>endragu@gmail.com</v>
      </c>
    </row>
    <row r="17" spans="2:21" ht="45" customHeight="1" x14ac:dyDescent="0.25">
      <c r="B17" s="51">
        <f t="shared" si="0"/>
        <v>4</v>
      </c>
      <c r="C17" s="23" t="s">
        <v>145</v>
      </c>
      <c r="D17" s="52">
        <v>600000</v>
      </c>
      <c r="E17" s="52">
        <v>1</v>
      </c>
      <c r="F17" s="52">
        <v>430000</v>
      </c>
      <c r="G17" s="52">
        <f t="shared" si="1"/>
        <v>430000</v>
      </c>
      <c r="H17" s="52">
        <v>2</v>
      </c>
      <c r="I17" s="52">
        <v>150000</v>
      </c>
      <c r="J17" s="52">
        <f t="shared" si="2"/>
        <v>300000</v>
      </c>
      <c r="K17" s="52">
        <v>1</v>
      </c>
      <c r="L17" s="52">
        <v>105000</v>
      </c>
      <c r="M17" s="52">
        <f t="shared" si="3"/>
        <v>105000</v>
      </c>
      <c r="N17" s="52">
        <v>550000</v>
      </c>
      <c r="O17" s="52">
        <v>2500000</v>
      </c>
      <c r="P17" s="52"/>
      <c r="Q17" s="53">
        <f t="shared" si="4"/>
        <v>4485000</v>
      </c>
      <c r="R17" s="53" t="str">
        <f>PROPER(VLOOKUP(C17,'Ref Pegawai'!$B$2:$J$123,8,FALSE))</f>
        <v>0172361108</v>
      </c>
      <c r="S17" s="53" t="str">
        <f>PROPER(VLOOKUP(C17,'Ref Pegawai'!$B$2:$J$123,8,FALSE))</f>
        <v>0172361108</v>
      </c>
      <c r="T17" s="53" t="str">
        <f>PROPER(VLOOKUP(C17,'Ref Pegawai'!$B$2:$J$123,9,FALSE))</f>
        <v>Bni</v>
      </c>
      <c r="U17" s="118" t="str">
        <f>VLOOKUP(C17,'Ref Pegawai'!$B$2:$L$123,11,FALSE)</f>
        <v>lukman_pdgd@yahoo.com</v>
      </c>
    </row>
    <row r="18" spans="2:21" ht="45" customHeight="1" x14ac:dyDescent="0.25">
      <c r="B18" s="51">
        <f t="shared" si="0"/>
        <v>5</v>
      </c>
      <c r="C18" s="52"/>
      <c r="D18" s="52"/>
      <c r="E18" s="52"/>
      <c r="F18" s="52"/>
      <c r="G18" s="52"/>
      <c r="H18" s="52"/>
      <c r="I18" s="52"/>
      <c r="J18" s="52"/>
      <c r="K18" s="52"/>
      <c r="L18" s="52"/>
      <c r="M18" s="52"/>
      <c r="N18" s="52"/>
      <c r="O18" s="52"/>
      <c r="P18" s="52"/>
      <c r="Q18" s="53">
        <f t="shared" si="4"/>
        <v>0</v>
      </c>
      <c r="R18" s="53"/>
      <c r="S18" s="53"/>
      <c r="T18" s="53"/>
      <c r="U18" s="118"/>
    </row>
    <row r="19" spans="2:21" ht="45" customHeight="1" x14ac:dyDescent="0.25">
      <c r="B19" s="51">
        <f t="shared" si="0"/>
        <v>6</v>
      </c>
      <c r="C19" s="52"/>
      <c r="D19" s="52"/>
      <c r="E19" s="52"/>
      <c r="F19" s="52"/>
      <c r="G19" s="52"/>
      <c r="H19" s="52"/>
      <c r="I19" s="52"/>
      <c r="J19" s="52"/>
      <c r="K19" s="52"/>
      <c r="L19" s="52"/>
      <c r="M19" s="52"/>
      <c r="N19" s="52"/>
      <c r="O19" s="52"/>
      <c r="P19" s="52"/>
      <c r="Q19" s="53">
        <f t="shared" si="4"/>
        <v>0</v>
      </c>
      <c r="R19" s="53"/>
      <c r="S19" s="53"/>
      <c r="T19" s="53"/>
      <c r="U19" s="118"/>
    </row>
    <row r="20" spans="2:21" ht="45" customHeight="1" x14ac:dyDescent="0.25">
      <c r="B20" s="51">
        <f t="shared" si="0"/>
        <v>7</v>
      </c>
      <c r="C20" s="23"/>
      <c r="D20" s="52"/>
      <c r="E20" s="52"/>
      <c r="F20" s="52"/>
      <c r="G20" s="52"/>
      <c r="H20" s="52"/>
      <c r="I20" s="52"/>
      <c r="J20" s="52"/>
      <c r="K20" s="52"/>
      <c r="L20" s="52"/>
      <c r="M20" s="52"/>
      <c r="N20" s="52"/>
      <c r="O20" s="52"/>
      <c r="P20" s="52"/>
      <c r="Q20" s="53"/>
      <c r="R20" s="53"/>
      <c r="S20" s="53"/>
      <c r="T20" s="53"/>
      <c r="U20" s="118"/>
    </row>
    <row r="21" spans="2:21" ht="45" hidden="1" customHeight="1" x14ac:dyDescent="0.25">
      <c r="B21" s="51"/>
      <c r="C21" s="23"/>
      <c r="D21" s="52"/>
      <c r="E21" s="52"/>
      <c r="F21" s="52"/>
      <c r="G21" s="52"/>
      <c r="H21" s="52"/>
      <c r="I21" s="52"/>
      <c r="J21" s="52"/>
      <c r="K21" s="52"/>
      <c r="L21" s="52"/>
      <c r="M21" s="52"/>
      <c r="N21" s="52"/>
      <c r="O21" s="52"/>
      <c r="P21" s="52"/>
      <c r="Q21" s="53"/>
      <c r="R21" s="53"/>
      <c r="S21" s="54"/>
      <c r="T21" s="54"/>
      <c r="U21" s="116"/>
    </row>
    <row r="22" spans="2:21" ht="45" hidden="1" customHeight="1" x14ac:dyDescent="0.25">
      <c r="B22" s="51"/>
      <c r="C22" s="23"/>
      <c r="D22" s="52"/>
      <c r="E22" s="52"/>
      <c r="F22" s="52"/>
      <c r="G22" s="52"/>
      <c r="H22" s="52"/>
      <c r="I22" s="52"/>
      <c r="J22" s="52"/>
      <c r="K22" s="52"/>
      <c r="L22" s="52"/>
      <c r="M22" s="52"/>
      <c r="N22" s="52"/>
      <c r="O22" s="52"/>
      <c r="P22" s="52"/>
      <c r="Q22" s="53"/>
      <c r="R22" s="53"/>
      <c r="S22" s="54"/>
      <c r="T22" s="54"/>
      <c r="U22" s="116"/>
    </row>
    <row r="23" spans="2:21" ht="45" hidden="1" customHeight="1" x14ac:dyDescent="0.25">
      <c r="B23" s="51"/>
      <c r="C23" s="23"/>
      <c r="D23" s="52"/>
      <c r="E23" s="52"/>
      <c r="F23" s="52"/>
      <c r="G23" s="52"/>
      <c r="H23" s="52"/>
      <c r="I23" s="52"/>
      <c r="J23" s="52"/>
      <c r="K23" s="52"/>
      <c r="L23" s="52"/>
      <c r="M23" s="52"/>
      <c r="N23" s="52"/>
      <c r="O23" s="52"/>
      <c r="P23" s="52"/>
      <c r="Q23" s="53"/>
      <c r="R23" s="53"/>
      <c r="S23" s="54"/>
      <c r="T23" s="54"/>
      <c r="U23" s="116"/>
    </row>
    <row r="24" spans="2:21" ht="45" hidden="1" customHeight="1" x14ac:dyDescent="0.25">
      <c r="B24" s="51"/>
      <c r="C24" s="23"/>
      <c r="D24" s="52"/>
      <c r="E24" s="52"/>
      <c r="F24" s="52"/>
      <c r="G24" s="52"/>
      <c r="H24" s="52"/>
      <c r="I24" s="52"/>
      <c r="J24" s="52"/>
      <c r="K24" s="52"/>
      <c r="L24" s="52"/>
      <c r="M24" s="52"/>
      <c r="N24" s="52"/>
      <c r="O24" s="52"/>
      <c r="P24" s="52"/>
      <c r="Q24" s="53"/>
      <c r="R24" s="53"/>
      <c r="S24" s="54"/>
      <c r="T24" s="54"/>
      <c r="U24" s="116"/>
    </row>
    <row r="25" spans="2:21" ht="45" hidden="1" customHeight="1" x14ac:dyDescent="0.25">
      <c r="B25" s="51"/>
      <c r="C25" s="23"/>
      <c r="D25" s="52"/>
      <c r="E25" s="52"/>
      <c r="F25" s="52"/>
      <c r="G25" s="52"/>
      <c r="H25" s="52"/>
      <c r="I25" s="52"/>
      <c r="J25" s="52"/>
      <c r="K25" s="52"/>
      <c r="L25" s="52"/>
      <c r="M25" s="52"/>
      <c r="N25" s="52"/>
      <c r="O25" s="52"/>
      <c r="P25" s="52"/>
      <c r="Q25" s="53"/>
      <c r="R25" s="53"/>
      <c r="S25" s="54"/>
      <c r="T25" s="54"/>
      <c r="U25" s="116"/>
    </row>
    <row r="26" spans="2:21" ht="45" hidden="1" customHeight="1" x14ac:dyDescent="0.25">
      <c r="B26" s="51"/>
      <c r="C26" s="24"/>
      <c r="D26" s="52"/>
      <c r="E26" s="52"/>
      <c r="F26" s="52"/>
      <c r="G26" s="52"/>
      <c r="H26" s="52"/>
      <c r="I26" s="52"/>
      <c r="J26" s="52"/>
      <c r="K26" s="52"/>
      <c r="L26" s="52"/>
      <c r="M26" s="52"/>
      <c r="N26" s="52"/>
      <c r="O26" s="52"/>
      <c r="P26" s="52"/>
      <c r="Q26" s="53"/>
      <c r="R26" s="53"/>
      <c r="S26" s="54"/>
      <c r="T26" s="54"/>
      <c r="U26" s="116"/>
    </row>
    <row r="27" spans="2:21" ht="45" hidden="1" customHeight="1" x14ac:dyDescent="0.25">
      <c r="B27" s="51"/>
      <c r="C27" s="24"/>
      <c r="D27" s="52"/>
      <c r="E27" s="52"/>
      <c r="F27" s="52"/>
      <c r="G27" s="52"/>
      <c r="H27" s="52"/>
      <c r="I27" s="52"/>
      <c r="J27" s="52"/>
      <c r="K27" s="52"/>
      <c r="L27" s="52"/>
      <c r="M27" s="52"/>
      <c r="N27" s="52"/>
      <c r="O27" s="52"/>
      <c r="P27" s="52"/>
      <c r="Q27" s="53"/>
      <c r="R27" s="53"/>
      <c r="S27" s="54"/>
      <c r="T27" s="54"/>
      <c r="U27" s="116"/>
    </row>
    <row r="28" spans="2:21" ht="45" hidden="1" customHeight="1" x14ac:dyDescent="0.25">
      <c r="B28" s="51"/>
      <c r="C28" s="23"/>
      <c r="D28" s="52"/>
      <c r="E28" s="52"/>
      <c r="F28" s="52"/>
      <c r="G28" s="52"/>
      <c r="H28" s="52"/>
      <c r="I28" s="52"/>
      <c r="J28" s="52"/>
      <c r="K28" s="52"/>
      <c r="L28" s="52"/>
      <c r="M28" s="52"/>
      <c r="N28" s="52"/>
      <c r="O28" s="52"/>
      <c r="P28" s="52"/>
      <c r="Q28" s="53"/>
      <c r="R28" s="53"/>
      <c r="S28" s="54"/>
      <c r="T28" s="54"/>
      <c r="U28" s="116"/>
    </row>
    <row r="29" spans="2:21" ht="45" hidden="1" customHeight="1" x14ac:dyDescent="0.25">
      <c r="B29" s="51"/>
      <c r="C29" s="23"/>
      <c r="D29" s="52"/>
      <c r="E29" s="52"/>
      <c r="F29" s="52"/>
      <c r="G29" s="52"/>
      <c r="H29" s="52"/>
      <c r="I29" s="52"/>
      <c r="J29" s="52"/>
      <c r="K29" s="52"/>
      <c r="L29" s="52"/>
      <c r="M29" s="52"/>
      <c r="N29" s="52"/>
      <c r="O29" s="52"/>
      <c r="P29" s="52"/>
      <c r="Q29" s="53"/>
      <c r="R29" s="53"/>
      <c r="S29" s="54"/>
      <c r="T29" s="54"/>
      <c r="U29" s="116"/>
    </row>
    <row r="30" spans="2:21" ht="45" hidden="1" customHeight="1" x14ac:dyDescent="0.25">
      <c r="B30" s="51"/>
      <c r="C30" s="24"/>
      <c r="D30" s="52"/>
      <c r="E30" s="52"/>
      <c r="F30" s="52"/>
      <c r="G30" s="52"/>
      <c r="H30" s="52"/>
      <c r="I30" s="52"/>
      <c r="J30" s="52"/>
      <c r="K30" s="52"/>
      <c r="L30" s="52"/>
      <c r="M30" s="52"/>
      <c r="N30" s="52"/>
      <c r="O30" s="52"/>
      <c r="P30" s="52"/>
      <c r="Q30" s="53"/>
      <c r="R30" s="53"/>
      <c r="S30" s="54"/>
      <c r="T30" s="54"/>
      <c r="U30" s="116"/>
    </row>
    <row r="31" spans="2:21" ht="45" hidden="1" customHeight="1" x14ac:dyDescent="0.25">
      <c r="B31" s="51"/>
      <c r="C31" s="23"/>
      <c r="D31" s="52"/>
      <c r="E31" s="52"/>
      <c r="F31" s="52"/>
      <c r="G31" s="52"/>
      <c r="H31" s="52"/>
      <c r="I31" s="52"/>
      <c r="J31" s="52"/>
      <c r="K31" s="52"/>
      <c r="L31" s="52"/>
      <c r="M31" s="52"/>
      <c r="N31" s="52"/>
      <c r="O31" s="52"/>
      <c r="P31" s="52"/>
      <c r="Q31" s="53"/>
      <c r="R31" s="53"/>
      <c r="S31" s="54"/>
      <c r="T31" s="54"/>
      <c r="U31" s="116"/>
    </row>
    <row r="32" spans="2:21" ht="45" hidden="1" customHeight="1" x14ac:dyDescent="0.25">
      <c r="B32" s="51"/>
      <c r="C32" s="23"/>
      <c r="D32" s="52"/>
      <c r="E32" s="52"/>
      <c r="F32" s="52"/>
      <c r="G32" s="52"/>
      <c r="H32" s="52"/>
      <c r="I32" s="52"/>
      <c r="J32" s="52"/>
      <c r="K32" s="52"/>
      <c r="L32" s="52"/>
      <c r="M32" s="52"/>
      <c r="N32" s="52"/>
      <c r="O32" s="52"/>
      <c r="P32" s="52"/>
      <c r="Q32" s="53"/>
      <c r="R32" s="53"/>
      <c r="S32" s="54"/>
      <c r="T32" s="54"/>
      <c r="U32" s="116"/>
    </row>
    <row r="33" spans="2:26" ht="45" hidden="1" customHeight="1" x14ac:dyDescent="0.25">
      <c r="B33" s="51"/>
      <c r="C33" s="55"/>
      <c r="D33" s="52"/>
      <c r="E33" s="52"/>
      <c r="F33" s="52"/>
      <c r="G33" s="52"/>
      <c r="H33" s="52"/>
      <c r="I33" s="52"/>
      <c r="J33" s="52"/>
      <c r="K33" s="52"/>
      <c r="L33" s="52"/>
      <c r="M33" s="52"/>
      <c r="N33" s="52"/>
      <c r="O33" s="52"/>
      <c r="P33" s="52"/>
      <c r="Q33" s="53"/>
      <c r="R33" s="53"/>
      <c r="S33" s="54"/>
      <c r="T33" s="54"/>
      <c r="U33" s="116"/>
    </row>
    <row r="34" spans="2:26" ht="45" hidden="1" customHeight="1" x14ac:dyDescent="0.25">
      <c r="B34" s="51"/>
      <c r="C34" s="55"/>
      <c r="D34" s="52"/>
      <c r="E34" s="52"/>
      <c r="F34" s="52"/>
      <c r="G34" s="52"/>
      <c r="H34" s="52"/>
      <c r="I34" s="52"/>
      <c r="J34" s="52"/>
      <c r="K34" s="52"/>
      <c r="L34" s="52"/>
      <c r="M34" s="52"/>
      <c r="N34" s="52"/>
      <c r="O34" s="52"/>
      <c r="P34" s="52"/>
      <c r="Q34" s="53"/>
      <c r="R34" s="53"/>
      <c r="S34" s="54"/>
      <c r="T34" s="54"/>
      <c r="U34" s="116"/>
    </row>
    <row r="35" spans="2:26" ht="45" hidden="1" customHeight="1" x14ac:dyDescent="0.25">
      <c r="B35" s="51"/>
      <c r="C35" s="55"/>
      <c r="D35" s="52"/>
      <c r="E35" s="52"/>
      <c r="F35" s="52"/>
      <c r="G35" s="52"/>
      <c r="H35" s="52"/>
      <c r="I35" s="52"/>
      <c r="J35" s="52"/>
      <c r="K35" s="52"/>
      <c r="L35" s="52"/>
      <c r="M35" s="52"/>
      <c r="N35" s="52"/>
      <c r="O35" s="52"/>
      <c r="P35" s="52"/>
      <c r="Q35" s="53"/>
      <c r="R35" s="53"/>
      <c r="S35" s="54"/>
      <c r="T35" s="54"/>
      <c r="U35" s="116"/>
    </row>
    <row r="36" spans="2:26" ht="45" hidden="1" customHeight="1" x14ac:dyDescent="0.25">
      <c r="B36" s="51"/>
      <c r="C36" s="55"/>
      <c r="D36" s="52"/>
      <c r="E36" s="52"/>
      <c r="F36" s="52"/>
      <c r="G36" s="52"/>
      <c r="H36" s="52"/>
      <c r="I36" s="52"/>
      <c r="J36" s="52"/>
      <c r="K36" s="52"/>
      <c r="L36" s="52"/>
      <c r="M36" s="52"/>
      <c r="N36" s="52"/>
      <c r="O36" s="52"/>
      <c r="P36" s="52"/>
      <c r="Q36" s="53"/>
      <c r="R36" s="53"/>
      <c r="S36" s="54"/>
      <c r="T36" s="54"/>
      <c r="U36" s="116"/>
    </row>
    <row r="37" spans="2:26" ht="45" hidden="1" customHeight="1" x14ac:dyDescent="0.25">
      <c r="B37" s="51"/>
      <c r="C37" s="55"/>
      <c r="D37" s="52"/>
      <c r="E37" s="52"/>
      <c r="F37" s="52"/>
      <c r="G37" s="52"/>
      <c r="H37" s="52"/>
      <c r="I37" s="52"/>
      <c r="J37" s="52"/>
      <c r="K37" s="52"/>
      <c r="L37" s="52"/>
      <c r="M37" s="52"/>
      <c r="N37" s="52"/>
      <c r="O37" s="52"/>
      <c r="P37" s="52"/>
      <c r="Q37" s="53"/>
      <c r="R37" s="53"/>
      <c r="S37" s="54"/>
      <c r="T37" s="54"/>
      <c r="U37" s="116"/>
    </row>
    <row r="38" spans="2:26" ht="45" hidden="1" customHeight="1" x14ac:dyDescent="0.25">
      <c r="B38" s="51"/>
      <c r="C38" s="55"/>
      <c r="D38" s="52"/>
      <c r="E38" s="52"/>
      <c r="F38" s="52"/>
      <c r="G38" s="52"/>
      <c r="H38" s="52"/>
      <c r="I38" s="52"/>
      <c r="J38" s="52"/>
      <c r="K38" s="52"/>
      <c r="L38" s="52"/>
      <c r="M38" s="52"/>
      <c r="N38" s="52"/>
      <c r="O38" s="52"/>
      <c r="P38" s="52"/>
      <c r="Q38" s="53"/>
      <c r="R38" s="53"/>
      <c r="S38" s="54"/>
      <c r="T38" s="54"/>
      <c r="U38" s="116"/>
    </row>
    <row r="39" spans="2:26" ht="45" hidden="1" customHeight="1" x14ac:dyDescent="0.25">
      <c r="B39" s="51"/>
      <c r="C39" s="55"/>
      <c r="D39" s="52"/>
      <c r="E39" s="52"/>
      <c r="F39" s="52"/>
      <c r="G39" s="52"/>
      <c r="H39" s="52"/>
      <c r="I39" s="52"/>
      <c r="J39" s="52"/>
      <c r="K39" s="52"/>
      <c r="L39" s="52"/>
      <c r="M39" s="52"/>
      <c r="N39" s="52"/>
      <c r="O39" s="52"/>
      <c r="P39" s="52"/>
      <c r="Q39" s="53"/>
      <c r="R39" s="53"/>
      <c r="S39" s="54"/>
      <c r="T39" s="54"/>
      <c r="U39" s="116"/>
    </row>
    <row r="40" spans="2:26" ht="45" hidden="1" customHeight="1" x14ac:dyDescent="0.25">
      <c r="B40" s="51"/>
      <c r="C40" s="55"/>
      <c r="D40" s="52"/>
      <c r="E40" s="52"/>
      <c r="F40" s="52"/>
      <c r="G40" s="52"/>
      <c r="H40" s="52"/>
      <c r="I40" s="52"/>
      <c r="J40" s="52"/>
      <c r="K40" s="52"/>
      <c r="L40" s="52"/>
      <c r="M40" s="52"/>
      <c r="N40" s="52"/>
      <c r="O40" s="52"/>
      <c r="P40" s="52"/>
      <c r="Q40" s="53"/>
      <c r="R40" s="53"/>
      <c r="S40" s="54"/>
      <c r="T40" s="54"/>
      <c r="U40" s="116"/>
    </row>
    <row r="41" spans="2:26" ht="45" hidden="1" customHeight="1" x14ac:dyDescent="0.25">
      <c r="B41" s="51"/>
      <c r="C41" s="55"/>
      <c r="D41" s="52"/>
      <c r="E41" s="52"/>
      <c r="F41" s="52"/>
      <c r="G41" s="52"/>
      <c r="H41" s="52"/>
      <c r="I41" s="52"/>
      <c r="J41" s="52"/>
      <c r="K41" s="52"/>
      <c r="L41" s="52"/>
      <c r="M41" s="52"/>
      <c r="N41" s="52"/>
      <c r="O41" s="52"/>
      <c r="P41" s="52"/>
      <c r="Q41" s="53"/>
      <c r="R41" s="53"/>
      <c r="S41" s="54"/>
      <c r="T41" s="54"/>
      <c r="U41" s="116"/>
    </row>
    <row r="42" spans="2:26" ht="45" hidden="1" customHeight="1" x14ac:dyDescent="0.25">
      <c r="B42" s="51"/>
      <c r="C42" s="55"/>
      <c r="D42" s="52"/>
      <c r="E42" s="52"/>
      <c r="F42" s="52"/>
      <c r="G42" s="52"/>
      <c r="H42" s="52"/>
      <c r="I42" s="52"/>
      <c r="J42" s="52"/>
      <c r="K42" s="52"/>
      <c r="L42" s="52"/>
      <c r="M42" s="52"/>
      <c r="N42" s="52"/>
      <c r="O42" s="52"/>
      <c r="P42" s="52"/>
      <c r="Q42" s="53"/>
      <c r="R42" s="53"/>
      <c r="S42" s="54"/>
      <c r="T42" s="54"/>
      <c r="U42" s="116"/>
    </row>
    <row r="43" spans="2:26" ht="45" hidden="1" customHeight="1" x14ac:dyDescent="0.25">
      <c r="B43" s="51"/>
      <c r="C43" s="55"/>
      <c r="D43" s="52"/>
      <c r="E43" s="52"/>
      <c r="F43" s="52"/>
      <c r="G43" s="52"/>
      <c r="H43" s="52"/>
      <c r="I43" s="52"/>
      <c r="J43" s="52"/>
      <c r="K43" s="52"/>
      <c r="L43" s="52"/>
      <c r="M43" s="52"/>
      <c r="N43" s="52"/>
      <c r="O43" s="52"/>
      <c r="P43" s="52"/>
      <c r="Q43" s="53"/>
      <c r="R43" s="53"/>
      <c r="S43" s="54"/>
      <c r="T43" s="54"/>
      <c r="U43" s="116"/>
    </row>
    <row r="44" spans="2:26" ht="45" hidden="1" customHeight="1" x14ac:dyDescent="0.25">
      <c r="B44" s="51"/>
      <c r="C44" s="57"/>
      <c r="D44" s="52"/>
      <c r="E44" s="52"/>
      <c r="F44" s="52"/>
      <c r="G44" s="52"/>
      <c r="H44" s="52"/>
      <c r="I44" s="52"/>
      <c r="J44" s="52"/>
      <c r="K44" s="52"/>
      <c r="L44" s="52"/>
      <c r="M44" s="52"/>
      <c r="N44" s="52"/>
      <c r="O44" s="52"/>
      <c r="P44" s="52"/>
      <c r="Q44" s="53"/>
      <c r="R44" s="53"/>
      <c r="S44" s="54"/>
      <c r="T44" s="54"/>
      <c r="U44" s="116"/>
    </row>
    <row r="45" spans="2:26" ht="30" customHeight="1" x14ac:dyDescent="0.25">
      <c r="B45" s="174" t="s">
        <v>713</v>
      </c>
      <c r="C45" s="174"/>
      <c r="D45" s="58">
        <f t="shared" ref="D45:Q45" si="5">SUM(D14:D44)</f>
        <v>2400000</v>
      </c>
      <c r="E45" s="58">
        <f t="shared" si="5"/>
        <v>4</v>
      </c>
      <c r="F45" s="58">
        <f>SUM(F14:F44)</f>
        <v>1720000</v>
      </c>
      <c r="G45" s="58">
        <f>SUM(G14:G44)</f>
        <v>1720000</v>
      </c>
      <c r="H45" s="58">
        <f>SUM(H14:H44)</f>
        <v>8</v>
      </c>
      <c r="I45" s="58">
        <f>SUM(I14:I44)</f>
        <v>600000</v>
      </c>
      <c r="J45" s="58">
        <f>SUM(J14:J44)</f>
        <v>1200000</v>
      </c>
      <c r="K45" s="58">
        <f t="shared" ref="K45:N45" si="6">SUM(K14:K44)</f>
        <v>4</v>
      </c>
      <c r="L45" s="58">
        <f t="shared" si="6"/>
        <v>420000</v>
      </c>
      <c r="M45" s="58">
        <f t="shared" si="6"/>
        <v>420000</v>
      </c>
      <c r="N45" s="58">
        <f t="shared" si="6"/>
        <v>2200000</v>
      </c>
      <c r="O45" s="58">
        <f t="shared" ref="O45" si="7">SUM(O14:O44)</f>
        <v>10000000</v>
      </c>
      <c r="P45" s="58"/>
      <c r="Q45" s="58">
        <f t="shared" si="5"/>
        <v>17940000</v>
      </c>
      <c r="R45" s="59"/>
      <c r="S45" s="53"/>
      <c r="T45" s="53"/>
      <c r="U45" s="116"/>
      <c r="V45" s="56"/>
      <c r="Z45" s="60"/>
    </row>
    <row r="46" spans="2:26" s="43" customFormat="1" ht="23.25" customHeight="1" x14ac:dyDescent="0.25">
      <c r="B46" s="165" t="s">
        <v>686</v>
      </c>
      <c r="C46" s="165"/>
      <c r="D46" s="166"/>
      <c r="E46" s="166"/>
      <c r="F46" s="166"/>
      <c r="G46" s="166"/>
      <c r="H46" s="166"/>
      <c r="I46" s="166"/>
      <c r="J46" s="166"/>
      <c r="K46" s="166"/>
      <c r="L46" s="166"/>
      <c r="M46" s="166"/>
      <c r="N46" s="166"/>
      <c r="O46" s="166"/>
      <c r="P46" s="166"/>
      <c r="Q46" s="166"/>
      <c r="R46" s="166"/>
      <c r="S46" s="166"/>
      <c r="T46" s="167"/>
      <c r="U46" s="117"/>
      <c r="X46" s="61"/>
    </row>
    <row r="47" spans="2:26" ht="14.1" customHeight="1" x14ac:dyDescent="0.25"/>
    <row r="48" spans="2:26" ht="15.4" customHeight="1" x14ac:dyDescent="0.25">
      <c r="S48" s="40" t="s">
        <v>702</v>
      </c>
    </row>
    <row r="49" spans="2:19" ht="15.4" customHeight="1" x14ac:dyDescent="0.25">
      <c r="B49" s="8" t="s">
        <v>690</v>
      </c>
      <c r="C49" s="8"/>
      <c r="D49" s="62"/>
      <c r="G49" s="63"/>
      <c r="J49" s="63"/>
      <c r="M49" s="63"/>
      <c r="N49" s="62"/>
      <c r="O49" s="62"/>
      <c r="P49" s="62"/>
      <c r="S49" s="42" t="s">
        <v>691</v>
      </c>
    </row>
    <row r="50" spans="2:19" ht="15.4" customHeight="1" x14ac:dyDescent="0.25">
      <c r="B50" s="8" t="s">
        <v>692</v>
      </c>
      <c r="C50" s="8"/>
      <c r="D50" s="62"/>
      <c r="G50" s="63"/>
      <c r="J50" s="63"/>
      <c r="M50" s="63"/>
      <c r="N50" s="62"/>
      <c r="O50" s="62"/>
      <c r="P50" s="62"/>
      <c r="S50" s="42" t="s">
        <v>693</v>
      </c>
    </row>
    <row r="51" spans="2:19" ht="14.1" customHeight="1" x14ac:dyDescent="0.25">
      <c r="B51" s="8" t="s">
        <v>694</v>
      </c>
      <c r="C51" s="8"/>
      <c r="D51" s="62"/>
      <c r="G51" s="63"/>
      <c r="J51" s="63"/>
      <c r="M51" s="63"/>
      <c r="N51" s="62"/>
      <c r="O51" s="62"/>
      <c r="P51" s="62"/>
      <c r="S51" s="42"/>
    </row>
    <row r="52" spans="2:19" ht="14.1" customHeight="1" x14ac:dyDescent="0.25">
      <c r="B52" s="8"/>
      <c r="C52" s="8"/>
      <c r="D52" s="62"/>
      <c r="G52" s="63"/>
      <c r="J52" s="63"/>
      <c r="M52" s="63"/>
      <c r="N52" s="62"/>
      <c r="O52" s="62"/>
      <c r="P52" s="62"/>
      <c r="S52" s="42"/>
    </row>
    <row r="53" spans="2:19" ht="14.1" customHeight="1" x14ac:dyDescent="0.25">
      <c r="B53" s="8"/>
      <c r="C53" s="8"/>
      <c r="D53" s="62"/>
      <c r="G53" s="63"/>
      <c r="J53" s="63"/>
      <c r="M53" s="63"/>
      <c r="N53" s="62"/>
      <c r="O53" s="62"/>
      <c r="P53" s="62"/>
      <c r="S53" s="42"/>
    </row>
    <row r="54" spans="2:19" ht="14.1" customHeight="1" x14ac:dyDescent="0.25">
      <c r="B54" s="8"/>
      <c r="C54" s="8"/>
      <c r="D54" s="62"/>
      <c r="G54" s="63"/>
      <c r="J54" s="63"/>
      <c r="M54" s="63"/>
      <c r="N54" s="62"/>
      <c r="O54" s="62"/>
      <c r="P54" s="62"/>
      <c r="S54" s="42"/>
    </row>
    <row r="55" spans="2:19" ht="15" customHeight="1" x14ac:dyDescent="0.25">
      <c r="B55" s="44" t="s">
        <v>56</v>
      </c>
      <c r="C55" s="8"/>
      <c r="D55" s="45"/>
      <c r="G55" s="64"/>
      <c r="J55" s="64"/>
      <c r="M55" s="64"/>
      <c r="N55" s="45"/>
      <c r="O55" s="45"/>
      <c r="P55" s="45"/>
      <c r="S55" s="45" t="s">
        <v>77</v>
      </c>
    </row>
    <row r="56" spans="2:19" ht="15" customHeight="1" x14ac:dyDescent="0.25">
      <c r="B56" s="44" t="s">
        <v>695</v>
      </c>
      <c r="C56" s="8"/>
      <c r="D56" s="14"/>
      <c r="G56" s="65"/>
      <c r="J56" s="65"/>
      <c r="M56" s="65"/>
      <c r="N56" s="14"/>
      <c r="O56" s="14"/>
      <c r="P56" s="14"/>
      <c r="S56" s="14" t="s">
        <v>696</v>
      </c>
    </row>
    <row r="57" spans="2:19" ht="14.1" customHeight="1" x14ac:dyDescent="0.25">
      <c r="D57" s="66"/>
      <c r="E57" s="66"/>
      <c r="F57" s="66"/>
      <c r="G57" s="66"/>
      <c r="H57" s="66"/>
      <c r="I57" s="66"/>
      <c r="J57" s="66"/>
      <c r="K57" s="66"/>
      <c r="L57" s="66"/>
      <c r="M57" s="66"/>
      <c r="N57" s="66"/>
      <c r="O57" s="66"/>
      <c r="P57" s="66"/>
    </row>
    <row r="61" spans="2:19" ht="14.1" customHeight="1" x14ac:dyDescent="0.25">
      <c r="D61" s="67"/>
      <c r="E61" s="67"/>
      <c r="F61" s="67"/>
      <c r="G61" s="67"/>
      <c r="H61" s="67"/>
      <c r="I61" s="67"/>
      <c r="J61" s="67"/>
      <c r="K61" s="67"/>
      <c r="L61" s="67"/>
      <c r="M61" s="67"/>
      <c r="N61" s="67"/>
      <c r="O61" s="67"/>
      <c r="P61" s="67"/>
    </row>
    <row r="62" spans="2:19" ht="14.1" customHeight="1" x14ac:dyDescent="0.25">
      <c r="D62" s="67"/>
      <c r="E62" s="67"/>
      <c r="F62" s="67"/>
      <c r="G62" s="67"/>
      <c r="H62" s="67"/>
      <c r="I62" s="67"/>
      <c r="J62" s="67"/>
      <c r="K62" s="67"/>
      <c r="L62" s="67"/>
      <c r="M62" s="67"/>
      <c r="N62" s="67"/>
      <c r="O62" s="67"/>
      <c r="P62" s="67"/>
    </row>
    <row r="63" spans="2:19" ht="14.1" customHeight="1" x14ac:dyDescent="0.25">
      <c r="D63" s="67"/>
      <c r="E63" s="67"/>
      <c r="F63" s="67"/>
      <c r="G63" s="67"/>
      <c r="H63" s="67"/>
      <c r="I63" s="67"/>
      <c r="J63" s="67"/>
      <c r="K63" s="67"/>
      <c r="L63" s="67"/>
      <c r="M63" s="67"/>
      <c r="N63" s="67"/>
      <c r="O63" s="67"/>
      <c r="P63" s="67"/>
    </row>
    <row r="64" spans="2:19" ht="14.1" customHeight="1" x14ac:dyDescent="0.25">
      <c r="D64" s="67"/>
      <c r="E64" s="67"/>
      <c r="F64" s="67"/>
      <c r="G64" s="67"/>
      <c r="H64" s="67"/>
      <c r="I64" s="67"/>
      <c r="J64" s="67"/>
      <c r="K64" s="67"/>
      <c r="L64" s="67"/>
      <c r="M64" s="67"/>
      <c r="N64" s="67"/>
      <c r="O64" s="67"/>
      <c r="P64" s="67"/>
    </row>
    <row r="65" spans="4:16" ht="14.1" customHeight="1" x14ac:dyDescent="0.25">
      <c r="D65" s="67"/>
      <c r="E65" s="67"/>
      <c r="F65" s="67"/>
      <c r="G65" s="67"/>
      <c r="H65" s="67"/>
      <c r="I65" s="67"/>
      <c r="J65" s="67"/>
      <c r="K65" s="67"/>
      <c r="L65" s="67"/>
      <c r="M65" s="67"/>
      <c r="N65" s="67"/>
      <c r="O65" s="67"/>
      <c r="P65" s="67"/>
    </row>
  </sheetData>
  <autoFilter ref="D13:F46" xr:uid="{00000000-0009-0000-0000-000004000000}"/>
  <mergeCells count="21">
    <mergeCell ref="B5:T5"/>
    <mergeCell ref="B6:T6"/>
    <mergeCell ref="B7:T7"/>
    <mergeCell ref="B8:T8"/>
    <mergeCell ref="B45:C45"/>
    <mergeCell ref="U11:U12"/>
    <mergeCell ref="S11:S12"/>
    <mergeCell ref="T11:T12"/>
    <mergeCell ref="B46:C46"/>
    <mergeCell ref="D46:T46"/>
    <mergeCell ref="Q11:Q12"/>
    <mergeCell ref="R11:R12"/>
    <mergeCell ref="B11:B12"/>
    <mergeCell ref="C11:C12"/>
    <mergeCell ref="D11:D12"/>
    <mergeCell ref="E11:G11"/>
    <mergeCell ref="H11:J11"/>
    <mergeCell ref="K11:M11"/>
    <mergeCell ref="N11:N12"/>
    <mergeCell ref="O11:O12"/>
    <mergeCell ref="P11:P12"/>
  </mergeCells>
  <conditionalFormatting sqref="C26:C27">
    <cfRule type="duplicateValues" dxfId="12" priority="42"/>
  </conditionalFormatting>
  <conditionalFormatting sqref="C28:C29 C31:C43 C14:C17 C20:C25">
    <cfRule type="duplicateValues" dxfId="11" priority="44"/>
  </conditionalFormatting>
  <conditionalFormatting sqref="C30">
    <cfRule type="duplicateValues" dxfId="10" priority="43"/>
  </conditionalFormatting>
  <pageMargins left="0.39370078740157483" right="0.39370078740157483" top="0.47244094488188981" bottom="0.70866141732283472" header="0.31496062992125984" footer="0.31496062992125984"/>
  <pageSetup scale="32" fitToHeight="0" orientation="portrait" useFirstPageNumber="1" horizontalDpi="360" verticalDpi="360" r:id="rId1"/>
  <rowBreaks count="1" manualBreakCount="1">
    <brk id="39" min="1" max="14" man="1"/>
  </rowBreaks>
  <extLst>
    <ext xmlns:x14="http://schemas.microsoft.com/office/spreadsheetml/2009/9/main" uri="{CCE6A557-97BC-4b89-ADB6-D9C93CAAB3DF}">
      <x14:dataValidations xmlns:xm="http://schemas.microsoft.com/office/excel/2006/main" count="1">
        <x14:dataValidation type="list" allowBlank="1" showInputMessage="1" showErrorMessage="1" xr:uid="{30FA5D82-FCAE-4699-AFEE-8D3790928BD1}">
          <x14:formula1>
            <xm:f>'Ref Pegawai'!$B$2:$B$123</xm:f>
          </x14:formula1>
          <xm:sqref>C14:C17 C20:C25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D0B44-5A66-4646-8A96-FAFDFA52D8C6}">
  <sheetPr>
    <tabColor rgb="FF00B0F0"/>
    <pageSetUpPr fitToPage="1"/>
  </sheetPr>
  <dimension ref="B1:X64"/>
  <sheetViews>
    <sheetView view="pageBreakPreview" zoomScale="85" zoomScaleNormal="85" zoomScaleSheetLayoutView="85" workbookViewId="0">
      <pane xSplit="3" ySplit="13" topLeftCell="D14" activePane="bottomRight" state="frozen"/>
      <selection pane="topRight" activeCell="E1" sqref="E1"/>
      <selection pane="bottomLeft" activeCell="A13" sqref="A13"/>
      <selection pane="bottomRight" activeCell="C18" sqref="C18"/>
    </sheetView>
  </sheetViews>
  <sheetFormatPr defaultColWidth="9.125" defaultRowHeight="13.9" customHeight="1" x14ac:dyDescent="0.25"/>
  <cols>
    <col min="1" max="1" width="2.125" style="47" customWidth="1"/>
    <col min="2" max="2" width="5.25" style="47" customWidth="1"/>
    <col min="3" max="3" width="28.125" style="47" customWidth="1"/>
    <col min="4" max="4" width="14.125" style="47" customWidth="1"/>
    <col min="5" max="5" width="7.375" style="47" customWidth="1"/>
    <col min="6" max="6" width="10" style="47" customWidth="1"/>
    <col min="7" max="7" width="14.125" style="47" customWidth="1"/>
    <col min="8" max="8" width="7.375" style="47" customWidth="1"/>
    <col min="9" max="9" width="10" style="47" customWidth="1"/>
    <col min="10" max="10" width="14.125" style="47" customWidth="1"/>
    <col min="11" max="11" width="7.375" style="47" customWidth="1"/>
    <col min="12" max="12" width="10" style="47" customWidth="1"/>
    <col min="13" max="14" width="14.125" style="47" customWidth="1"/>
    <col min="15" max="15" width="15" style="47" customWidth="1"/>
    <col min="16" max="16" width="25.25" style="47" customWidth="1"/>
    <col min="17" max="17" width="18.75" style="47" customWidth="1"/>
    <col min="18" max="18" width="15.125" style="47" customWidth="1"/>
    <col min="19" max="19" width="22.5" style="47" customWidth="1"/>
    <col min="20" max="20" width="11.625" style="47" customWidth="1"/>
    <col min="21" max="21" width="10.25" style="47" customWidth="1"/>
    <col min="22" max="22" width="10.625" style="56" customWidth="1"/>
    <col min="23" max="23" width="9.125" style="47" customWidth="1"/>
    <col min="24" max="16384" width="9.125" style="47"/>
  </cols>
  <sheetData>
    <row r="1" spans="2:19" ht="18" customHeight="1" x14ac:dyDescent="0.25">
      <c r="B1" s="46" t="s">
        <v>655</v>
      </c>
    </row>
    <row r="2" spans="2:19" ht="18" customHeight="1" x14ac:dyDescent="0.25">
      <c r="B2" s="9" t="s">
        <v>707</v>
      </c>
    </row>
    <row r="3" spans="2:19" ht="18" customHeight="1" x14ac:dyDescent="0.25">
      <c r="B3" s="12" t="s">
        <v>714</v>
      </c>
      <c r="C3" s="48"/>
      <c r="D3" s="48"/>
      <c r="E3" s="48"/>
      <c r="F3" s="48"/>
      <c r="G3" s="48"/>
      <c r="H3" s="48"/>
      <c r="I3" s="48"/>
      <c r="J3" s="48"/>
      <c r="K3" s="48"/>
      <c r="L3" s="48"/>
      <c r="M3" s="48"/>
      <c r="N3" s="48"/>
    </row>
    <row r="4" spans="2:19" ht="18" customHeight="1" x14ac:dyDescent="0.25">
      <c r="O4" s="46"/>
      <c r="P4" s="46"/>
      <c r="Q4" s="46"/>
    </row>
    <row r="5" spans="2:19" ht="18" customHeight="1" x14ac:dyDescent="0.25">
      <c r="B5" s="173" t="s">
        <v>841</v>
      </c>
      <c r="C5" s="173"/>
      <c r="D5" s="173"/>
      <c r="E5" s="173"/>
      <c r="F5" s="173"/>
      <c r="G5" s="173"/>
      <c r="H5" s="173"/>
      <c r="I5" s="173"/>
      <c r="J5" s="173"/>
      <c r="K5" s="173"/>
      <c r="L5" s="173"/>
      <c r="M5" s="173"/>
      <c r="N5" s="173"/>
      <c r="O5" s="173"/>
      <c r="P5" s="173"/>
      <c r="Q5" s="173"/>
      <c r="R5" s="173"/>
    </row>
    <row r="6" spans="2:19" ht="18" customHeight="1" x14ac:dyDescent="0.25">
      <c r="B6" s="173" t="s">
        <v>698</v>
      </c>
      <c r="C6" s="173"/>
      <c r="D6" s="173"/>
      <c r="E6" s="173"/>
      <c r="F6" s="173"/>
      <c r="G6" s="173"/>
      <c r="H6" s="173"/>
      <c r="I6" s="173"/>
      <c r="J6" s="173"/>
      <c r="K6" s="173"/>
      <c r="L6" s="173"/>
      <c r="M6" s="173"/>
      <c r="N6" s="173"/>
      <c r="O6" s="173"/>
      <c r="P6" s="173"/>
      <c r="Q6" s="173"/>
      <c r="R6" s="173"/>
    </row>
    <row r="7" spans="2:19" ht="18" customHeight="1" x14ac:dyDescent="0.25">
      <c r="B7" s="173" t="s">
        <v>708</v>
      </c>
      <c r="C7" s="173"/>
      <c r="D7" s="173"/>
      <c r="E7" s="173"/>
      <c r="F7" s="173"/>
      <c r="G7" s="173"/>
      <c r="H7" s="173"/>
      <c r="I7" s="173"/>
      <c r="J7" s="173"/>
      <c r="K7" s="173"/>
      <c r="L7" s="173"/>
      <c r="M7" s="173"/>
      <c r="N7" s="173"/>
      <c r="O7" s="173"/>
      <c r="P7" s="173"/>
      <c r="Q7" s="173"/>
      <c r="R7" s="173"/>
    </row>
    <row r="8" spans="2:19" ht="18" customHeight="1" x14ac:dyDescent="0.25">
      <c r="B8" s="173" t="s">
        <v>699</v>
      </c>
      <c r="C8" s="173"/>
      <c r="D8" s="173"/>
      <c r="E8" s="173"/>
      <c r="F8" s="173"/>
      <c r="G8" s="173"/>
      <c r="H8" s="173"/>
      <c r="I8" s="173"/>
      <c r="J8" s="173"/>
      <c r="K8" s="173"/>
      <c r="L8" s="173"/>
      <c r="M8" s="173"/>
      <c r="N8" s="173"/>
      <c r="O8" s="173"/>
      <c r="P8" s="173"/>
      <c r="Q8" s="173"/>
      <c r="R8" s="173"/>
    </row>
    <row r="9" spans="2:19" ht="18" customHeight="1" x14ac:dyDescent="0.3">
      <c r="B9" s="126" t="s">
        <v>946</v>
      </c>
      <c r="C9"/>
      <c r="D9"/>
      <c r="E9"/>
      <c r="F9"/>
      <c r="G9"/>
      <c r="H9"/>
      <c r="I9"/>
      <c r="J9"/>
      <c r="K9"/>
      <c r="L9"/>
      <c r="M9"/>
      <c r="N9"/>
      <c r="O9"/>
      <c r="P9"/>
      <c r="Q9"/>
    </row>
    <row r="10" spans="2:19" ht="18" customHeight="1" x14ac:dyDescent="0.25">
      <c r="B10"/>
      <c r="C10"/>
      <c r="D10"/>
      <c r="E10" s="131"/>
      <c r="F10" s="131"/>
      <c r="G10" s="131"/>
      <c r="H10" s="131"/>
      <c r="I10" s="131"/>
      <c r="J10" s="131"/>
      <c r="K10" s="131"/>
      <c r="L10" s="131"/>
      <c r="M10" s="131"/>
      <c r="N10"/>
      <c r="O10" s="131"/>
      <c r="P10"/>
      <c r="Q10"/>
    </row>
    <row r="11" spans="2:19" ht="18" customHeight="1" x14ac:dyDescent="0.25">
      <c r="B11" s="169" t="s">
        <v>709</v>
      </c>
      <c r="C11" s="169" t="s">
        <v>659</v>
      </c>
      <c r="D11" s="163" t="s">
        <v>711</v>
      </c>
      <c r="E11" s="170" t="s">
        <v>842</v>
      </c>
      <c r="F11" s="171"/>
      <c r="G11" s="172"/>
      <c r="H11" s="170" t="s">
        <v>844</v>
      </c>
      <c r="I11" s="171"/>
      <c r="J11" s="172"/>
      <c r="K11" s="170" t="s">
        <v>845</v>
      </c>
      <c r="L11" s="171"/>
      <c r="M11" s="172"/>
      <c r="N11" s="163" t="s">
        <v>949</v>
      </c>
      <c r="O11" s="168" t="s">
        <v>712</v>
      </c>
      <c r="P11" s="163" t="s">
        <v>667</v>
      </c>
      <c r="Q11" s="163" t="s">
        <v>668</v>
      </c>
      <c r="R11" s="163" t="s">
        <v>9</v>
      </c>
      <c r="S11" s="157" t="s">
        <v>787</v>
      </c>
    </row>
    <row r="12" spans="2:19" ht="36.75" customHeight="1" x14ac:dyDescent="0.25">
      <c r="B12" s="169"/>
      <c r="C12" s="169"/>
      <c r="D12" s="163"/>
      <c r="E12" s="122" t="s">
        <v>710</v>
      </c>
      <c r="F12" s="122" t="s">
        <v>843</v>
      </c>
      <c r="G12" s="122" t="s">
        <v>685</v>
      </c>
      <c r="H12" s="122" t="s">
        <v>710</v>
      </c>
      <c r="I12" s="122" t="s">
        <v>843</v>
      </c>
      <c r="J12" s="122" t="s">
        <v>685</v>
      </c>
      <c r="K12" s="122" t="s">
        <v>710</v>
      </c>
      <c r="L12" s="122" t="s">
        <v>843</v>
      </c>
      <c r="M12" s="122" t="s">
        <v>685</v>
      </c>
      <c r="N12" s="164"/>
      <c r="O12" s="163"/>
      <c r="P12" s="164"/>
      <c r="Q12" s="164"/>
      <c r="R12" s="164"/>
      <c r="S12" s="157"/>
    </row>
    <row r="13" spans="2:19" ht="15.75" customHeight="1" x14ac:dyDescent="0.25">
      <c r="B13" s="49" t="s">
        <v>674</v>
      </c>
      <c r="C13" s="49" t="s">
        <v>675</v>
      </c>
      <c r="D13" s="50" t="s">
        <v>676</v>
      </c>
      <c r="E13" s="50" t="s">
        <v>677</v>
      </c>
      <c r="F13" s="50" t="s">
        <v>678</v>
      </c>
      <c r="G13" s="50" t="s">
        <v>846</v>
      </c>
      <c r="H13" s="50" t="s">
        <v>680</v>
      </c>
      <c r="I13" s="50" t="s">
        <v>847</v>
      </c>
      <c r="J13" s="50" t="s">
        <v>848</v>
      </c>
      <c r="K13" s="50" t="s">
        <v>701</v>
      </c>
      <c r="L13" s="50" t="s">
        <v>682</v>
      </c>
      <c r="M13" s="50" t="s">
        <v>849</v>
      </c>
      <c r="N13" s="50"/>
      <c r="O13" s="49" t="s">
        <v>850</v>
      </c>
      <c r="P13" s="49" t="s">
        <v>683</v>
      </c>
      <c r="Q13" s="49" t="s">
        <v>684</v>
      </c>
      <c r="R13" s="49" t="s">
        <v>788</v>
      </c>
      <c r="S13" s="21" t="s">
        <v>851</v>
      </c>
    </row>
    <row r="14" spans="2:19" ht="45" customHeight="1" x14ac:dyDescent="0.25">
      <c r="B14" s="51">
        <v>1</v>
      </c>
      <c r="C14" s="23" t="s">
        <v>166</v>
      </c>
      <c r="D14" s="52">
        <v>600000</v>
      </c>
      <c r="E14" s="52">
        <v>1</v>
      </c>
      <c r="F14" s="52">
        <v>430000</v>
      </c>
      <c r="G14" s="52">
        <f>E14*F14</f>
        <v>430000</v>
      </c>
      <c r="H14" s="52">
        <v>2</v>
      </c>
      <c r="I14" s="52">
        <v>150000</v>
      </c>
      <c r="J14" s="52">
        <f>H14*I14</f>
        <v>300000</v>
      </c>
      <c r="K14" s="52">
        <v>1</v>
      </c>
      <c r="L14" s="52">
        <v>105000</v>
      </c>
      <c r="M14" s="52">
        <f>K14*L14</f>
        <v>105000</v>
      </c>
      <c r="N14" s="52"/>
      <c r="O14" s="53">
        <f>D14+G14+J14+M14+N14</f>
        <v>1435000</v>
      </c>
      <c r="P14" s="53" t="str">
        <f>PROPER(VLOOKUP(C14,'Ref Pegawai'!$B$2:$J$123,8,FALSE))</f>
        <v>0172856645</v>
      </c>
      <c r="Q14" s="53" t="str">
        <f>PROPER(VLOOKUP(C14,'Ref Pegawai'!$B$2:$J$123,8,FALSE))</f>
        <v>0172856645</v>
      </c>
      <c r="R14" s="53" t="str">
        <f>PROPER(VLOOKUP(C14,'Ref Pegawai'!$B$2:$J$123,9,FALSE))</f>
        <v>Bni</v>
      </c>
      <c r="S14" s="118" t="str">
        <f>VLOOKUP(C14,'Ref Pegawai'!$B$2:$L$123,11,FALSE)</f>
        <v>noviyanto26@gmail.com</v>
      </c>
    </row>
    <row r="15" spans="2:19" ht="38.25" customHeight="1" x14ac:dyDescent="0.25">
      <c r="B15" s="51">
        <f t="shared" ref="B15:B19" si="0">B14+1</f>
        <v>2</v>
      </c>
      <c r="C15" s="23" t="s">
        <v>282</v>
      </c>
      <c r="D15" s="52">
        <v>600000</v>
      </c>
      <c r="E15" s="52">
        <v>1</v>
      </c>
      <c r="F15" s="52">
        <v>430000</v>
      </c>
      <c r="G15" s="52">
        <f t="shared" ref="G15:G17" si="1">E15*F15</f>
        <v>430000</v>
      </c>
      <c r="H15" s="52">
        <v>2</v>
      </c>
      <c r="I15" s="52">
        <v>150000</v>
      </c>
      <c r="J15" s="52">
        <f t="shared" ref="J15:J17" si="2">H15*I15</f>
        <v>300000</v>
      </c>
      <c r="K15" s="52">
        <v>1</v>
      </c>
      <c r="L15" s="52">
        <v>105000</v>
      </c>
      <c r="M15" s="52">
        <f t="shared" ref="M15:M17" si="3">K15*L15</f>
        <v>105000</v>
      </c>
      <c r="N15" s="52"/>
      <c r="O15" s="53">
        <f t="shared" ref="O15:O17" si="4">D15+G15+J15+M15+N15</f>
        <v>1435000</v>
      </c>
      <c r="P15" s="53" t="str">
        <f>PROPER(VLOOKUP(C15,'Ref Pegawai'!$B$2:$J$123,8,FALSE))</f>
        <v>0221963721</v>
      </c>
      <c r="Q15" s="53" t="str">
        <f>PROPER(VLOOKUP(C15,'Ref Pegawai'!$B$2:$J$123,8,FALSE))</f>
        <v>0221963721</v>
      </c>
      <c r="R15" s="53" t="str">
        <f>PROPER(VLOOKUP(C15,'Ref Pegawai'!$B$2:$J$123,9,FALSE))</f>
        <v>Bni</v>
      </c>
      <c r="S15" s="118" t="str">
        <f>VLOOKUP(C15,'Ref Pegawai'!$B$2:$L$123,11,FALSE)</f>
        <v>taufan.prast@gmail.com</v>
      </c>
    </row>
    <row r="16" spans="2:19" ht="45" customHeight="1" x14ac:dyDescent="0.25">
      <c r="B16" s="51">
        <f t="shared" si="0"/>
        <v>3</v>
      </c>
      <c r="C16" s="23" t="s">
        <v>30</v>
      </c>
      <c r="D16" s="52">
        <v>600000</v>
      </c>
      <c r="E16" s="52">
        <v>1</v>
      </c>
      <c r="F16" s="52">
        <v>430000</v>
      </c>
      <c r="G16" s="52">
        <f t="shared" si="1"/>
        <v>430000</v>
      </c>
      <c r="H16" s="52">
        <v>2</v>
      </c>
      <c r="I16" s="52">
        <v>150000</v>
      </c>
      <c r="J16" s="52">
        <f t="shared" si="2"/>
        <v>300000</v>
      </c>
      <c r="K16" s="52">
        <v>1</v>
      </c>
      <c r="L16" s="52">
        <v>105000</v>
      </c>
      <c r="M16" s="52">
        <f t="shared" si="3"/>
        <v>105000</v>
      </c>
      <c r="N16" s="52"/>
      <c r="O16" s="53">
        <f t="shared" si="4"/>
        <v>1435000</v>
      </c>
      <c r="P16" s="53" t="str">
        <f>PROPER(VLOOKUP(C16,'Ref Pegawai'!$B$2:$J$123,8,FALSE))</f>
        <v>0397880661</v>
      </c>
      <c r="Q16" s="53" t="str">
        <f>PROPER(VLOOKUP(C16,'Ref Pegawai'!$B$2:$J$123,8,FALSE))</f>
        <v>0397880661</v>
      </c>
      <c r="R16" s="53" t="str">
        <f>PROPER(VLOOKUP(C16,'Ref Pegawai'!$B$2:$J$123,9,FALSE))</f>
        <v>Bni</v>
      </c>
      <c r="S16" s="118" t="str">
        <f>VLOOKUP(C16,'Ref Pegawai'!$B$2:$L$123,11,FALSE)</f>
        <v>endragu@gmail.com</v>
      </c>
    </row>
    <row r="17" spans="2:19" ht="45" customHeight="1" x14ac:dyDescent="0.25">
      <c r="B17" s="51">
        <f t="shared" si="0"/>
        <v>4</v>
      </c>
      <c r="C17" s="23" t="s">
        <v>145</v>
      </c>
      <c r="D17" s="52">
        <v>600000</v>
      </c>
      <c r="E17" s="52">
        <v>1</v>
      </c>
      <c r="F17" s="52">
        <v>430000</v>
      </c>
      <c r="G17" s="52">
        <f t="shared" si="1"/>
        <v>430000</v>
      </c>
      <c r="H17" s="52">
        <v>2</v>
      </c>
      <c r="I17" s="52">
        <v>150000</v>
      </c>
      <c r="J17" s="52">
        <f t="shared" si="2"/>
        <v>300000</v>
      </c>
      <c r="K17" s="52">
        <v>1</v>
      </c>
      <c r="L17" s="52">
        <v>105000</v>
      </c>
      <c r="M17" s="52">
        <f t="shared" si="3"/>
        <v>105000</v>
      </c>
      <c r="N17" s="52"/>
      <c r="O17" s="53">
        <f t="shared" si="4"/>
        <v>1435000</v>
      </c>
      <c r="P17" s="53" t="str">
        <f>PROPER(VLOOKUP(C17,'Ref Pegawai'!$B$2:$J$123,8,FALSE))</f>
        <v>0172361108</v>
      </c>
      <c r="Q17" s="53" t="str">
        <f>PROPER(VLOOKUP(C17,'Ref Pegawai'!$B$2:$J$123,8,FALSE))</f>
        <v>0172361108</v>
      </c>
      <c r="R17" s="53" t="str">
        <f>PROPER(VLOOKUP(C17,'Ref Pegawai'!$B$2:$J$123,9,FALSE))</f>
        <v>Bni</v>
      </c>
      <c r="S17" s="118" t="str">
        <f>VLOOKUP(C17,'Ref Pegawai'!$B$2:$L$123,11,FALSE)</f>
        <v>lukman_pdgd@yahoo.com</v>
      </c>
    </row>
    <row r="18" spans="2:19" ht="45" customHeight="1" x14ac:dyDescent="0.25">
      <c r="B18" s="51">
        <f t="shared" si="0"/>
        <v>5</v>
      </c>
      <c r="C18" s="52"/>
      <c r="D18" s="52"/>
      <c r="E18" s="52"/>
      <c r="F18" s="52"/>
      <c r="G18" s="52"/>
      <c r="H18" s="52"/>
      <c r="I18" s="52"/>
      <c r="J18" s="52"/>
      <c r="K18" s="52"/>
      <c r="L18" s="52"/>
      <c r="M18" s="52"/>
      <c r="N18" s="52"/>
      <c r="O18" s="53"/>
      <c r="P18" s="53"/>
      <c r="Q18" s="53"/>
      <c r="R18" s="53"/>
      <c r="S18" s="118"/>
    </row>
    <row r="19" spans="2:19" ht="45" customHeight="1" x14ac:dyDescent="0.25">
      <c r="B19" s="51">
        <f t="shared" si="0"/>
        <v>6</v>
      </c>
      <c r="C19" s="23"/>
      <c r="D19" s="52"/>
      <c r="E19" s="52"/>
      <c r="F19" s="52"/>
      <c r="G19" s="52"/>
      <c r="H19" s="52"/>
      <c r="I19" s="52"/>
      <c r="J19" s="52"/>
      <c r="K19" s="52"/>
      <c r="L19" s="52"/>
      <c r="M19" s="52"/>
      <c r="N19" s="52"/>
      <c r="O19" s="53"/>
      <c r="P19" s="53"/>
      <c r="Q19" s="53"/>
      <c r="R19" s="53"/>
      <c r="S19" s="118"/>
    </row>
    <row r="20" spans="2:19" ht="45" hidden="1" customHeight="1" x14ac:dyDescent="0.25">
      <c r="B20" s="51"/>
      <c r="C20" s="23"/>
      <c r="D20" s="52"/>
      <c r="E20" s="52"/>
      <c r="F20" s="52"/>
      <c r="G20" s="52"/>
      <c r="H20" s="52"/>
      <c r="I20" s="52"/>
      <c r="J20" s="52"/>
      <c r="K20" s="52"/>
      <c r="L20" s="52"/>
      <c r="M20" s="52"/>
      <c r="N20" s="52"/>
      <c r="O20" s="53"/>
      <c r="P20" s="53"/>
      <c r="Q20" s="54"/>
      <c r="R20" s="54"/>
      <c r="S20" s="116"/>
    </row>
    <row r="21" spans="2:19" ht="45" hidden="1" customHeight="1" x14ac:dyDescent="0.25">
      <c r="B21" s="51"/>
      <c r="C21" s="23"/>
      <c r="D21" s="52"/>
      <c r="E21" s="52"/>
      <c r="F21" s="52"/>
      <c r="G21" s="52"/>
      <c r="H21" s="52"/>
      <c r="I21" s="52"/>
      <c r="J21" s="52"/>
      <c r="K21" s="52"/>
      <c r="L21" s="52"/>
      <c r="M21" s="52"/>
      <c r="N21" s="52"/>
      <c r="O21" s="53"/>
      <c r="P21" s="53"/>
      <c r="Q21" s="54"/>
      <c r="R21" s="54"/>
      <c r="S21" s="116"/>
    </row>
    <row r="22" spans="2:19" ht="45" hidden="1" customHeight="1" x14ac:dyDescent="0.25">
      <c r="B22" s="51"/>
      <c r="C22" s="23"/>
      <c r="D22" s="52"/>
      <c r="E22" s="52"/>
      <c r="F22" s="52"/>
      <c r="G22" s="52"/>
      <c r="H22" s="52"/>
      <c r="I22" s="52"/>
      <c r="J22" s="52"/>
      <c r="K22" s="52"/>
      <c r="L22" s="52"/>
      <c r="M22" s="52"/>
      <c r="N22" s="52"/>
      <c r="O22" s="53"/>
      <c r="P22" s="53"/>
      <c r="Q22" s="54"/>
      <c r="R22" s="54"/>
      <c r="S22" s="116"/>
    </row>
    <row r="23" spans="2:19" ht="45" hidden="1" customHeight="1" x14ac:dyDescent="0.25">
      <c r="B23" s="51"/>
      <c r="C23" s="23"/>
      <c r="D23" s="52"/>
      <c r="E23" s="52"/>
      <c r="F23" s="52"/>
      <c r="G23" s="52"/>
      <c r="H23" s="52"/>
      <c r="I23" s="52"/>
      <c r="J23" s="52"/>
      <c r="K23" s="52"/>
      <c r="L23" s="52"/>
      <c r="M23" s="52"/>
      <c r="N23" s="52"/>
      <c r="O23" s="53"/>
      <c r="P23" s="53"/>
      <c r="Q23" s="54"/>
      <c r="R23" s="54"/>
      <c r="S23" s="116"/>
    </row>
    <row r="24" spans="2:19" ht="45" hidden="1" customHeight="1" x14ac:dyDescent="0.25">
      <c r="B24" s="51"/>
      <c r="C24" s="23"/>
      <c r="D24" s="52"/>
      <c r="E24" s="52"/>
      <c r="F24" s="52"/>
      <c r="G24" s="52"/>
      <c r="H24" s="52"/>
      <c r="I24" s="52"/>
      <c r="J24" s="52"/>
      <c r="K24" s="52"/>
      <c r="L24" s="52"/>
      <c r="M24" s="52"/>
      <c r="N24" s="52"/>
      <c r="O24" s="53"/>
      <c r="P24" s="53"/>
      <c r="Q24" s="54"/>
      <c r="R24" s="54"/>
      <c r="S24" s="116"/>
    </row>
    <row r="25" spans="2:19" ht="45" hidden="1" customHeight="1" x14ac:dyDescent="0.25">
      <c r="B25" s="51"/>
      <c r="C25" s="24"/>
      <c r="D25" s="52"/>
      <c r="E25" s="52"/>
      <c r="F25" s="52"/>
      <c r="G25" s="52"/>
      <c r="H25" s="52"/>
      <c r="I25" s="52"/>
      <c r="J25" s="52"/>
      <c r="K25" s="52"/>
      <c r="L25" s="52"/>
      <c r="M25" s="52"/>
      <c r="N25" s="52"/>
      <c r="O25" s="53"/>
      <c r="P25" s="53"/>
      <c r="Q25" s="54"/>
      <c r="R25" s="54"/>
      <c r="S25" s="116"/>
    </row>
    <row r="26" spans="2:19" ht="45" hidden="1" customHeight="1" x14ac:dyDescent="0.25">
      <c r="B26" s="51"/>
      <c r="C26" s="24"/>
      <c r="D26" s="52"/>
      <c r="E26" s="52"/>
      <c r="F26" s="52"/>
      <c r="G26" s="52"/>
      <c r="H26" s="52"/>
      <c r="I26" s="52"/>
      <c r="J26" s="52"/>
      <c r="K26" s="52"/>
      <c r="L26" s="52"/>
      <c r="M26" s="52"/>
      <c r="N26" s="52"/>
      <c r="O26" s="53"/>
      <c r="P26" s="53"/>
      <c r="Q26" s="54"/>
      <c r="R26" s="54"/>
      <c r="S26" s="116"/>
    </row>
    <row r="27" spans="2:19" ht="45" hidden="1" customHeight="1" x14ac:dyDescent="0.25">
      <c r="B27" s="51"/>
      <c r="C27" s="23"/>
      <c r="D27" s="52"/>
      <c r="E27" s="52"/>
      <c r="F27" s="52"/>
      <c r="G27" s="52"/>
      <c r="H27" s="52"/>
      <c r="I27" s="52"/>
      <c r="J27" s="52"/>
      <c r="K27" s="52"/>
      <c r="L27" s="52"/>
      <c r="M27" s="52"/>
      <c r="N27" s="52"/>
      <c r="O27" s="53"/>
      <c r="P27" s="53"/>
      <c r="Q27" s="54"/>
      <c r="R27" s="54"/>
      <c r="S27" s="116"/>
    </row>
    <row r="28" spans="2:19" ht="45" hidden="1" customHeight="1" x14ac:dyDescent="0.25">
      <c r="B28" s="51"/>
      <c r="C28" s="23"/>
      <c r="D28" s="52"/>
      <c r="E28" s="52"/>
      <c r="F28" s="52"/>
      <c r="G28" s="52"/>
      <c r="H28" s="52"/>
      <c r="I28" s="52"/>
      <c r="J28" s="52"/>
      <c r="K28" s="52"/>
      <c r="L28" s="52"/>
      <c r="M28" s="52"/>
      <c r="N28" s="52"/>
      <c r="O28" s="53"/>
      <c r="P28" s="53"/>
      <c r="Q28" s="54"/>
      <c r="R28" s="54"/>
      <c r="S28" s="116"/>
    </row>
    <row r="29" spans="2:19" ht="45" hidden="1" customHeight="1" x14ac:dyDescent="0.25">
      <c r="B29" s="51"/>
      <c r="C29" s="24"/>
      <c r="D29" s="52"/>
      <c r="E29" s="52"/>
      <c r="F29" s="52"/>
      <c r="G29" s="52"/>
      <c r="H29" s="52"/>
      <c r="I29" s="52"/>
      <c r="J29" s="52"/>
      <c r="K29" s="52"/>
      <c r="L29" s="52"/>
      <c r="M29" s="52"/>
      <c r="N29" s="52"/>
      <c r="O29" s="53"/>
      <c r="P29" s="53"/>
      <c r="Q29" s="54"/>
      <c r="R29" s="54"/>
      <c r="S29" s="116"/>
    </row>
    <row r="30" spans="2:19" ht="45" hidden="1" customHeight="1" x14ac:dyDescent="0.25">
      <c r="B30" s="51"/>
      <c r="C30" s="23"/>
      <c r="D30" s="52"/>
      <c r="E30" s="52"/>
      <c r="F30" s="52"/>
      <c r="G30" s="52"/>
      <c r="H30" s="52"/>
      <c r="I30" s="52"/>
      <c r="J30" s="52"/>
      <c r="K30" s="52"/>
      <c r="L30" s="52"/>
      <c r="M30" s="52"/>
      <c r="N30" s="52"/>
      <c r="O30" s="53"/>
      <c r="P30" s="53"/>
      <c r="Q30" s="54"/>
      <c r="R30" s="54"/>
      <c r="S30" s="116"/>
    </row>
    <row r="31" spans="2:19" ht="45" hidden="1" customHeight="1" x14ac:dyDescent="0.25">
      <c r="B31" s="51"/>
      <c r="C31" s="23"/>
      <c r="D31" s="52"/>
      <c r="E31" s="52"/>
      <c r="F31" s="52"/>
      <c r="G31" s="52"/>
      <c r="H31" s="52"/>
      <c r="I31" s="52"/>
      <c r="J31" s="52"/>
      <c r="K31" s="52"/>
      <c r="L31" s="52"/>
      <c r="M31" s="52"/>
      <c r="N31" s="52"/>
      <c r="O31" s="53"/>
      <c r="P31" s="53"/>
      <c r="Q31" s="54"/>
      <c r="R31" s="54"/>
      <c r="S31" s="116"/>
    </row>
    <row r="32" spans="2:19" ht="45" hidden="1" customHeight="1" x14ac:dyDescent="0.25">
      <c r="B32" s="51"/>
      <c r="C32" s="55"/>
      <c r="D32" s="52"/>
      <c r="E32" s="52"/>
      <c r="F32" s="52"/>
      <c r="G32" s="52"/>
      <c r="H32" s="52"/>
      <c r="I32" s="52"/>
      <c r="J32" s="52"/>
      <c r="K32" s="52"/>
      <c r="L32" s="52"/>
      <c r="M32" s="52"/>
      <c r="N32" s="52"/>
      <c r="O32" s="53"/>
      <c r="P32" s="53"/>
      <c r="Q32" s="54"/>
      <c r="R32" s="54"/>
      <c r="S32" s="116"/>
    </row>
    <row r="33" spans="2:24" ht="45" hidden="1" customHeight="1" x14ac:dyDescent="0.25">
      <c r="B33" s="51"/>
      <c r="C33" s="55"/>
      <c r="D33" s="52"/>
      <c r="E33" s="52"/>
      <c r="F33" s="52"/>
      <c r="G33" s="52"/>
      <c r="H33" s="52"/>
      <c r="I33" s="52"/>
      <c r="J33" s="52"/>
      <c r="K33" s="52"/>
      <c r="L33" s="52"/>
      <c r="M33" s="52"/>
      <c r="N33" s="52"/>
      <c r="O33" s="53"/>
      <c r="P33" s="53"/>
      <c r="Q33" s="54"/>
      <c r="R33" s="54"/>
      <c r="S33" s="116"/>
    </row>
    <row r="34" spans="2:24" ht="45" hidden="1" customHeight="1" x14ac:dyDescent="0.25">
      <c r="B34" s="51"/>
      <c r="C34" s="55"/>
      <c r="D34" s="52"/>
      <c r="E34" s="52"/>
      <c r="F34" s="52"/>
      <c r="G34" s="52"/>
      <c r="H34" s="52"/>
      <c r="I34" s="52"/>
      <c r="J34" s="52"/>
      <c r="K34" s="52"/>
      <c r="L34" s="52"/>
      <c r="M34" s="52"/>
      <c r="N34" s="52"/>
      <c r="O34" s="53"/>
      <c r="P34" s="53"/>
      <c r="Q34" s="54"/>
      <c r="R34" s="54"/>
      <c r="S34" s="116"/>
    </row>
    <row r="35" spans="2:24" ht="45" hidden="1" customHeight="1" x14ac:dyDescent="0.25">
      <c r="B35" s="51"/>
      <c r="C35" s="55"/>
      <c r="D35" s="52"/>
      <c r="E35" s="52"/>
      <c r="F35" s="52"/>
      <c r="G35" s="52"/>
      <c r="H35" s="52"/>
      <c r="I35" s="52"/>
      <c r="J35" s="52"/>
      <c r="K35" s="52"/>
      <c r="L35" s="52"/>
      <c r="M35" s="52"/>
      <c r="N35" s="52"/>
      <c r="O35" s="53"/>
      <c r="P35" s="53"/>
      <c r="Q35" s="54"/>
      <c r="R35" s="54"/>
      <c r="S35" s="116"/>
    </row>
    <row r="36" spans="2:24" ht="45" hidden="1" customHeight="1" x14ac:dyDescent="0.25">
      <c r="B36" s="51"/>
      <c r="C36" s="55"/>
      <c r="D36" s="52"/>
      <c r="E36" s="52"/>
      <c r="F36" s="52"/>
      <c r="G36" s="52"/>
      <c r="H36" s="52"/>
      <c r="I36" s="52"/>
      <c r="J36" s="52"/>
      <c r="K36" s="52"/>
      <c r="L36" s="52"/>
      <c r="M36" s="52"/>
      <c r="N36" s="52"/>
      <c r="O36" s="53"/>
      <c r="P36" s="53"/>
      <c r="Q36" s="54"/>
      <c r="R36" s="54"/>
      <c r="S36" s="116"/>
    </row>
    <row r="37" spans="2:24" ht="45" hidden="1" customHeight="1" x14ac:dyDescent="0.25">
      <c r="B37" s="51"/>
      <c r="C37" s="55"/>
      <c r="D37" s="52"/>
      <c r="E37" s="52"/>
      <c r="F37" s="52"/>
      <c r="G37" s="52"/>
      <c r="H37" s="52"/>
      <c r="I37" s="52"/>
      <c r="J37" s="52"/>
      <c r="K37" s="52"/>
      <c r="L37" s="52"/>
      <c r="M37" s="52"/>
      <c r="N37" s="52"/>
      <c r="O37" s="53"/>
      <c r="P37" s="53"/>
      <c r="Q37" s="54"/>
      <c r="R37" s="54"/>
      <c r="S37" s="116"/>
    </row>
    <row r="38" spans="2:24" ht="45" hidden="1" customHeight="1" x14ac:dyDescent="0.25">
      <c r="B38" s="51"/>
      <c r="C38" s="55"/>
      <c r="D38" s="52"/>
      <c r="E38" s="52"/>
      <c r="F38" s="52"/>
      <c r="G38" s="52"/>
      <c r="H38" s="52"/>
      <c r="I38" s="52"/>
      <c r="J38" s="52"/>
      <c r="K38" s="52"/>
      <c r="L38" s="52"/>
      <c r="M38" s="52"/>
      <c r="N38" s="52"/>
      <c r="O38" s="53"/>
      <c r="P38" s="53"/>
      <c r="Q38" s="54"/>
      <c r="R38" s="54"/>
      <c r="S38" s="116"/>
    </row>
    <row r="39" spans="2:24" ht="45" hidden="1" customHeight="1" x14ac:dyDescent="0.25">
      <c r="B39" s="51"/>
      <c r="C39" s="55"/>
      <c r="D39" s="52"/>
      <c r="E39" s="52"/>
      <c r="F39" s="52"/>
      <c r="G39" s="52"/>
      <c r="H39" s="52"/>
      <c r="I39" s="52"/>
      <c r="J39" s="52"/>
      <c r="K39" s="52"/>
      <c r="L39" s="52"/>
      <c r="M39" s="52"/>
      <c r="N39" s="52"/>
      <c r="O39" s="53"/>
      <c r="P39" s="53"/>
      <c r="Q39" s="54"/>
      <c r="R39" s="54"/>
      <c r="S39" s="116"/>
    </row>
    <row r="40" spans="2:24" ht="45" hidden="1" customHeight="1" x14ac:dyDescent="0.25">
      <c r="B40" s="51"/>
      <c r="C40" s="55"/>
      <c r="D40" s="52"/>
      <c r="E40" s="52"/>
      <c r="F40" s="52"/>
      <c r="G40" s="52"/>
      <c r="H40" s="52"/>
      <c r="I40" s="52"/>
      <c r="J40" s="52"/>
      <c r="K40" s="52"/>
      <c r="L40" s="52"/>
      <c r="M40" s="52"/>
      <c r="N40" s="52"/>
      <c r="O40" s="53"/>
      <c r="P40" s="53"/>
      <c r="Q40" s="54"/>
      <c r="R40" s="54"/>
      <c r="S40" s="116"/>
    </row>
    <row r="41" spans="2:24" ht="45" hidden="1" customHeight="1" x14ac:dyDescent="0.25">
      <c r="B41" s="51"/>
      <c r="C41" s="55"/>
      <c r="D41" s="52"/>
      <c r="E41" s="52"/>
      <c r="F41" s="52"/>
      <c r="G41" s="52"/>
      <c r="H41" s="52"/>
      <c r="I41" s="52"/>
      <c r="J41" s="52"/>
      <c r="K41" s="52"/>
      <c r="L41" s="52"/>
      <c r="M41" s="52"/>
      <c r="N41" s="52"/>
      <c r="O41" s="53"/>
      <c r="P41" s="53"/>
      <c r="Q41" s="54"/>
      <c r="R41" s="54"/>
      <c r="S41" s="116"/>
    </row>
    <row r="42" spans="2:24" ht="45" hidden="1" customHeight="1" x14ac:dyDescent="0.25">
      <c r="B42" s="51"/>
      <c r="C42" s="55"/>
      <c r="D42" s="52"/>
      <c r="E42" s="52"/>
      <c r="F42" s="52"/>
      <c r="G42" s="52"/>
      <c r="H42" s="52"/>
      <c r="I42" s="52"/>
      <c r="J42" s="52"/>
      <c r="K42" s="52"/>
      <c r="L42" s="52"/>
      <c r="M42" s="52"/>
      <c r="N42" s="52"/>
      <c r="O42" s="53"/>
      <c r="P42" s="53"/>
      <c r="Q42" s="54"/>
      <c r="R42" s="54"/>
      <c r="S42" s="116"/>
    </row>
    <row r="43" spans="2:24" ht="45" hidden="1" customHeight="1" x14ac:dyDescent="0.25">
      <c r="B43" s="51"/>
      <c r="C43" s="57"/>
      <c r="D43" s="52"/>
      <c r="E43" s="52"/>
      <c r="F43" s="52"/>
      <c r="G43" s="52"/>
      <c r="H43" s="52"/>
      <c r="I43" s="52"/>
      <c r="J43" s="52"/>
      <c r="K43" s="52"/>
      <c r="L43" s="52"/>
      <c r="M43" s="52"/>
      <c r="N43" s="52"/>
      <c r="O43" s="53"/>
      <c r="P43" s="53"/>
      <c r="Q43" s="54"/>
      <c r="R43" s="54"/>
      <c r="S43" s="116"/>
    </row>
    <row r="44" spans="2:24" ht="30" customHeight="1" x14ac:dyDescent="0.25">
      <c r="B44" s="174" t="s">
        <v>713</v>
      </c>
      <c r="C44" s="174"/>
      <c r="D44" s="58">
        <f t="shared" ref="D44:M44" si="5">SUM(D14:D43)</f>
        <v>2400000</v>
      </c>
      <c r="E44" s="58">
        <f t="shared" si="5"/>
        <v>4</v>
      </c>
      <c r="F44" s="58">
        <f t="shared" si="5"/>
        <v>1720000</v>
      </c>
      <c r="G44" s="58">
        <f t="shared" si="5"/>
        <v>1720000</v>
      </c>
      <c r="H44" s="58">
        <f t="shared" si="5"/>
        <v>8</v>
      </c>
      <c r="I44" s="58">
        <f t="shared" si="5"/>
        <v>600000</v>
      </c>
      <c r="J44" s="58">
        <f t="shared" si="5"/>
        <v>1200000</v>
      </c>
      <c r="K44" s="58">
        <f t="shared" si="5"/>
        <v>4</v>
      </c>
      <c r="L44" s="58">
        <f t="shared" si="5"/>
        <v>420000</v>
      </c>
      <c r="M44" s="58">
        <f t="shared" si="5"/>
        <v>420000</v>
      </c>
      <c r="N44" s="58"/>
      <c r="O44" s="58">
        <f>SUM(O14:O43)</f>
        <v>5740000</v>
      </c>
      <c r="P44" s="59"/>
      <c r="Q44" s="53"/>
      <c r="R44" s="53"/>
      <c r="S44" s="116"/>
      <c r="T44" s="56"/>
      <c r="X44" s="60"/>
    </row>
    <row r="45" spans="2:24" s="43" customFormat="1" ht="23.25" customHeight="1" x14ac:dyDescent="0.25">
      <c r="B45" s="165" t="s">
        <v>686</v>
      </c>
      <c r="C45" s="165"/>
      <c r="D45" s="166"/>
      <c r="E45" s="166"/>
      <c r="F45" s="166"/>
      <c r="G45" s="166"/>
      <c r="H45" s="166"/>
      <c r="I45" s="166"/>
      <c r="J45" s="166"/>
      <c r="K45" s="166"/>
      <c r="L45" s="166"/>
      <c r="M45" s="166"/>
      <c r="N45" s="166"/>
      <c r="O45" s="166"/>
      <c r="P45" s="166"/>
      <c r="Q45" s="166"/>
      <c r="R45" s="167"/>
      <c r="S45" s="117"/>
      <c r="V45" s="61"/>
    </row>
    <row r="46" spans="2:24" ht="14.1" customHeight="1" x14ac:dyDescent="0.25"/>
    <row r="47" spans="2:24" ht="15.4" customHeight="1" x14ac:dyDescent="0.25">
      <c r="Q47" s="40" t="s">
        <v>702</v>
      </c>
    </row>
    <row r="48" spans="2:24" ht="15.4" customHeight="1" x14ac:dyDescent="0.25">
      <c r="B48" s="8" t="s">
        <v>690</v>
      </c>
      <c r="C48" s="8"/>
      <c r="D48" s="62"/>
      <c r="G48" s="63"/>
      <c r="J48" s="63"/>
      <c r="M48" s="63"/>
      <c r="N48" s="62"/>
      <c r="Q48" s="42" t="s">
        <v>691</v>
      </c>
    </row>
    <row r="49" spans="2:17" ht="15.4" customHeight="1" x14ac:dyDescent="0.25">
      <c r="B49" s="8" t="s">
        <v>692</v>
      </c>
      <c r="C49" s="8"/>
      <c r="D49" s="62"/>
      <c r="G49" s="63"/>
      <c r="J49" s="63"/>
      <c r="M49" s="63"/>
      <c r="N49" s="62"/>
      <c r="Q49" s="42" t="s">
        <v>693</v>
      </c>
    </row>
    <row r="50" spans="2:17" ht="14.1" customHeight="1" x14ac:dyDescent="0.25">
      <c r="B50" s="8" t="s">
        <v>694</v>
      </c>
      <c r="C50" s="8"/>
      <c r="D50" s="62"/>
      <c r="G50" s="63"/>
      <c r="J50" s="63"/>
      <c r="M50" s="63"/>
      <c r="N50" s="62"/>
      <c r="Q50" s="42"/>
    </row>
    <row r="51" spans="2:17" ht="14.1" customHeight="1" x14ac:dyDescent="0.25">
      <c r="B51" s="8"/>
      <c r="C51" s="8"/>
      <c r="D51" s="62"/>
      <c r="G51" s="63"/>
      <c r="J51" s="63"/>
      <c r="M51" s="63"/>
      <c r="N51" s="62"/>
      <c r="Q51" s="42"/>
    </row>
    <row r="52" spans="2:17" ht="14.1" customHeight="1" x14ac:dyDescent="0.25">
      <c r="B52" s="8"/>
      <c r="C52" s="8"/>
      <c r="D52" s="62"/>
      <c r="G52" s="63"/>
      <c r="J52" s="63"/>
      <c r="M52" s="63"/>
      <c r="N52" s="62"/>
      <c r="Q52" s="42"/>
    </row>
    <row r="53" spans="2:17" ht="14.1" customHeight="1" x14ac:dyDescent="0.25">
      <c r="B53" s="8"/>
      <c r="C53" s="8"/>
      <c r="D53" s="62"/>
      <c r="G53" s="63"/>
      <c r="J53" s="63"/>
      <c r="M53" s="63"/>
      <c r="N53" s="62"/>
      <c r="Q53" s="42"/>
    </row>
    <row r="54" spans="2:17" ht="15" customHeight="1" x14ac:dyDescent="0.25">
      <c r="B54" s="44" t="s">
        <v>56</v>
      </c>
      <c r="C54" s="8"/>
      <c r="D54" s="45"/>
      <c r="G54" s="64"/>
      <c r="J54" s="64"/>
      <c r="M54" s="64"/>
      <c r="N54" s="45"/>
      <c r="Q54" s="45" t="s">
        <v>77</v>
      </c>
    </row>
    <row r="55" spans="2:17" ht="15" customHeight="1" x14ac:dyDescent="0.25">
      <c r="B55" s="44" t="s">
        <v>695</v>
      </c>
      <c r="C55" s="8"/>
      <c r="D55" s="14"/>
      <c r="G55" s="65"/>
      <c r="J55" s="65"/>
      <c r="M55" s="65"/>
      <c r="N55" s="14"/>
      <c r="Q55" s="14" t="s">
        <v>696</v>
      </c>
    </row>
    <row r="56" spans="2:17" ht="14.1" customHeight="1" x14ac:dyDescent="0.25">
      <c r="D56" s="66"/>
      <c r="E56" s="66"/>
      <c r="F56" s="66"/>
      <c r="G56" s="66"/>
      <c r="H56" s="66"/>
      <c r="I56" s="66"/>
      <c r="J56" s="66"/>
      <c r="K56" s="66"/>
      <c r="L56" s="66"/>
      <c r="M56" s="66"/>
      <c r="N56" s="66"/>
    </row>
    <row r="60" spans="2:17" ht="14.1" customHeight="1" x14ac:dyDescent="0.25">
      <c r="D60" s="67"/>
      <c r="E60" s="67"/>
      <c r="F60" s="67"/>
      <c r="G60" s="67"/>
      <c r="H60" s="67"/>
      <c r="I60" s="67"/>
      <c r="J60" s="67"/>
      <c r="K60" s="67"/>
      <c r="L60" s="67"/>
      <c r="M60" s="67"/>
      <c r="N60" s="67"/>
    </row>
    <row r="61" spans="2:17" ht="14.1" customHeight="1" x14ac:dyDescent="0.25">
      <c r="D61" s="67"/>
      <c r="E61" s="67"/>
      <c r="F61" s="67"/>
      <c r="G61" s="67"/>
      <c r="H61" s="67"/>
      <c r="I61" s="67"/>
      <c r="J61" s="67"/>
      <c r="K61" s="67"/>
      <c r="L61" s="67"/>
      <c r="M61" s="67"/>
      <c r="N61" s="67"/>
    </row>
    <row r="62" spans="2:17" ht="14.1" customHeight="1" x14ac:dyDescent="0.25">
      <c r="D62" s="67"/>
      <c r="E62" s="67"/>
      <c r="F62" s="67"/>
      <c r="G62" s="67"/>
      <c r="H62" s="67"/>
      <c r="I62" s="67"/>
      <c r="J62" s="67"/>
      <c r="K62" s="67"/>
      <c r="L62" s="67"/>
      <c r="M62" s="67"/>
      <c r="N62" s="67"/>
    </row>
    <row r="63" spans="2:17" ht="14.1" customHeight="1" x14ac:dyDescent="0.25">
      <c r="D63" s="67"/>
      <c r="E63" s="67"/>
      <c r="F63" s="67"/>
      <c r="G63" s="67"/>
      <c r="H63" s="67"/>
      <c r="I63" s="67"/>
      <c r="J63" s="67"/>
      <c r="K63" s="67"/>
      <c r="L63" s="67"/>
      <c r="M63" s="67"/>
      <c r="N63" s="67"/>
    </row>
    <row r="64" spans="2:17" ht="14.1" customHeight="1" x14ac:dyDescent="0.25">
      <c r="D64" s="67"/>
      <c r="E64" s="67"/>
      <c r="F64" s="67"/>
      <c r="G64" s="67"/>
      <c r="H64" s="67"/>
      <c r="I64" s="67"/>
      <c r="J64" s="67"/>
      <c r="K64" s="67"/>
      <c r="L64" s="67"/>
      <c r="M64" s="67"/>
      <c r="N64" s="67"/>
    </row>
  </sheetData>
  <autoFilter ref="D13:F45" xr:uid="{00000000-0009-0000-0000-000004000000}"/>
  <mergeCells count="19">
    <mergeCell ref="B5:R5"/>
    <mergeCell ref="B6:R6"/>
    <mergeCell ref="B7:R7"/>
    <mergeCell ref="B8:R8"/>
    <mergeCell ref="B11:B12"/>
    <mergeCell ref="C11:C12"/>
    <mergeCell ref="D11:D12"/>
    <mergeCell ref="E11:G11"/>
    <mergeCell ref="H11:J11"/>
    <mergeCell ref="K11:M11"/>
    <mergeCell ref="S11:S12"/>
    <mergeCell ref="B44:C44"/>
    <mergeCell ref="B45:C45"/>
    <mergeCell ref="D45:R45"/>
    <mergeCell ref="N11:N12"/>
    <mergeCell ref="O11:O12"/>
    <mergeCell ref="P11:P12"/>
    <mergeCell ref="Q11:Q12"/>
    <mergeCell ref="R11:R12"/>
  </mergeCells>
  <conditionalFormatting sqref="C25:C26">
    <cfRule type="duplicateValues" dxfId="9" priority="1"/>
  </conditionalFormatting>
  <conditionalFormatting sqref="C27:C28 C30:C42 C14:C17 C19:C24">
    <cfRule type="duplicateValues" dxfId="8" priority="3"/>
  </conditionalFormatting>
  <conditionalFormatting sqref="C29">
    <cfRule type="duplicateValues" dxfId="7" priority="2"/>
  </conditionalFormatting>
  <pageMargins left="0.39370078740157483" right="0.39370078740157483" top="0.47244094488188981" bottom="0.70866141732283472" header="0.31496062992125984" footer="0.31496062992125984"/>
  <pageSetup scale="36" fitToHeight="0" orientation="portrait" useFirstPageNumber="1" horizontalDpi="360" verticalDpi="360" r:id="rId1"/>
  <rowBreaks count="1" manualBreakCount="1">
    <brk id="38" min="1" max="14" man="1"/>
  </rowBreaks>
  <extLst>
    <ext xmlns:x14="http://schemas.microsoft.com/office/spreadsheetml/2009/9/main" uri="{CCE6A557-97BC-4b89-ADB6-D9C93CAAB3DF}">
      <x14:dataValidations xmlns:xm="http://schemas.microsoft.com/office/excel/2006/main" count="1">
        <x14:dataValidation type="list" allowBlank="1" showInputMessage="1" showErrorMessage="1" xr:uid="{F64806D0-744B-4C00-9D7E-A879525FA0DA}">
          <x14:formula1>
            <xm:f>'Ref Pegawai'!$B$2:$B$123</xm:f>
          </x14:formula1>
          <xm:sqref>C14:C17 C19:C24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1853-494D-4851-8CC7-DEF4B5804241}">
  <sheetPr>
    <tabColor rgb="FF00B0F0"/>
    <pageSetUpPr fitToPage="1"/>
  </sheetPr>
  <dimension ref="B1:X64"/>
  <sheetViews>
    <sheetView view="pageBreakPreview" zoomScale="85" zoomScaleNormal="85" zoomScaleSheetLayoutView="85" workbookViewId="0">
      <pane xSplit="3" ySplit="13" topLeftCell="D14" activePane="bottomRight" state="frozen"/>
      <selection pane="topRight" activeCell="E1" sqref="E1"/>
      <selection pane="bottomLeft" activeCell="A13" sqref="A13"/>
      <selection pane="bottomRight" activeCell="O18" sqref="O18"/>
    </sheetView>
  </sheetViews>
  <sheetFormatPr defaultColWidth="9.125" defaultRowHeight="13.9" customHeight="1" x14ac:dyDescent="0.25"/>
  <cols>
    <col min="1" max="1" width="2.125" style="47" customWidth="1"/>
    <col min="2" max="2" width="5.25" style="47" customWidth="1"/>
    <col min="3" max="3" width="28.125" style="47" customWidth="1"/>
    <col min="4" max="4" width="14.125" style="47" customWidth="1"/>
    <col min="5" max="5" width="7.375" style="47" customWidth="1"/>
    <col min="6" max="6" width="10" style="47" customWidth="1"/>
    <col min="7" max="7" width="14.125" style="47" customWidth="1"/>
    <col min="8" max="8" width="7.375" style="47" customWidth="1"/>
    <col min="9" max="9" width="10" style="47" customWidth="1"/>
    <col min="10" max="10" width="14.125" style="47" customWidth="1"/>
    <col min="11" max="11" width="7.375" style="47" customWidth="1"/>
    <col min="12" max="12" width="10" style="47" customWidth="1"/>
    <col min="13" max="14" width="14.125" style="47" customWidth="1"/>
    <col min="15" max="15" width="15" style="47" customWidth="1"/>
    <col min="16" max="16" width="25.25" style="47" customWidth="1"/>
    <col min="17" max="17" width="18.75" style="47" customWidth="1"/>
    <col min="18" max="18" width="15.125" style="47" customWidth="1"/>
    <col min="19" max="19" width="22.5" style="47" customWidth="1"/>
    <col min="20" max="20" width="11.625" style="47" customWidth="1"/>
    <col min="21" max="21" width="10.25" style="47" customWidth="1"/>
    <col min="22" max="22" width="10.625" style="56" customWidth="1"/>
    <col min="23" max="23" width="9.125" style="47" customWidth="1"/>
    <col min="24" max="16384" width="9.125" style="47"/>
  </cols>
  <sheetData>
    <row r="1" spans="2:19" ht="18" customHeight="1" x14ac:dyDescent="0.25">
      <c r="B1" s="46" t="s">
        <v>655</v>
      </c>
    </row>
    <row r="2" spans="2:19" ht="18" customHeight="1" x14ac:dyDescent="0.25">
      <c r="B2" s="9" t="s">
        <v>707</v>
      </c>
    </row>
    <row r="3" spans="2:19" ht="18" customHeight="1" x14ac:dyDescent="0.25">
      <c r="B3" s="12" t="s">
        <v>714</v>
      </c>
      <c r="C3" s="48"/>
      <c r="D3" s="48"/>
      <c r="E3" s="48"/>
      <c r="F3" s="48"/>
      <c r="G3" s="48"/>
      <c r="H3" s="48"/>
      <c r="I3" s="48"/>
      <c r="J3" s="48"/>
      <c r="K3" s="48"/>
      <c r="L3" s="48"/>
      <c r="M3" s="48"/>
      <c r="N3" s="48"/>
    </row>
    <row r="4" spans="2:19" ht="18" customHeight="1" x14ac:dyDescent="0.25">
      <c r="O4" s="46"/>
      <c r="P4" s="46"/>
      <c r="Q4" s="46"/>
    </row>
    <row r="5" spans="2:19" ht="18" customHeight="1" x14ac:dyDescent="0.25">
      <c r="B5" s="173" t="s">
        <v>841</v>
      </c>
      <c r="C5" s="173"/>
      <c r="D5" s="173"/>
      <c r="E5" s="173"/>
      <c r="F5" s="173"/>
      <c r="G5" s="173"/>
      <c r="H5" s="173"/>
      <c r="I5" s="173"/>
      <c r="J5" s="173"/>
      <c r="K5" s="173"/>
      <c r="L5" s="173"/>
      <c r="M5" s="173"/>
      <c r="N5" s="173"/>
      <c r="O5" s="173"/>
      <c r="P5" s="173"/>
      <c r="Q5" s="173"/>
      <c r="R5" s="173"/>
    </row>
    <row r="6" spans="2:19" ht="18" customHeight="1" x14ac:dyDescent="0.25">
      <c r="B6" s="173" t="s">
        <v>698</v>
      </c>
      <c r="C6" s="173"/>
      <c r="D6" s="173"/>
      <c r="E6" s="173"/>
      <c r="F6" s="173"/>
      <c r="G6" s="173"/>
      <c r="H6" s="173"/>
      <c r="I6" s="173"/>
      <c r="J6" s="173"/>
      <c r="K6" s="173"/>
      <c r="L6" s="173"/>
      <c r="M6" s="173"/>
      <c r="N6" s="173"/>
      <c r="O6" s="173"/>
      <c r="P6" s="173"/>
      <c r="Q6" s="173"/>
      <c r="R6" s="173"/>
    </row>
    <row r="7" spans="2:19" ht="18" customHeight="1" x14ac:dyDescent="0.25">
      <c r="B7" s="173" t="s">
        <v>708</v>
      </c>
      <c r="C7" s="173"/>
      <c r="D7" s="173"/>
      <c r="E7" s="173"/>
      <c r="F7" s="173"/>
      <c r="G7" s="173"/>
      <c r="H7" s="173"/>
      <c r="I7" s="173"/>
      <c r="J7" s="173"/>
      <c r="K7" s="173"/>
      <c r="L7" s="173"/>
      <c r="M7" s="173"/>
      <c r="N7" s="173"/>
      <c r="O7" s="173"/>
      <c r="P7" s="173"/>
      <c r="Q7" s="173"/>
      <c r="R7" s="173"/>
    </row>
    <row r="8" spans="2:19" ht="18" customHeight="1" x14ac:dyDescent="0.25">
      <c r="B8" s="173" t="s">
        <v>699</v>
      </c>
      <c r="C8" s="173"/>
      <c r="D8" s="173"/>
      <c r="E8" s="173"/>
      <c r="F8" s="173"/>
      <c r="G8" s="173"/>
      <c r="H8" s="173"/>
      <c r="I8" s="173"/>
      <c r="J8" s="173"/>
      <c r="K8" s="173"/>
      <c r="L8" s="173"/>
      <c r="M8" s="173"/>
      <c r="N8" s="173"/>
      <c r="O8" s="173"/>
      <c r="P8" s="173"/>
      <c r="Q8" s="173"/>
      <c r="R8" s="173"/>
    </row>
    <row r="9" spans="2:19" ht="18" customHeight="1" thickBot="1" x14ac:dyDescent="0.35">
      <c r="B9" s="125" t="s">
        <v>947</v>
      </c>
      <c r="C9"/>
      <c r="D9"/>
      <c r="E9"/>
      <c r="F9"/>
      <c r="G9"/>
      <c r="H9"/>
      <c r="I9"/>
      <c r="J9"/>
      <c r="K9"/>
      <c r="L9"/>
      <c r="M9"/>
      <c r="N9"/>
      <c r="O9"/>
      <c r="P9"/>
      <c r="Q9"/>
    </row>
    <row r="10" spans="2:19" ht="18" customHeight="1" x14ac:dyDescent="0.25">
      <c r="B10"/>
      <c r="C10"/>
      <c r="D10"/>
      <c r="E10" s="131"/>
      <c r="F10" s="131"/>
      <c r="G10" s="131"/>
      <c r="H10" s="131"/>
      <c r="I10" s="131"/>
      <c r="J10" s="131"/>
      <c r="K10" s="131"/>
      <c r="L10" s="131"/>
      <c r="M10" s="131"/>
      <c r="N10"/>
      <c r="O10" s="131"/>
      <c r="P10"/>
      <c r="Q10"/>
    </row>
    <row r="11" spans="2:19" ht="18" customHeight="1" x14ac:dyDescent="0.25">
      <c r="B11" s="169" t="s">
        <v>709</v>
      </c>
      <c r="C11" s="169" t="s">
        <v>659</v>
      </c>
      <c r="D11" s="163" t="s">
        <v>711</v>
      </c>
      <c r="E11" s="170" t="s">
        <v>842</v>
      </c>
      <c r="F11" s="171"/>
      <c r="G11" s="172"/>
      <c r="H11" s="170" t="s">
        <v>844</v>
      </c>
      <c r="I11" s="171"/>
      <c r="J11" s="172"/>
      <c r="K11" s="170" t="s">
        <v>845</v>
      </c>
      <c r="L11" s="171"/>
      <c r="M11" s="172"/>
      <c r="N11" s="163" t="s">
        <v>949</v>
      </c>
      <c r="O11" s="168" t="s">
        <v>712</v>
      </c>
      <c r="P11" s="163" t="s">
        <v>667</v>
      </c>
      <c r="Q11" s="163" t="s">
        <v>668</v>
      </c>
      <c r="R11" s="163" t="s">
        <v>9</v>
      </c>
      <c r="S11" s="157" t="s">
        <v>787</v>
      </c>
    </row>
    <row r="12" spans="2:19" ht="36.75" customHeight="1" x14ac:dyDescent="0.25">
      <c r="B12" s="169"/>
      <c r="C12" s="169"/>
      <c r="D12" s="163"/>
      <c r="E12" s="122" t="s">
        <v>710</v>
      </c>
      <c r="F12" s="122" t="s">
        <v>843</v>
      </c>
      <c r="G12" s="122" t="s">
        <v>685</v>
      </c>
      <c r="H12" s="122" t="s">
        <v>710</v>
      </c>
      <c r="I12" s="122" t="s">
        <v>843</v>
      </c>
      <c r="J12" s="122" t="s">
        <v>685</v>
      </c>
      <c r="K12" s="122" t="s">
        <v>710</v>
      </c>
      <c r="L12" s="122" t="s">
        <v>843</v>
      </c>
      <c r="M12" s="122" t="s">
        <v>685</v>
      </c>
      <c r="N12" s="164"/>
      <c r="O12" s="163"/>
      <c r="P12" s="164"/>
      <c r="Q12" s="164"/>
      <c r="R12" s="164"/>
      <c r="S12" s="157"/>
    </row>
    <row r="13" spans="2:19" ht="15.75" customHeight="1" x14ac:dyDescent="0.25">
      <c r="B13" s="49" t="s">
        <v>674</v>
      </c>
      <c r="C13" s="49" t="s">
        <v>675</v>
      </c>
      <c r="D13" s="50" t="s">
        <v>676</v>
      </c>
      <c r="E13" s="50" t="s">
        <v>677</v>
      </c>
      <c r="F13" s="50" t="s">
        <v>678</v>
      </c>
      <c r="G13" s="50" t="s">
        <v>846</v>
      </c>
      <c r="H13" s="50" t="s">
        <v>680</v>
      </c>
      <c r="I13" s="50" t="s">
        <v>847</v>
      </c>
      <c r="J13" s="50" t="s">
        <v>848</v>
      </c>
      <c r="K13" s="50" t="s">
        <v>701</v>
      </c>
      <c r="L13" s="50" t="s">
        <v>682</v>
      </c>
      <c r="M13" s="50" t="s">
        <v>849</v>
      </c>
      <c r="N13" s="50"/>
      <c r="O13" s="49" t="s">
        <v>850</v>
      </c>
      <c r="P13" s="49" t="s">
        <v>683</v>
      </c>
      <c r="Q13" s="49" t="s">
        <v>684</v>
      </c>
      <c r="R13" s="49" t="s">
        <v>788</v>
      </c>
      <c r="S13" s="21" t="s">
        <v>851</v>
      </c>
    </row>
    <row r="14" spans="2:19" ht="45" customHeight="1" x14ac:dyDescent="0.25">
      <c r="B14" s="51">
        <v>1</v>
      </c>
      <c r="C14" s="23" t="s">
        <v>166</v>
      </c>
      <c r="D14" s="52">
        <v>600000</v>
      </c>
      <c r="E14" s="52">
        <v>1</v>
      </c>
      <c r="F14" s="52">
        <v>430000</v>
      </c>
      <c r="G14" s="52">
        <f>E14*F14</f>
        <v>430000</v>
      </c>
      <c r="H14" s="52">
        <v>2</v>
      </c>
      <c r="I14" s="52">
        <v>150000</v>
      </c>
      <c r="J14" s="52">
        <f>H14*I14</f>
        <v>300000</v>
      </c>
      <c r="K14" s="52">
        <v>1</v>
      </c>
      <c r="L14" s="52">
        <v>105000</v>
      </c>
      <c r="M14" s="52">
        <f>K14*L14</f>
        <v>105000</v>
      </c>
      <c r="N14" s="52"/>
      <c r="O14" s="53">
        <f>D14+G14+J14+M14+N14</f>
        <v>1435000</v>
      </c>
      <c r="P14" s="53" t="str">
        <f>PROPER(VLOOKUP(C14,'Ref Pegawai'!$B$2:$J$123,8,FALSE))</f>
        <v>0172856645</v>
      </c>
      <c r="Q14" s="53" t="str">
        <f>PROPER(VLOOKUP(C14,'Ref Pegawai'!$B$2:$J$123,8,FALSE))</f>
        <v>0172856645</v>
      </c>
      <c r="R14" s="53" t="str">
        <f>PROPER(VLOOKUP(C14,'Ref Pegawai'!$B$2:$J$123,9,FALSE))</f>
        <v>Bni</v>
      </c>
      <c r="S14" s="118" t="str">
        <f>VLOOKUP(C14,'Ref Pegawai'!$B$2:$L$123,11,FALSE)</f>
        <v>noviyanto26@gmail.com</v>
      </c>
    </row>
    <row r="15" spans="2:19" ht="38.25" customHeight="1" x14ac:dyDescent="0.25">
      <c r="B15" s="51">
        <f t="shared" ref="B15:B19" si="0">B14+1</f>
        <v>2</v>
      </c>
      <c r="C15" s="23" t="s">
        <v>282</v>
      </c>
      <c r="D15" s="52">
        <v>600000</v>
      </c>
      <c r="E15" s="52">
        <v>1</v>
      </c>
      <c r="F15" s="52">
        <v>430000</v>
      </c>
      <c r="G15" s="52">
        <f t="shared" ref="G15:G17" si="1">E15*F15</f>
        <v>430000</v>
      </c>
      <c r="H15" s="52">
        <v>2</v>
      </c>
      <c r="I15" s="52">
        <v>150000</v>
      </c>
      <c r="J15" s="52">
        <f t="shared" ref="J15:J17" si="2">H15*I15</f>
        <v>300000</v>
      </c>
      <c r="K15" s="52">
        <v>1</v>
      </c>
      <c r="L15" s="52">
        <v>105000</v>
      </c>
      <c r="M15" s="52">
        <f t="shared" ref="M15:M17" si="3">K15*L15</f>
        <v>105000</v>
      </c>
      <c r="N15" s="52"/>
      <c r="O15" s="53">
        <f t="shared" ref="O15:O17" si="4">D15+G15+J15+M15+N15</f>
        <v>1435000</v>
      </c>
      <c r="P15" s="53" t="str">
        <f>PROPER(VLOOKUP(C15,'Ref Pegawai'!$B$2:$J$123,8,FALSE))</f>
        <v>0221963721</v>
      </c>
      <c r="Q15" s="53" t="str">
        <f>PROPER(VLOOKUP(C15,'Ref Pegawai'!$B$2:$J$123,8,FALSE))</f>
        <v>0221963721</v>
      </c>
      <c r="R15" s="53" t="str">
        <f>PROPER(VLOOKUP(C15,'Ref Pegawai'!$B$2:$J$123,9,FALSE))</f>
        <v>Bni</v>
      </c>
      <c r="S15" s="118" t="str">
        <f>VLOOKUP(C15,'Ref Pegawai'!$B$2:$L$123,11,FALSE)</f>
        <v>taufan.prast@gmail.com</v>
      </c>
    </row>
    <row r="16" spans="2:19" ht="45" customHeight="1" x14ac:dyDescent="0.25">
      <c r="B16" s="51">
        <f t="shared" si="0"/>
        <v>3</v>
      </c>
      <c r="C16" s="23" t="s">
        <v>30</v>
      </c>
      <c r="D16" s="52">
        <v>600000</v>
      </c>
      <c r="E16" s="52">
        <v>1</v>
      </c>
      <c r="F16" s="52">
        <v>430000</v>
      </c>
      <c r="G16" s="52">
        <f t="shared" si="1"/>
        <v>430000</v>
      </c>
      <c r="H16" s="52">
        <v>2</v>
      </c>
      <c r="I16" s="52">
        <v>150000</v>
      </c>
      <c r="J16" s="52">
        <f t="shared" si="2"/>
        <v>300000</v>
      </c>
      <c r="K16" s="52">
        <v>1</v>
      </c>
      <c r="L16" s="52">
        <v>105000</v>
      </c>
      <c r="M16" s="52">
        <f t="shared" si="3"/>
        <v>105000</v>
      </c>
      <c r="N16" s="52"/>
      <c r="O16" s="53">
        <f t="shared" si="4"/>
        <v>1435000</v>
      </c>
      <c r="P16" s="53" t="str">
        <f>PROPER(VLOOKUP(C16,'Ref Pegawai'!$B$2:$J$123,8,FALSE))</f>
        <v>0397880661</v>
      </c>
      <c r="Q16" s="53" t="str">
        <f>PROPER(VLOOKUP(C16,'Ref Pegawai'!$B$2:$J$123,8,FALSE))</f>
        <v>0397880661</v>
      </c>
      <c r="R16" s="53" t="str">
        <f>PROPER(VLOOKUP(C16,'Ref Pegawai'!$B$2:$J$123,9,FALSE))</f>
        <v>Bni</v>
      </c>
      <c r="S16" s="118" t="str">
        <f>VLOOKUP(C16,'Ref Pegawai'!$B$2:$L$123,11,FALSE)</f>
        <v>endragu@gmail.com</v>
      </c>
    </row>
    <row r="17" spans="2:19" ht="45" customHeight="1" x14ac:dyDescent="0.25">
      <c r="B17" s="51">
        <f t="shared" si="0"/>
        <v>4</v>
      </c>
      <c r="C17" s="23" t="s">
        <v>145</v>
      </c>
      <c r="D17" s="52">
        <v>600000</v>
      </c>
      <c r="E17" s="52">
        <v>1</v>
      </c>
      <c r="F17" s="52">
        <v>430000</v>
      </c>
      <c r="G17" s="52">
        <f t="shared" si="1"/>
        <v>430000</v>
      </c>
      <c r="H17" s="52">
        <v>2</v>
      </c>
      <c r="I17" s="52">
        <v>150000</v>
      </c>
      <c r="J17" s="52">
        <f t="shared" si="2"/>
        <v>300000</v>
      </c>
      <c r="K17" s="52">
        <v>1</v>
      </c>
      <c r="L17" s="52">
        <v>105000</v>
      </c>
      <c r="M17" s="52">
        <f t="shared" si="3"/>
        <v>105000</v>
      </c>
      <c r="N17" s="52"/>
      <c r="O17" s="53">
        <f t="shared" si="4"/>
        <v>1435000</v>
      </c>
      <c r="P17" s="53" t="str">
        <f>PROPER(VLOOKUP(C17,'Ref Pegawai'!$B$2:$J$123,8,FALSE))</f>
        <v>0172361108</v>
      </c>
      <c r="Q17" s="53" t="str">
        <f>PROPER(VLOOKUP(C17,'Ref Pegawai'!$B$2:$J$123,8,FALSE))</f>
        <v>0172361108</v>
      </c>
      <c r="R17" s="53" t="str">
        <f>PROPER(VLOOKUP(C17,'Ref Pegawai'!$B$2:$J$123,9,FALSE))</f>
        <v>Bni</v>
      </c>
      <c r="S17" s="118" t="str">
        <f>VLOOKUP(C17,'Ref Pegawai'!$B$2:$L$123,11,FALSE)</f>
        <v>lukman_pdgd@yahoo.com</v>
      </c>
    </row>
    <row r="18" spans="2:19" ht="45" customHeight="1" x14ac:dyDescent="0.25">
      <c r="B18" s="51">
        <f t="shared" si="0"/>
        <v>5</v>
      </c>
      <c r="C18" s="52"/>
      <c r="D18" s="52"/>
      <c r="E18" s="52"/>
      <c r="F18" s="52"/>
      <c r="G18" s="52"/>
      <c r="H18" s="52"/>
      <c r="I18" s="52"/>
      <c r="J18" s="52"/>
      <c r="K18" s="52"/>
      <c r="L18" s="52"/>
      <c r="M18" s="52"/>
      <c r="N18" s="52"/>
      <c r="O18" s="53"/>
      <c r="P18" s="53"/>
      <c r="Q18" s="53"/>
      <c r="R18" s="53"/>
      <c r="S18" s="118"/>
    </row>
    <row r="19" spans="2:19" ht="45" customHeight="1" x14ac:dyDescent="0.25">
      <c r="B19" s="51">
        <f t="shared" si="0"/>
        <v>6</v>
      </c>
      <c r="C19" s="23"/>
      <c r="D19" s="52"/>
      <c r="E19" s="52"/>
      <c r="F19" s="52"/>
      <c r="G19" s="52"/>
      <c r="H19" s="52"/>
      <c r="I19" s="52"/>
      <c r="J19" s="52"/>
      <c r="K19" s="52"/>
      <c r="L19" s="52"/>
      <c r="M19" s="52"/>
      <c r="N19" s="52"/>
      <c r="O19" s="53"/>
      <c r="P19" s="53"/>
      <c r="Q19" s="53"/>
      <c r="R19" s="53"/>
      <c r="S19" s="118"/>
    </row>
    <row r="20" spans="2:19" ht="45" hidden="1" customHeight="1" x14ac:dyDescent="0.25">
      <c r="B20" s="51"/>
      <c r="C20" s="23"/>
      <c r="D20" s="52"/>
      <c r="E20" s="52"/>
      <c r="F20" s="52"/>
      <c r="G20" s="52"/>
      <c r="H20" s="52"/>
      <c r="I20" s="52"/>
      <c r="J20" s="52"/>
      <c r="K20" s="52"/>
      <c r="L20" s="52"/>
      <c r="M20" s="52"/>
      <c r="N20" s="52"/>
      <c r="O20" s="53"/>
      <c r="P20" s="53"/>
      <c r="Q20" s="54"/>
      <c r="R20" s="54"/>
      <c r="S20" s="116"/>
    </row>
    <row r="21" spans="2:19" ht="45" hidden="1" customHeight="1" x14ac:dyDescent="0.25">
      <c r="B21" s="51"/>
      <c r="C21" s="23"/>
      <c r="D21" s="52"/>
      <c r="E21" s="52"/>
      <c r="F21" s="52"/>
      <c r="G21" s="52"/>
      <c r="H21" s="52"/>
      <c r="I21" s="52"/>
      <c r="J21" s="52"/>
      <c r="K21" s="52"/>
      <c r="L21" s="52"/>
      <c r="M21" s="52"/>
      <c r="N21" s="52"/>
      <c r="O21" s="53"/>
      <c r="P21" s="53"/>
      <c r="Q21" s="54"/>
      <c r="R21" s="54"/>
      <c r="S21" s="116"/>
    </row>
    <row r="22" spans="2:19" ht="45" hidden="1" customHeight="1" x14ac:dyDescent="0.25">
      <c r="B22" s="51"/>
      <c r="C22" s="23"/>
      <c r="D22" s="52"/>
      <c r="E22" s="52"/>
      <c r="F22" s="52"/>
      <c r="G22" s="52"/>
      <c r="H22" s="52"/>
      <c r="I22" s="52"/>
      <c r="J22" s="52"/>
      <c r="K22" s="52"/>
      <c r="L22" s="52"/>
      <c r="M22" s="52"/>
      <c r="N22" s="52"/>
      <c r="O22" s="53"/>
      <c r="P22" s="53"/>
      <c r="Q22" s="54"/>
      <c r="R22" s="54"/>
      <c r="S22" s="116"/>
    </row>
    <row r="23" spans="2:19" ht="45" hidden="1" customHeight="1" x14ac:dyDescent="0.25">
      <c r="B23" s="51"/>
      <c r="C23" s="23"/>
      <c r="D23" s="52"/>
      <c r="E23" s="52"/>
      <c r="F23" s="52"/>
      <c r="G23" s="52"/>
      <c r="H23" s="52"/>
      <c r="I23" s="52"/>
      <c r="J23" s="52"/>
      <c r="K23" s="52"/>
      <c r="L23" s="52"/>
      <c r="M23" s="52"/>
      <c r="N23" s="52"/>
      <c r="O23" s="53"/>
      <c r="P23" s="53"/>
      <c r="Q23" s="54"/>
      <c r="R23" s="54"/>
      <c r="S23" s="116"/>
    </row>
    <row r="24" spans="2:19" ht="45" hidden="1" customHeight="1" x14ac:dyDescent="0.25">
      <c r="B24" s="51"/>
      <c r="C24" s="23"/>
      <c r="D24" s="52"/>
      <c r="E24" s="52"/>
      <c r="F24" s="52"/>
      <c r="G24" s="52"/>
      <c r="H24" s="52"/>
      <c r="I24" s="52"/>
      <c r="J24" s="52"/>
      <c r="K24" s="52"/>
      <c r="L24" s="52"/>
      <c r="M24" s="52"/>
      <c r="N24" s="52"/>
      <c r="O24" s="53"/>
      <c r="P24" s="53"/>
      <c r="Q24" s="54"/>
      <c r="R24" s="54"/>
      <c r="S24" s="116"/>
    </row>
    <row r="25" spans="2:19" ht="45" hidden="1" customHeight="1" x14ac:dyDescent="0.25">
      <c r="B25" s="51"/>
      <c r="C25" s="24"/>
      <c r="D25" s="52"/>
      <c r="E25" s="52"/>
      <c r="F25" s="52"/>
      <c r="G25" s="52"/>
      <c r="H25" s="52"/>
      <c r="I25" s="52"/>
      <c r="J25" s="52"/>
      <c r="K25" s="52"/>
      <c r="L25" s="52"/>
      <c r="M25" s="52"/>
      <c r="N25" s="52"/>
      <c r="O25" s="53"/>
      <c r="P25" s="53"/>
      <c r="Q25" s="54"/>
      <c r="R25" s="54"/>
      <c r="S25" s="116"/>
    </row>
    <row r="26" spans="2:19" ht="45" hidden="1" customHeight="1" x14ac:dyDescent="0.25">
      <c r="B26" s="51"/>
      <c r="C26" s="24"/>
      <c r="D26" s="52"/>
      <c r="E26" s="52"/>
      <c r="F26" s="52"/>
      <c r="G26" s="52"/>
      <c r="H26" s="52"/>
      <c r="I26" s="52"/>
      <c r="J26" s="52"/>
      <c r="K26" s="52"/>
      <c r="L26" s="52"/>
      <c r="M26" s="52"/>
      <c r="N26" s="52"/>
      <c r="O26" s="53"/>
      <c r="P26" s="53"/>
      <c r="Q26" s="54"/>
      <c r="R26" s="54"/>
      <c r="S26" s="116"/>
    </row>
    <row r="27" spans="2:19" ht="45" hidden="1" customHeight="1" x14ac:dyDescent="0.25">
      <c r="B27" s="51"/>
      <c r="C27" s="23"/>
      <c r="D27" s="52"/>
      <c r="E27" s="52"/>
      <c r="F27" s="52"/>
      <c r="G27" s="52"/>
      <c r="H27" s="52"/>
      <c r="I27" s="52"/>
      <c r="J27" s="52"/>
      <c r="K27" s="52"/>
      <c r="L27" s="52"/>
      <c r="M27" s="52"/>
      <c r="N27" s="52"/>
      <c r="O27" s="53"/>
      <c r="P27" s="53"/>
      <c r="Q27" s="54"/>
      <c r="R27" s="54"/>
      <c r="S27" s="116"/>
    </row>
    <row r="28" spans="2:19" ht="45" hidden="1" customHeight="1" x14ac:dyDescent="0.25">
      <c r="B28" s="51"/>
      <c r="C28" s="23"/>
      <c r="D28" s="52"/>
      <c r="E28" s="52"/>
      <c r="F28" s="52"/>
      <c r="G28" s="52"/>
      <c r="H28" s="52"/>
      <c r="I28" s="52"/>
      <c r="J28" s="52"/>
      <c r="K28" s="52"/>
      <c r="L28" s="52"/>
      <c r="M28" s="52"/>
      <c r="N28" s="52"/>
      <c r="O28" s="53"/>
      <c r="P28" s="53"/>
      <c r="Q28" s="54"/>
      <c r="R28" s="54"/>
      <c r="S28" s="116"/>
    </row>
    <row r="29" spans="2:19" ht="45" hidden="1" customHeight="1" x14ac:dyDescent="0.25">
      <c r="B29" s="51"/>
      <c r="C29" s="24"/>
      <c r="D29" s="52"/>
      <c r="E29" s="52"/>
      <c r="F29" s="52"/>
      <c r="G29" s="52"/>
      <c r="H29" s="52"/>
      <c r="I29" s="52"/>
      <c r="J29" s="52"/>
      <c r="K29" s="52"/>
      <c r="L29" s="52"/>
      <c r="M29" s="52"/>
      <c r="N29" s="52"/>
      <c r="O29" s="53"/>
      <c r="P29" s="53"/>
      <c r="Q29" s="54"/>
      <c r="R29" s="54"/>
      <c r="S29" s="116"/>
    </row>
    <row r="30" spans="2:19" ht="45" hidden="1" customHeight="1" x14ac:dyDescent="0.25">
      <c r="B30" s="51"/>
      <c r="C30" s="23"/>
      <c r="D30" s="52"/>
      <c r="E30" s="52"/>
      <c r="F30" s="52"/>
      <c r="G30" s="52"/>
      <c r="H30" s="52"/>
      <c r="I30" s="52"/>
      <c r="J30" s="52"/>
      <c r="K30" s="52"/>
      <c r="L30" s="52"/>
      <c r="M30" s="52"/>
      <c r="N30" s="52"/>
      <c r="O30" s="53"/>
      <c r="P30" s="53"/>
      <c r="Q30" s="54"/>
      <c r="R30" s="54"/>
      <c r="S30" s="116"/>
    </row>
    <row r="31" spans="2:19" ht="45" hidden="1" customHeight="1" x14ac:dyDescent="0.25">
      <c r="B31" s="51"/>
      <c r="C31" s="23"/>
      <c r="D31" s="52"/>
      <c r="E31" s="52"/>
      <c r="F31" s="52"/>
      <c r="G31" s="52"/>
      <c r="H31" s="52"/>
      <c r="I31" s="52"/>
      <c r="J31" s="52"/>
      <c r="K31" s="52"/>
      <c r="L31" s="52"/>
      <c r="M31" s="52"/>
      <c r="N31" s="52"/>
      <c r="O31" s="53"/>
      <c r="P31" s="53"/>
      <c r="Q31" s="54"/>
      <c r="R31" s="54"/>
      <c r="S31" s="116"/>
    </row>
    <row r="32" spans="2:19" ht="45" hidden="1" customHeight="1" x14ac:dyDescent="0.25">
      <c r="B32" s="51"/>
      <c r="C32" s="55"/>
      <c r="D32" s="52"/>
      <c r="E32" s="52"/>
      <c r="F32" s="52"/>
      <c r="G32" s="52"/>
      <c r="H32" s="52"/>
      <c r="I32" s="52"/>
      <c r="J32" s="52"/>
      <c r="K32" s="52"/>
      <c r="L32" s="52"/>
      <c r="M32" s="52"/>
      <c r="N32" s="52"/>
      <c r="O32" s="53"/>
      <c r="P32" s="53"/>
      <c r="Q32" s="54"/>
      <c r="R32" s="54"/>
      <c r="S32" s="116"/>
    </row>
    <row r="33" spans="2:24" ht="45" hidden="1" customHeight="1" x14ac:dyDescent="0.25">
      <c r="B33" s="51"/>
      <c r="C33" s="55"/>
      <c r="D33" s="52"/>
      <c r="E33" s="52"/>
      <c r="F33" s="52"/>
      <c r="G33" s="52"/>
      <c r="H33" s="52"/>
      <c r="I33" s="52"/>
      <c r="J33" s="52"/>
      <c r="K33" s="52"/>
      <c r="L33" s="52"/>
      <c r="M33" s="52"/>
      <c r="N33" s="52"/>
      <c r="O33" s="53"/>
      <c r="P33" s="53"/>
      <c r="Q33" s="54"/>
      <c r="R33" s="54"/>
      <c r="S33" s="116"/>
    </row>
    <row r="34" spans="2:24" ht="45" hidden="1" customHeight="1" x14ac:dyDescent="0.25">
      <c r="B34" s="51"/>
      <c r="C34" s="55"/>
      <c r="D34" s="52"/>
      <c r="E34" s="52"/>
      <c r="F34" s="52"/>
      <c r="G34" s="52"/>
      <c r="H34" s="52"/>
      <c r="I34" s="52"/>
      <c r="J34" s="52"/>
      <c r="K34" s="52"/>
      <c r="L34" s="52"/>
      <c r="M34" s="52"/>
      <c r="N34" s="52"/>
      <c r="O34" s="53"/>
      <c r="P34" s="53"/>
      <c r="Q34" s="54"/>
      <c r="R34" s="54"/>
      <c r="S34" s="116"/>
    </row>
    <row r="35" spans="2:24" ht="45" hidden="1" customHeight="1" x14ac:dyDescent="0.25">
      <c r="B35" s="51"/>
      <c r="C35" s="55"/>
      <c r="D35" s="52"/>
      <c r="E35" s="52"/>
      <c r="F35" s="52"/>
      <c r="G35" s="52"/>
      <c r="H35" s="52"/>
      <c r="I35" s="52"/>
      <c r="J35" s="52"/>
      <c r="K35" s="52"/>
      <c r="L35" s="52"/>
      <c r="M35" s="52"/>
      <c r="N35" s="52"/>
      <c r="O35" s="53"/>
      <c r="P35" s="53"/>
      <c r="Q35" s="54"/>
      <c r="R35" s="54"/>
      <c r="S35" s="116"/>
    </row>
    <row r="36" spans="2:24" ht="45" hidden="1" customHeight="1" x14ac:dyDescent="0.25">
      <c r="B36" s="51"/>
      <c r="C36" s="55"/>
      <c r="D36" s="52"/>
      <c r="E36" s="52"/>
      <c r="F36" s="52"/>
      <c r="G36" s="52"/>
      <c r="H36" s="52"/>
      <c r="I36" s="52"/>
      <c r="J36" s="52"/>
      <c r="K36" s="52"/>
      <c r="L36" s="52"/>
      <c r="M36" s="52"/>
      <c r="N36" s="52"/>
      <c r="O36" s="53"/>
      <c r="P36" s="53"/>
      <c r="Q36" s="54"/>
      <c r="R36" s="54"/>
      <c r="S36" s="116"/>
    </row>
    <row r="37" spans="2:24" ht="45" hidden="1" customHeight="1" x14ac:dyDescent="0.25">
      <c r="B37" s="51"/>
      <c r="C37" s="55"/>
      <c r="D37" s="52"/>
      <c r="E37" s="52"/>
      <c r="F37" s="52"/>
      <c r="G37" s="52"/>
      <c r="H37" s="52"/>
      <c r="I37" s="52"/>
      <c r="J37" s="52"/>
      <c r="K37" s="52"/>
      <c r="L37" s="52"/>
      <c r="M37" s="52"/>
      <c r="N37" s="52"/>
      <c r="O37" s="53"/>
      <c r="P37" s="53"/>
      <c r="Q37" s="54"/>
      <c r="R37" s="54"/>
      <c r="S37" s="116"/>
    </row>
    <row r="38" spans="2:24" ht="45" hidden="1" customHeight="1" x14ac:dyDescent="0.25">
      <c r="B38" s="51"/>
      <c r="C38" s="55"/>
      <c r="D38" s="52"/>
      <c r="E38" s="52"/>
      <c r="F38" s="52"/>
      <c r="G38" s="52"/>
      <c r="H38" s="52"/>
      <c r="I38" s="52"/>
      <c r="J38" s="52"/>
      <c r="K38" s="52"/>
      <c r="L38" s="52"/>
      <c r="M38" s="52"/>
      <c r="N38" s="52"/>
      <c r="O38" s="53"/>
      <c r="P38" s="53"/>
      <c r="Q38" s="54"/>
      <c r="R38" s="54"/>
      <c r="S38" s="116"/>
    </row>
    <row r="39" spans="2:24" ht="45" hidden="1" customHeight="1" x14ac:dyDescent="0.25">
      <c r="B39" s="51"/>
      <c r="C39" s="55"/>
      <c r="D39" s="52"/>
      <c r="E39" s="52"/>
      <c r="F39" s="52"/>
      <c r="G39" s="52"/>
      <c r="H39" s="52"/>
      <c r="I39" s="52"/>
      <c r="J39" s="52"/>
      <c r="K39" s="52"/>
      <c r="L39" s="52"/>
      <c r="M39" s="52"/>
      <c r="N39" s="52"/>
      <c r="O39" s="53"/>
      <c r="P39" s="53"/>
      <c r="Q39" s="54"/>
      <c r="R39" s="54"/>
      <c r="S39" s="116"/>
    </row>
    <row r="40" spans="2:24" ht="45" hidden="1" customHeight="1" x14ac:dyDescent="0.25">
      <c r="B40" s="51"/>
      <c r="C40" s="55"/>
      <c r="D40" s="52"/>
      <c r="E40" s="52"/>
      <c r="F40" s="52"/>
      <c r="G40" s="52"/>
      <c r="H40" s="52"/>
      <c r="I40" s="52"/>
      <c r="J40" s="52"/>
      <c r="K40" s="52"/>
      <c r="L40" s="52"/>
      <c r="M40" s="52"/>
      <c r="N40" s="52"/>
      <c r="O40" s="53"/>
      <c r="P40" s="53"/>
      <c r="Q40" s="54"/>
      <c r="R40" s="54"/>
      <c r="S40" s="116"/>
    </row>
    <row r="41" spans="2:24" ht="45" hidden="1" customHeight="1" x14ac:dyDescent="0.25">
      <c r="B41" s="51"/>
      <c r="C41" s="55"/>
      <c r="D41" s="52"/>
      <c r="E41" s="52"/>
      <c r="F41" s="52"/>
      <c r="G41" s="52"/>
      <c r="H41" s="52"/>
      <c r="I41" s="52"/>
      <c r="J41" s="52"/>
      <c r="K41" s="52"/>
      <c r="L41" s="52"/>
      <c r="M41" s="52"/>
      <c r="N41" s="52"/>
      <c r="O41" s="53"/>
      <c r="P41" s="53"/>
      <c r="Q41" s="54"/>
      <c r="R41" s="54"/>
      <c r="S41" s="116"/>
    </row>
    <row r="42" spans="2:24" ht="45" hidden="1" customHeight="1" x14ac:dyDescent="0.25">
      <c r="B42" s="51"/>
      <c r="C42" s="55"/>
      <c r="D42" s="52"/>
      <c r="E42" s="52"/>
      <c r="F42" s="52"/>
      <c r="G42" s="52"/>
      <c r="H42" s="52"/>
      <c r="I42" s="52"/>
      <c r="J42" s="52"/>
      <c r="K42" s="52"/>
      <c r="L42" s="52"/>
      <c r="M42" s="52"/>
      <c r="N42" s="52"/>
      <c r="O42" s="53"/>
      <c r="P42" s="53"/>
      <c r="Q42" s="54"/>
      <c r="R42" s="54"/>
      <c r="S42" s="116"/>
    </row>
    <row r="43" spans="2:24" ht="45" hidden="1" customHeight="1" x14ac:dyDescent="0.25">
      <c r="B43" s="51"/>
      <c r="C43" s="57"/>
      <c r="D43" s="52"/>
      <c r="E43" s="52"/>
      <c r="F43" s="52"/>
      <c r="G43" s="52"/>
      <c r="H43" s="52"/>
      <c r="I43" s="52"/>
      <c r="J43" s="52"/>
      <c r="K43" s="52"/>
      <c r="L43" s="52"/>
      <c r="M43" s="52"/>
      <c r="N43" s="52"/>
      <c r="O43" s="53"/>
      <c r="P43" s="53"/>
      <c r="Q43" s="54"/>
      <c r="R43" s="54"/>
      <c r="S43" s="116"/>
    </row>
    <row r="44" spans="2:24" ht="30" customHeight="1" x14ac:dyDescent="0.25">
      <c r="B44" s="174" t="s">
        <v>713</v>
      </c>
      <c r="C44" s="174"/>
      <c r="D44" s="58">
        <f t="shared" ref="D44:M44" si="5">SUM(D14:D43)</f>
        <v>2400000</v>
      </c>
      <c r="E44" s="58">
        <f t="shared" si="5"/>
        <v>4</v>
      </c>
      <c r="F44" s="58">
        <f t="shared" si="5"/>
        <v>1720000</v>
      </c>
      <c r="G44" s="58">
        <f t="shared" si="5"/>
        <v>1720000</v>
      </c>
      <c r="H44" s="58">
        <f t="shared" si="5"/>
        <v>8</v>
      </c>
      <c r="I44" s="58">
        <f t="shared" si="5"/>
        <v>600000</v>
      </c>
      <c r="J44" s="58">
        <f t="shared" si="5"/>
        <v>1200000</v>
      </c>
      <c r="K44" s="58">
        <f t="shared" si="5"/>
        <v>4</v>
      </c>
      <c r="L44" s="58">
        <f t="shared" si="5"/>
        <v>420000</v>
      </c>
      <c r="M44" s="58">
        <f t="shared" si="5"/>
        <v>420000</v>
      </c>
      <c r="N44" s="58"/>
      <c r="O44" s="58">
        <f>SUM(O14:O43)</f>
        <v>5740000</v>
      </c>
      <c r="P44" s="59"/>
      <c r="Q44" s="53"/>
      <c r="R44" s="53"/>
      <c r="S44" s="116"/>
      <c r="T44" s="56"/>
      <c r="X44" s="60"/>
    </row>
    <row r="45" spans="2:24" s="43" customFormat="1" ht="23.25" customHeight="1" x14ac:dyDescent="0.25">
      <c r="B45" s="165" t="s">
        <v>686</v>
      </c>
      <c r="C45" s="165"/>
      <c r="D45" s="166"/>
      <c r="E45" s="166"/>
      <c r="F45" s="166"/>
      <c r="G45" s="166"/>
      <c r="H45" s="166"/>
      <c r="I45" s="166"/>
      <c r="J45" s="166"/>
      <c r="K45" s="166"/>
      <c r="L45" s="166"/>
      <c r="M45" s="166"/>
      <c r="N45" s="166"/>
      <c r="O45" s="166"/>
      <c r="P45" s="166"/>
      <c r="Q45" s="166"/>
      <c r="R45" s="167"/>
      <c r="S45" s="117"/>
      <c r="V45" s="61"/>
    </row>
    <row r="46" spans="2:24" ht="14.1" customHeight="1" x14ac:dyDescent="0.25"/>
    <row r="47" spans="2:24" ht="15.4" customHeight="1" x14ac:dyDescent="0.25">
      <c r="Q47" s="40" t="s">
        <v>702</v>
      </c>
    </row>
    <row r="48" spans="2:24" ht="15.4" customHeight="1" x14ac:dyDescent="0.25">
      <c r="B48" s="8" t="s">
        <v>690</v>
      </c>
      <c r="C48" s="8"/>
      <c r="D48" s="62"/>
      <c r="G48" s="63"/>
      <c r="J48" s="63"/>
      <c r="M48" s="63"/>
      <c r="N48" s="62"/>
      <c r="Q48" s="42" t="s">
        <v>691</v>
      </c>
    </row>
    <row r="49" spans="2:17" ht="15.4" customHeight="1" x14ac:dyDescent="0.25">
      <c r="B49" s="8" t="s">
        <v>692</v>
      </c>
      <c r="C49" s="8"/>
      <c r="D49" s="62"/>
      <c r="G49" s="63"/>
      <c r="J49" s="63"/>
      <c r="M49" s="63"/>
      <c r="N49" s="62"/>
      <c r="Q49" s="42" t="s">
        <v>693</v>
      </c>
    </row>
    <row r="50" spans="2:17" ht="14.1" customHeight="1" x14ac:dyDescent="0.25">
      <c r="B50" s="8" t="s">
        <v>694</v>
      </c>
      <c r="C50" s="8"/>
      <c r="D50" s="62"/>
      <c r="G50" s="63"/>
      <c r="J50" s="63"/>
      <c r="M50" s="63"/>
      <c r="N50" s="62"/>
      <c r="Q50" s="42"/>
    </row>
    <row r="51" spans="2:17" ht="14.1" customHeight="1" x14ac:dyDescent="0.25">
      <c r="B51" s="8"/>
      <c r="C51" s="8"/>
      <c r="D51" s="62"/>
      <c r="G51" s="63"/>
      <c r="J51" s="63"/>
      <c r="M51" s="63"/>
      <c r="N51" s="62"/>
      <c r="Q51" s="42"/>
    </row>
    <row r="52" spans="2:17" ht="14.1" customHeight="1" x14ac:dyDescent="0.25">
      <c r="B52" s="8"/>
      <c r="C52" s="8"/>
      <c r="D52" s="62"/>
      <c r="G52" s="63"/>
      <c r="J52" s="63"/>
      <c r="M52" s="63"/>
      <c r="N52" s="62"/>
      <c r="Q52" s="42"/>
    </row>
    <row r="53" spans="2:17" ht="14.1" customHeight="1" x14ac:dyDescent="0.25">
      <c r="B53" s="8"/>
      <c r="C53" s="8"/>
      <c r="D53" s="62"/>
      <c r="G53" s="63"/>
      <c r="J53" s="63"/>
      <c r="M53" s="63"/>
      <c r="N53" s="62"/>
      <c r="Q53" s="42"/>
    </row>
    <row r="54" spans="2:17" ht="15" customHeight="1" x14ac:dyDescent="0.25">
      <c r="B54" s="44" t="s">
        <v>56</v>
      </c>
      <c r="C54" s="8"/>
      <c r="D54" s="45"/>
      <c r="G54" s="64"/>
      <c r="J54" s="64"/>
      <c r="M54" s="64"/>
      <c r="N54" s="45"/>
      <c r="Q54" s="45" t="s">
        <v>77</v>
      </c>
    </row>
    <row r="55" spans="2:17" ht="15" customHeight="1" x14ac:dyDescent="0.25">
      <c r="B55" s="44" t="s">
        <v>695</v>
      </c>
      <c r="C55" s="8"/>
      <c r="D55" s="14"/>
      <c r="G55" s="65"/>
      <c r="J55" s="65"/>
      <c r="M55" s="65"/>
      <c r="N55" s="14"/>
      <c r="Q55" s="14" t="s">
        <v>696</v>
      </c>
    </row>
    <row r="56" spans="2:17" ht="14.1" customHeight="1" x14ac:dyDescent="0.25">
      <c r="D56" s="66"/>
      <c r="E56" s="66"/>
      <c r="F56" s="66"/>
      <c r="G56" s="66"/>
      <c r="H56" s="66"/>
      <c r="I56" s="66"/>
      <c r="J56" s="66"/>
      <c r="K56" s="66"/>
      <c r="L56" s="66"/>
      <c r="M56" s="66"/>
      <c r="N56" s="66"/>
    </row>
    <row r="60" spans="2:17" ht="14.1" customHeight="1" x14ac:dyDescent="0.25">
      <c r="D60" s="67"/>
      <c r="E60" s="67"/>
      <c r="F60" s="67"/>
      <c r="G60" s="67"/>
      <c r="H60" s="67"/>
      <c r="I60" s="67"/>
      <c r="J60" s="67"/>
      <c r="K60" s="67"/>
      <c r="L60" s="67"/>
      <c r="M60" s="67"/>
      <c r="N60" s="67"/>
    </row>
    <row r="61" spans="2:17" ht="14.1" customHeight="1" x14ac:dyDescent="0.25">
      <c r="D61" s="67"/>
      <c r="E61" s="67"/>
      <c r="F61" s="67"/>
      <c r="G61" s="67"/>
      <c r="H61" s="67"/>
      <c r="I61" s="67"/>
      <c r="J61" s="67"/>
      <c r="K61" s="67"/>
      <c r="L61" s="67"/>
      <c r="M61" s="67"/>
      <c r="N61" s="67"/>
    </row>
    <row r="62" spans="2:17" ht="14.1" customHeight="1" x14ac:dyDescent="0.25">
      <c r="D62" s="67"/>
      <c r="E62" s="67"/>
      <c r="F62" s="67"/>
      <c r="G62" s="67"/>
      <c r="H62" s="67"/>
      <c r="I62" s="67"/>
      <c r="J62" s="67"/>
      <c r="K62" s="67"/>
      <c r="L62" s="67"/>
      <c r="M62" s="67"/>
      <c r="N62" s="67"/>
    </row>
    <row r="63" spans="2:17" ht="14.1" customHeight="1" x14ac:dyDescent="0.25">
      <c r="D63" s="67"/>
      <c r="E63" s="67"/>
      <c r="F63" s="67"/>
      <c r="G63" s="67"/>
      <c r="H63" s="67"/>
      <c r="I63" s="67"/>
      <c r="J63" s="67"/>
      <c r="K63" s="67"/>
      <c r="L63" s="67"/>
      <c r="M63" s="67"/>
      <c r="N63" s="67"/>
    </row>
    <row r="64" spans="2:17" ht="14.1" customHeight="1" x14ac:dyDescent="0.25">
      <c r="D64" s="67"/>
      <c r="E64" s="67"/>
      <c r="F64" s="67"/>
      <c r="G64" s="67"/>
      <c r="H64" s="67"/>
      <c r="I64" s="67"/>
      <c r="J64" s="67"/>
      <c r="K64" s="67"/>
      <c r="L64" s="67"/>
      <c r="M64" s="67"/>
      <c r="N64" s="67"/>
    </row>
  </sheetData>
  <autoFilter ref="D13:F45" xr:uid="{00000000-0009-0000-0000-000004000000}"/>
  <mergeCells count="19">
    <mergeCell ref="B5:R5"/>
    <mergeCell ref="B6:R6"/>
    <mergeCell ref="B7:R7"/>
    <mergeCell ref="B8:R8"/>
    <mergeCell ref="B11:B12"/>
    <mergeCell ref="C11:C12"/>
    <mergeCell ref="D11:D12"/>
    <mergeCell ref="E11:G11"/>
    <mergeCell ref="H11:J11"/>
    <mergeCell ref="K11:M11"/>
    <mergeCell ref="S11:S12"/>
    <mergeCell ref="B44:C44"/>
    <mergeCell ref="B45:C45"/>
    <mergeCell ref="D45:R45"/>
    <mergeCell ref="N11:N12"/>
    <mergeCell ref="O11:O12"/>
    <mergeCell ref="P11:P12"/>
    <mergeCell ref="Q11:Q12"/>
    <mergeCell ref="R11:R12"/>
  </mergeCells>
  <conditionalFormatting sqref="C25:C26">
    <cfRule type="duplicateValues" dxfId="6" priority="1"/>
  </conditionalFormatting>
  <conditionalFormatting sqref="C27:C28 C30:C42 C14:C17 C19:C24">
    <cfRule type="duplicateValues" dxfId="5" priority="3"/>
  </conditionalFormatting>
  <conditionalFormatting sqref="C29">
    <cfRule type="duplicateValues" dxfId="4" priority="2"/>
  </conditionalFormatting>
  <pageMargins left="0.39370078740157483" right="0.39370078740157483" top="0.47244094488188981" bottom="0.70866141732283472" header="0.31496062992125984" footer="0.31496062992125984"/>
  <pageSetup scale="36" fitToHeight="0" orientation="portrait" useFirstPageNumber="1" horizontalDpi="360" verticalDpi="360" r:id="rId1"/>
  <rowBreaks count="1" manualBreakCount="1">
    <brk id="38" min="1" max="14" man="1"/>
  </rowBreaks>
  <extLst>
    <ext xmlns:x14="http://schemas.microsoft.com/office/spreadsheetml/2009/9/main" uri="{CCE6A557-97BC-4b89-ADB6-D9C93CAAB3DF}">
      <x14:dataValidations xmlns:xm="http://schemas.microsoft.com/office/excel/2006/main" count="1">
        <x14:dataValidation type="list" allowBlank="1" showInputMessage="1" showErrorMessage="1" xr:uid="{908B69CD-0645-4920-8CAB-475EC6ACBC39}">
          <x14:formula1>
            <xm:f>'Ref Pegawai'!$B$2:$B$123</xm:f>
          </x14:formula1>
          <xm:sqref>C14:C17 C19:C24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923B4-E2FC-467B-B8F7-87CC0EBC722D}">
  <sheetPr>
    <tabColor rgb="FF00B0F0"/>
    <pageSetUpPr fitToPage="1"/>
  </sheetPr>
  <dimension ref="B1:Z65"/>
  <sheetViews>
    <sheetView view="pageBreakPreview" zoomScale="85" zoomScaleNormal="85" zoomScaleSheetLayoutView="85" workbookViewId="0">
      <pane xSplit="3" ySplit="13" topLeftCell="D14" activePane="bottomRight" state="frozen"/>
      <selection pane="topRight" activeCell="E1" sqref="E1"/>
      <selection pane="bottomLeft" activeCell="A13" sqref="A13"/>
      <selection pane="bottomRight" activeCell="K15" sqref="K15"/>
    </sheetView>
  </sheetViews>
  <sheetFormatPr defaultColWidth="9.125" defaultRowHeight="13.9" customHeight="1" x14ac:dyDescent="0.25"/>
  <cols>
    <col min="1" max="1" width="2.125" style="47" customWidth="1"/>
    <col min="2" max="2" width="5.25" style="47" customWidth="1"/>
    <col min="3" max="3" width="28.125" style="47" customWidth="1"/>
    <col min="4" max="4" width="14.125" style="47" customWidth="1"/>
    <col min="5" max="5" width="7.375" style="47" customWidth="1"/>
    <col min="6" max="6" width="10" style="47" customWidth="1"/>
    <col min="7" max="7" width="14.125" style="47" customWidth="1"/>
    <col min="8" max="8" width="7.375" style="47" customWidth="1"/>
    <col min="9" max="9" width="10" style="47" customWidth="1"/>
    <col min="10" max="10" width="14.125" style="47" customWidth="1"/>
    <col min="11" max="11" width="7.375" style="47" customWidth="1"/>
    <col min="12" max="12" width="10" style="47" customWidth="1"/>
    <col min="13" max="16" width="14.125" style="47" customWidth="1"/>
    <col min="17" max="17" width="15" style="47" customWidth="1"/>
    <col min="18" max="18" width="25.25" style="47" customWidth="1"/>
    <col min="19" max="19" width="18.75" style="47" customWidth="1"/>
    <col min="20" max="20" width="15.125" style="47" customWidth="1"/>
    <col min="21" max="21" width="22.5" style="47" customWidth="1"/>
    <col min="22" max="22" width="11.625" style="47" customWidth="1"/>
    <col min="23" max="23" width="10.25" style="47" customWidth="1"/>
    <col min="24" max="24" width="10.625" style="56" customWidth="1"/>
    <col min="25" max="25" width="9.125" style="47" customWidth="1"/>
    <col min="26" max="16384" width="9.125" style="47"/>
  </cols>
  <sheetData>
    <row r="1" spans="2:21" ht="18" customHeight="1" x14ac:dyDescent="0.25">
      <c r="B1" s="46" t="s">
        <v>655</v>
      </c>
    </row>
    <row r="2" spans="2:21" ht="18" customHeight="1" x14ac:dyDescent="0.25">
      <c r="B2" s="9" t="s">
        <v>707</v>
      </c>
    </row>
    <row r="3" spans="2:21" ht="18" customHeight="1" x14ac:dyDescent="0.25">
      <c r="B3" s="12" t="s">
        <v>714</v>
      </c>
      <c r="C3" s="48"/>
      <c r="D3" s="48"/>
      <c r="E3" s="48"/>
      <c r="F3" s="48"/>
      <c r="G3" s="48"/>
      <c r="H3" s="48"/>
      <c r="I3" s="48"/>
      <c r="J3" s="48"/>
      <c r="K3" s="48"/>
      <c r="L3" s="48"/>
      <c r="M3" s="48"/>
      <c r="N3" s="48"/>
      <c r="O3" s="48"/>
      <c r="P3" s="48"/>
    </row>
    <row r="4" spans="2:21" ht="18" customHeight="1" x14ac:dyDescent="0.25">
      <c r="Q4" s="46"/>
      <c r="R4" s="46"/>
      <c r="S4" s="46"/>
    </row>
    <row r="5" spans="2:21" ht="18" customHeight="1" x14ac:dyDescent="0.25">
      <c r="B5" s="173" t="s">
        <v>841</v>
      </c>
      <c r="C5" s="173"/>
      <c r="D5" s="173"/>
      <c r="E5" s="173"/>
      <c r="F5" s="173"/>
      <c r="G5" s="173"/>
      <c r="H5" s="173"/>
      <c r="I5" s="173"/>
      <c r="J5" s="173"/>
      <c r="K5" s="173"/>
      <c r="L5" s="173"/>
      <c r="M5" s="173"/>
      <c r="N5" s="173"/>
      <c r="O5" s="173"/>
      <c r="P5" s="173"/>
      <c r="Q5" s="173"/>
      <c r="R5" s="173"/>
      <c r="S5" s="173"/>
      <c r="T5" s="173"/>
    </row>
    <row r="6" spans="2:21" ht="18" customHeight="1" x14ac:dyDescent="0.25">
      <c r="B6" s="173" t="s">
        <v>698</v>
      </c>
      <c r="C6" s="173"/>
      <c r="D6" s="173"/>
      <c r="E6" s="173"/>
      <c r="F6" s="173"/>
      <c r="G6" s="173"/>
      <c r="H6" s="173"/>
      <c r="I6" s="173"/>
      <c r="J6" s="173"/>
      <c r="K6" s="173"/>
      <c r="L6" s="173"/>
      <c r="M6" s="173"/>
      <c r="N6" s="173"/>
      <c r="O6" s="173"/>
      <c r="P6" s="173"/>
      <c r="Q6" s="173"/>
      <c r="R6" s="173"/>
      <c r="S6" s="173"/>
      <c r="T6" s="173"/>
    </row>
    <row r="7" spans="2:21" ht="18" customHeight="1" x14ac:dyDescent="0.25">
      <c r="B7" s="173" t="s">
        <v>708</v>
      </c>
      <c r="C7" s="173"/>
      <c r="D7" s="173"/>
      <c r="E7" s="173"/>
      <c r="F7" s="173"/>
      <c r="G7" s="173"/>
      <c r="H7" s="173"/>
      <c r="I7" s="173"/>
      <c r="J7" s="173"/>
      <c r="K7" s="173"/>
      <c r="L7" s="173"/>
      <c r="M7" s="173"/>
      <c r="N7" s="173"/>
      <c r="O7" s="173"/>
      <c r="P7" s="173"/>
      <c r="Q7" s="173"/>
      <c r="R7" s="173"/>
      <c r="S7" s="173"/>
      <c r="T7" s="173"/>
    </row>
    <row r="8" spans="2:21" ht="18" customHeight="1" x14ac:dyDescent="0.25">
      <c r="B8" s="173" t="s">
        <v>699</v>
      </c>
      <c r="C8" s="173"/>
      <c r="D8" s="173"/>
      <c r="E8" s="173"/>
      <c r="F8" s="173"/>
      <c r="G8" s="173"/>
      <c r="H8" s="173"/>
      <c r="I8" s="173"/>
      <c r="J8" s="173"/>
      <c r="K8" s="173"/>
      <c r="L8" s="173"/>
      <c r="M8" s="173"/>
      <c r="N8" s="173"/>
      <c r="O8" s="173"/>
      <c r="P8" s="173"/>
      <c r="Q8" s="173"/>
      <c r="R8" s="173"/>
      <c r="S8" s="173"/>
      <c r="T8" s="173"/>
    </row>
    <row r="9" spans="2:21" ht="18" customHeight="1" thickBot="1" x14ac:dyDescent="0.35">
      <c r="B9" s="125" t="s">
        <v>948</v>
      </c>
      <c r="C9"/>
      <c r="D9"/>
      <c r="E9"/>
      <c r="F9"/>
      <c r="G9"/>
      <c r="H9"/>
      <c r="I9"/>
      <c r="J9"/>
      <c r="K9"/>
      <c r="L9"/>
      <c r="M9"/>
      <c r="N9"/>
      <c r="O9"/>
      <c r="P9"/>
      <c r="Q9"/>
      <c r="R9"/>
      <c r="S9"/>
    </row>
    <row r="10" spans="2:21" ht="18" customHeight="1" x14ac:dyDescent="0.25">
      <c r="B10"/>
      <c r="C10"/>
      <c r="D10"/>
      <c r="E10" s="131"/>
      <c r="F10" s="131"/>
      <c r="G10" s="131"/>
      <c r="H10" s="131"/>
      <c r="I10" s="131"/>
      <c r="J10" s="131"/>
      <c r="K10" s="131"/>
      <c r="L10" s="131"/>
      <c r="M10" s="131"/>
      <c r="N10"/>
      <c r="O10"/>
      <c r="P10"/>
      <c r="Q10" s="131"/>
      <c r="R10"/>
      <c r="S10"/>
    </row>
    <row r="11" spans="2:21" ht="18" customHeight="1" x14ac:dyDescent="0.25">
      <c r="B11" s="169" t="s">
        <v>709</v>
      </c>
      <c r="C11" s="169" t="s">
        <v>659</v>
      </c>
      <c r="D11" s="163" t="s">
        <v>711</v>
      </c>
      <c r="E11" s="170" t="s">
        <v>842</v>
      </c>
      <c r="F11" s="171"/>
      <c r="G11" s="172"/>
      <c r="H11" s="170" t="s">
        <v>844</v>
      </c>
      <c r="I11" s="171"/>
      <c r="J11" s="172"/>
      <c r="K11" s="170" t="s">
        <v>845</v>
      </c>
      <c r="L11" s="171"/>
      <c r="M11" s="172"/>
      <c r="N11" s="163" t="s">
        <v>943</v>
      </c>
      <c r="O11" s="163" t="s">
        <v>944</v>
      </c>
      <c r="P11" s="163" t="s">
        <v>949</v>
      </c>
      <c r="Q11" s="168" t="s">
        <v>712</v>
      </c>
      <c r="R11" s="163" t="s">
        <v>667</v>
      </c>
      <c r="S11" s="163" t="s">
        <v>668</v>
      </c>
      <c r="T11" s="163" t="s">
        <v>9</v>
      </c>
      <c r="U11" s="157" t="s">
        <v>787</v>
      </c>
    </row>
    <row r="12" spans="2:21" ht="36.75" customHeight="1" x14ac:dyDescent="0.25">
      <c r="B12" s="169"/>
      <c r="C12" s="169"/>
      <c r="D12" s="163"/>
      <c r="E12" s="122" t="s">
        <v>710</v>
      </c>
      <c r="F12" s="122" t="s">
        <v>843</v>
      </c>
      <c r="G12" s="122" t="s">
        <v>685</v>
      </c>
      <c r="H12" s="122" t="s">
        <v>710</v>
      </c>
      <c r="I12" s="122" t="s">
        <v>843</v>
      </c>
      <c r="J12" s="122" t="s">
        <v>685</v>
      </c>
      <c r="K12" s="122" t="s">
        <v>710</v>
      </c>
      <c r="L12" s="122" t="s">
        <v>843</v>
      </c>
      <c r="M12" s="122" t="s">
        <v>685</v>
      </c>
      <c r="N12" s="163"/>
      <c r="O12" s="163"/>
      <c r="P12" s="164"/>
      <c r="Q12" s="163"/>
      <c r="R12" s="164"/>
      <c r="S12" s="164"/>
      <c r="T12" s="164"/>
      <c r="U12" s="157"/>
    </row>
    <row r="13" spans="2:21" ht="15.75" customHeight="1" x14ac:dyDescent="0.25">
      <c r="B13" s="49" t="s">
        <v>674</v>
      </c>
      <c r="C13" s="49" t="s">
        <v>675</v>
      </c>
      <c r="D13" s="50" t="s">
        <v>676</v>
      </c>
      <c r="E13" s="50" t="s">
        <v>677</v>
      </c>
      <c r="F13" s="50" t="s">
        <v>678</v>
      </c>
      <c r="G13" s="50" t="s">
        <v>846</v>
      </c>
      <c r="H13" s="50" t="s">
        <v>680</v>
      </c>
      <c r="I13" s="50" t="s">
        <v>847</v>
      </c>
      <c r="J13" s="50" t="s">
        <v>848</v>
      </c>
      <c r="K13" s="50" t="s">
        <v>701</v>
      </c>
      <c r="L13" s="50" t="s">
        <v>682</v>
      </c>
      <c r="M13" s="50" t="s">
        <v>849</v>
      </c>
      <c r="N13" s="50" t="s">
        <v>676</v>
      </c>
      <c r="O13" s="50" t="s">
        <v>676</v>
      </c>
      <c r="P13" s="50"/>
      <c r="Q13" s="49" t="s">
        <v>850</v>
      </c>
      <c r="R13" s="49" t="s">
        <v>683</v>
      </c>
      <c r="S13" s="49" t="s">
        <v>684</v>
      </c>
      <c r="T13" s="49" t="s">
        <v>788</v>
      </c>
      <c r="U13" s="21" t="s">
        <v>851</v>
      </c>
    </row>
    <row r="14" spans="2:21" ht="45" customHeight="1" x14ac:dyDescent="0.25">
      <c r="B14" s="51">
        <v>1</v>
      </c>
      <c r="C14" s="23" t="s">
        <v>166</v>
      </c>
      <c r="D14" s="52">
        <v>600000</v>
      </c>
      <c r="E14" s="52">
        <v>1</v>
      </c>
      <c r="F14" s="52">
        <v>430000</v>
      </c>
      <c r="G14" s="52">
        <f>E14*F14</f>
        <v>430000</v>
      </c>
      <c r="H14" s="52">
        <v>2</v>
      </c>
      <c r="I14" s="52">
        <v>150000</v>
      </c>
      <c r="J14" s="52">
        <f>H14*I14</f>
        <v>300000</v>
      </c>
      <c r="K14" s="52">
        <v>1</v>
      </c>
      <c r="L14" s="52">
        <v>105000</v>
      </c>
      <c r="M14" s="52">
        <f>K14*L14</f>
        <v>105000</v>
      </c>
      <c r="N14" s="52">
        <v>550000</v>
      </c>
      <c r="O14" s="52">
        <v>2500000</v>
      </c>
      <c r="P14" s="52"/>
      <c r="Q14" s="53">
        <f>D14+G14+J14+M14+N14+O14</f>
        <v>4485000</v>
      </c>
      <c r="R14" s="53" t="str">
        <f>PROPER(VLOOKUP(C14,'Ref Pegawai'!$B$2:$J$123,8,FALSE))</f>
        <v>0172856645</v>
      </c>
      <c r="S14" s="53" t="str">
        <f>PROPER(VLOOKUP(C14,'Ref Pegawai'!$B$2:$J$123,8,FALSE))</f>
        <v>0172856645</v>
      </c>
      <c r="T14" s="53" t="str">
        <f>PROPER(VLOOKUP(C14,'Ref Pegawai'!$B$2:$J$123,9,FALSE))</f>
        <v>Bni</v>
      </c>
      <c r="U14" s="118" t="str">
        <f>VLOOKUP(C14,'Ref Pegawai'!$B$2:$L$123,11,FALSE)</f>
        <v>noviyanto26@gmail.com</v>
      </c>
    </row>
    <row r="15" spans="2:21" ht="38.25" customHeight="1" x14ac:dyDescent="0.25">
      <c r="B15" s="51">
        <f t="shared" ref="B15:B20" si="0">B14+1</f>
        <v>2</v>
      </c>
      <c r="C15" s="23" t="s">
        <v>282</v>
      </c>
      <c r="D15" s="52">
        <v>600000</v>
      </c>
      <c r="E15" s="52">
        <v>1</v>
      </c>
      <c r="F15" s="52">
        <v>430000</v>
      </c>
      <c r="G15" s="52">
        <f t="shared" ref="G15:G17" si="1">E15*F15</f>
        <v>430000</v>
      </c>
      <c r="H15" s="52">
        <v>2</v>
      </c>
      <c r="I15" s="52">
        <v>150000</v>
      </c>
      <c r="J15" s="52">
        <f t="shared" ref="J15:J17" si="2">H15*I15</f>
        <v>300000</v>
      </c>
      <c r="K15" s="52">
        <v>1</v>
      </c>
      <c r="L15" s="52">
        <v>105000</v>
      </c>
      <c r="M15" s="52">
        <f t="shared" ref="M15:M17" si="3">K15*L15</f>
        <v>105000</v>
      </c>
      <c r="N15" s="52">
        <v>550000</v>
      </c>
      <c r="O15" s="52">
        <v>2500000</v>
      </c>
      <c r="P15" s="52"/>
      <c r="Q15" s="53">
        <f t="shared" ref="Q15:Q17" si="4">D15+G15+J15+M15+N15+O15</f>
        <v>4485000</v>
      </c>
      <c r="R15" s="53" t="str">
        <f>PROPER(VLOOKUP(C15,'Ref Pegawai'!$B$2:$J$123,8,FALSE))</f>
        <v>0221963721</v>
      </c>
      <c r="S15" s="53" t="str">
        <f>PROPER(VLOOKUP(C15,'Ref Pegawai'!$B$2:$J$123,8,FALSE))</f>
        <v>0221963721</v>
      </c>
      <c r="T15" s="53" t="str">
        <f>PROPER(VLOOKUP(C15,'Ref Pegawai'!$B$2:$J$123,9,FALSE))</f>
        <v>Bni</v>
      </c>
      <c r="U15" s="118" t="str">
        <f>VLOOKUP(C15,'Ref Pegawai'!$B$2:$L$123,11,FALSE)</f>
        <v>taufan.prast@gmail.com</v>
      </c>
    </row>
    <row r="16" spans="2:21" ht="45" customHeight="1" x14ac:dyDescent="0.25">
      <c r="B16" s="51">
        <f t="shared" si="0"/>
        <v>3</v>
      </c>
      <c r="C16" s="23" t="s">
        <v>30</v>
      </c>
      <c r="D16" s="52">
        <v>600000</v>
      </c>
      <c r="E16" s="52">
        <v>1</v>
      </c>
      <c r="F16" s="52">
        <v>430000</v>
      </c>
      <c r="G16" s="52">
        <f t="shared" si="1"/>
        <v>430000</v>
      </c>
      <c r="H16" s="52">
        <v>2</v>
      </c>
      <c r="I16" s="52">
        <v>150000</v>
      </c>
      <c r="J16" s="52">
        <f t="shared" si="2"/>
        <v>300000</v>
      </c>
      <c r="K16" s="52">
        <v>1</v>
      </c>
      <c r="L16" s="52">
        <v>105000</v>
      </c>
      <c r="M16" s="52">
        <f t="shared" si="3"/>
        <v>105000</v>
      </c>
      <c r="N16" s="52">
        <v>550000</v>
      </c>
      <c r="O16" s="52">
        <v>2500000</v>
      </c>
      <c r="P16" s="52"/>
      <c r="Q16" s="53">
        <f t="shared" si="4"/>
        <v>4485000</v>
      </c>
      <c r="R16" s="53" t="str">
        <f>PROPER(VLOOKUP(C16,'Ref Pegawai'!$B$2:$J$123,8,FALSE))</f>
        <v>0397880661</v>
      </c>
      <c r="S16" s="53" t="str">
        <f>PROPER(VLOOKUP(C16,'Ref Pegawai'!$B$2:$J$123,8,FALSE))</f>
        <v>0397880661</v>
      </c>
      <c r="T16" s="53" t="str">
        <f>PROPER(VLOOKUP(C16,'Ref Pegawai'!$B$2:$J$123,9,FALSE))</f>
        <v>Bni</v>
      </c>
      <c r="U16" s="118" t="str">
        <f>VLOOKUP(C16,'Ref Pegawai'!$B$2:$L$123,11,FALSE)</f>
        <v>endragu@gmail.com</v>
      </c>
    </row>
    <row r="17" spans="2:21" ht="45" customHeight="1" x14ac:dyDescent="0.25">
      <c r="B17" s="51">
        <f t="shared" si="0"/>
        <v>4</v>
      </c>
      <c r="C17" s="23" t="s">
        <v>145</v>
      </c>
      <c r="D17" s="52">
        <v>600000</v>
      </c>
      <c r="E17" s="52">
        <v>1</v>
      </c>
      <c r="F17" s="52">
        <v>430000</v>
      </c>
      <c r="G17" s="52">
        <f t="shared" si="1"/>
        <v>430000</v>
      </c>
      <c r="H17" s="52">
        <v>2</v>
      </c>
      <c r="I17" s="52">
        <v>150000</v>
      </c>
      <c r="J17" s="52">
        <f t="shared" si="2"/>
        <v>300000</v>
      </c>
      <c r="K17" s="52">
        <v>1</v>
      </c>
      <c r="L17" s="52">
        <v>105000</v>
      </c>
      <c r="M17" s="52">
        <f t="shared" si="3"/>
        <v>105000</v>
      </c>
      <c r="N17" s="52">
        <v>550000</v>
      </c>
      <c r="O17" s="52">
        <v>2500000</v>
      </c>
      <c r="P17" s="52"/>
      <c r="Q17" s="53">
        <f t="shared" si="4"/>
        <v>4485000</v>
      </c>
      <c r="R17" s="53" t="str">
        <f>PROPER(VLOOKUP(C17,'Ref Pegawai'!$B$2:$J$123,8,FALSE))</f>
        <v>0172361108</v>
      </c>
      <c r="S17" s="53" t="str">
        <f>PROPER(VLOOKUP(C17,'Ref Pegawai'!$B$2:$J$123,8,FALSE))</f>
        <v>0172361108</v>
      </c>
      <c r="T17" s="53" t="str">
        <f>PROPER(VLOOKUP(C17,'Ref Pegawai'!$B$2:$J$123,9,FALSE))</f>
        <v>Bni</v>
      </c>
      <c r="U17" s="118" t="str">
        <f>VLOOKUP(C17,'Ref Pegawai'!$B$2:$L$123,11,FALSE)</f>
        <v>lukman_pdgd@yahoo.com</v>
      </c>
    </row>
    <row r="18" spans="2:21" ht="45" customHeight="1" x14ac:dyDescent="0.25">
      <c r="B18" s="51">
        <f t="shared" si="0"/>
        <v>5</v>
      </c>
      <c r="C18" s="52"/>
      <c r="D18" s="52"/>
      <c r="E18" s="52"/>
      <c r="F18" s="52"/>
      <c r="G18" s="52"/>
      <c r="H18" s="52"/>
      <c r="I18" s="52"/>
      <c r="J18" s="52"/>
      <c r="K18" s="52"/>
      <c r="L18" s="52"/>
      <c r="M18" s="52"/>
      <c r="N18" s="52"/>
      <c r="O18" s="52"/>
      <c r="P18" s="52"/>
      <c r="Q18" s="53"/>
      <c r="R18" s="53"/>
      <c r="S18" s="53"/>
      <c r="T18" s="53"/>
      <c r="U18" s="118"/>
    </row>
    <row r="19" spans="2:21" ht="45" customHeight="1" x14ac:dyDescent="0.25">
      <c r="B19" s="51">
        <f t="shared" si="0"/>
        <v>6</v>
      </c>
      <c r="C19" s="52"/>
      <c r="D19" s="52"/>
      <c r="E19" s="52"/>
      <c r="F19" s="52"/>
      <c r="G19" s="52"/>
      <c r="H19" s="52"/>
      <c r="I19" s="52"/>
      <c r="J19" s="52"/>
      <c r="K19" s="52"/>
      <c r="L19" s="52"/>
      <c r="M19" s="52"/>
      <c r="N19" s="52"/>
      <c r="O19" s="52"/>
      <c r="P19" s="52"/>
      <c r="Q19" s="53"/>
      <c r="R19" s="53"/>
      <c r="S19" s="53"/>
      <c r="T19" s="53"/>
      <c r="U19" s="118"/>
    </row>
    <row r="20" spans="2:21" ht="45" customHeight="1" x14ac:dyDescent="0.25">
      <c r="B20" s="51">
        <f t="shared" si="0"/>
        <v>7</v>
      </c>
      <c r="C20" s="23"/>
      <c r="D20" s="52"/>
      <c r="E20" s="52"/>
      <c r="F20" s="52"/>
      <c r="G20" s="52"/>
      <c r="H20" s="52"/>
      <c r="I20" s="52"/>
      <c r="J20" s="52"/>
      <c r="K20" s="52"/>
      <c r="L20" s="52"/>
      <c r="M20" s="52"/>
      <c r="N20" s="52"/>
      <c r="O20" s="52"/>
      <c r="P20" s="52"/>
      <c r="Q20" s="53"/>
      <c r="R20" s="53"/>
      <c r="S20" s="53"/>
      <c r="T20" s="53"/>
      <c r="U20" s="118"/>
    </row>
    <row r="21" spans="2:21" ht="45" hidden="1" customHeight="1" x14ac:dyDescent="0.25">
      <c r="B21" s="51"/>
      <c r="C21" s="23"/>
      <c r="D21" s="52"/>
      <c r="E21" s="52"/>
      <c r="F21" s="52"/>
      <c r="G21" s="52"/>
      <c r="H21" s="52"/>
      <c r="I21" s="52"/>
      <c r="J21" s="52"/>
      <c r="K21" s="52"/>
      <c r="L21" s="52"/>
      <c r="M21" s="52"/>
      <c r="N21" s="52"/>
      <c r="O21" s="52"/>
      <c r="P21" s="52"/>
      <c r="Q21" s="53"/>
      <c r="R21" s="53"/>
      <c r="S21" s="54"/>
      <c r="T21" s="54"/>
      <c r="U21" s="116"/>
    </row>
    <row r="22" spans="2:21" ht="45" hidden="1" customHeight="1" x14ac:dyDescent="0.25">
      <c r="B22" s="51"/>
      <c r="C22" s="23"/>
      <c r="D22" s="52"/>
      <c r="E22" s="52"/>
      <c r="F22" s="52"/>
      <c r="G22" s="52"/>
      <c r="H22" s="52"/>
      <c r="I22" s="52"/>
      <c r="J22" s="52"/>
      <c r="K22" s="52"/>
      <c r="L22" s="52"/>
      <c r="M22" s="52"/>
      <c r="N22" s="52"/>
      <c r="O22" s="52"/>
      <c r="P22" s="52"/>
      <c r="Q22" s="53"/>
      <c r="R22" s="53"/>
      <c r="S22" s="54"/>
      <c r="T22" s="54"/>
      <c r="U22" s="116"/>
    </row>
    <row r="23" spans="2:21" ht="45" hidden="1" customHeight="1" x14ac:dyDescent="0.25">
      <c r="B23" s="51"/>
      <c r="C23" s="23"/>
      <c r="D23" s="52"/>
      <c r="E23" s="52"/>
      <c r="F23" s="52"/>
      <c r="G23" s="52"/>
      <c r="H23" s="52"/>
      <c r="I23" s="52"/>
      <c r="J23" s="52"/>
      <c r="K23" s="52"/>
      <c r="L23" s="52"/>
      <c r="M23" s="52"/>
      <c r="N23" s="52"/>
      <c r="O23" s="52"/>
      <c r="P23" s="52"/>
      <c r="Q23" s="53"/>
      <c r="R23" s="53"/>
      <c r="S23" s="54"/>
      <c r="T23" s="54"/>
      <c r="U23" s="116"/>
    </row>
    <row r="24" spans="2:21" ht="45" hidden="1" customHeight="1" x14ac:dyDescent="0.25">
      <c r="B24" s="51"/>
      <c r="C24" s="23"/>
      <c r="D24" s="52"/>
      <c r="E24" s="52"/>
      <c r="F24" s="52"/>
      <c r="G24" s="52"/>
      <c r="H24" s="52"/>
      <c r="I24" s="52"/>
      <c r="J24" s="52"/>
      <c r="K24" s="52"/>
      <c r="L24" s="52"/>
      <c r="M24" s="52"/>
      <c r="N24" s="52"/>
      <c r="O24" s="52"/>
      <c r="P24" s="52"/>
      <c r="Q24" s="53"/>
      <c r="R24" s="53"/>
      <c r="S24" s="54"/>
      <c r="T24" s="54"/>
      <c r="U24" s="116"/>
    </row>
    <row r="25" spans="2:21" ht="45" hidden="1" customHeight="1" x14ac:dyDescent="0.25">
      <c r="B25" s="51"/>
      <c r="C25" s="23"/>
      <c r="D25" s="52"/>
      <c r="E25" s="52"/>
      <c r="F25" s="52"/>
      <c r="G25" s="52"/>
      <c r="H25" s="52"/>
      <c r="I25" s="52"/>
      <c r="J25" s="52"/>
      <c r="K25" s="52"/>
      <c r="L25" s="52"/>
      <c r="M25" s="52"/>
      <c r="N25" s="52"/>
      <c r="O25" s="52"/>
      <c r="P25" s="52"/>
      <c r="Q25" s="53"/>
      <c r="R25" s="53"/>
      <c r="S25" s="54"/>
      <c r="T25" s="54"/>
      <c r="U25" s="116"/>
    </row>
    <row r="26" spans="2:21" ht="45" hidden="1" customHeight="1" x14ac:dyDescent="0.25">
      <c r="B26" s="51"/>
      <c r="C26" s="24"/>
      <c r="D26" s="52"/>
      <c r="E26" s="52"/>
      <c r="F26" s="52"/>
      <c r="G26" s="52"/>
      <c r="H26" s="52"/>
      <c r="I26" s="52"/>
      <c r="J26" s="52"/>
      <c r="K26" s="52"/>
      <c r="L26" s="52"/>
      <c r="M26" s="52"/>
      <c r="N26" s="52"/>
      <c r="O26" s="52"/>
      <c r="P26" s="52"/>
      <c r="Q26" s="53"/>
      <c r="R26" s="53"/>
      <c r="S26" s="54"/>
      <c r="T26" s="54"/>
      <c r="U26" s="116"/>
    </row>
    <row r="27" spans="2:21" ht="45" hidden="1" customHeight="1" x14ac:dyDescent="0.25">
      <c r="B27" s="51"/>
      <c r="C27" s="24"/>
      <c r="D27" s="52"/>
      <c r="E27" s="52"/>
      <c r="F27" s="52"/>
      <c r="G27" s="52"/>
      <c r="H27" s="52"/>
      <c r="I27" s="52"/>
      <c r="J27" s="52"/>
      <c r="K27" s="52"/>
      <c r="L27" s="52"/>
      <c r="M27" s="52"/>
      <c r="N27" s="52"/>
      <c r="O27" s="52"/>
      <c r="P27" s="52"/>
      <c r="Q27" s="53"/>
      <c r="R27" s="53"/>
      <c r="S27" s="54"/>
      <c r="T27" s="54"/>
      <c r="U27" s="116"/>
    </row>
    <row r="28" spans="2:21" ht="45" hidden="1" customHeight="1" x14ac:dyDescent="0.25">
      <c r="B28" s="51"/>
      <c r="C28" s="23"/>
      <c r="D28" s="52"/>
      <c r="E28" s="52"/>
      <c r="F28" s="52"/>
      <c r="G28" s="52"/>
      <c r="H28" s="52"/>
      <c r="I28" s="52"/>
      <c r="J28" s="52"/>
      <c r="K28" s="52"/>
      <c r="L28" s="52"/>
      <c r="M28" s="52"/>
      <c r="N28" s="52"/>
      <c r="O28" s="52"/>
      <c r="P28" s="52"/>
      <c r="Q28" s="53"/>
      <c r="R28" s="53"/>
      <c r="S28" s="54"/>
      <c r="T28" s="54"/>
      <c r="U28" s="116"/>
    </row>
    <row r="29" spans="2:21" ht="45" hidden="1" customHeight="1" x14ac:dyDescent="0.25">
      <c r="B29" s="51"/>
      <c r="C29" s="23"/>
      <c r="D29" s="52"/>
      <c r="E29" s="52"/>
      <c r="F29" s="52"/>
      <c r="G29" s="52"/>
      <c r="H29" s="52"/>
      <c r="I29" s="52"/>
      <c r="J29" s="52"/>
      <c r="K29" s="52"/>
      <c r="L29" s="52"/>
      <c r="M29" s="52"/>
      <c r="N29" s="52"/>
      <c r="O29" s="52"/>
      <c r="P29" s="52"/>
      <c r="Q29" s="53"/>
      <c r="R29" s="53"/>
      <c r="S29" s="54"/>
      <c r="T29" s="54"/>
      <c r="U29" s="116"/>
    </row>
    <row r="30" spans="2:21" ht="45" hidden="1" customHeight="1" x14ac:dyDescent="0.25">
      <c r="B30" s="51"/>
      <c r="C30" s="24"/>
      <c r="D30" s="52"/>
      <c r="E30" s="52"/>
      <c r="F30" s="52"/>
      <c r="G30" s="52"/>
      <c r="H30" s="52"/>
      <c r="I30" s="52"/>
      <c r="J30" s="52"/>
      <c r="K30" s="52"/>
      <c r="L30" s="52"/>
      <c r="M30" s="52"/>
      <c r="N30" s="52"/>
      <c r="O30" s="52"/>
      <c r="P30" s="52"/>
      <c r="Q30" s="53"/>
      <c r="R30" s="53"/>
      <c r="S30" s="54"/>
      <c r="T30" s="54"/>
      <c r="U30" s="116"/>
    </row>
    <row r="31" spans="2:21" ht="45" hidden="1" customHeight="1" x14ac:dyDescent="0.25">
      <c r="B31" s="51"/>
      <c r="C31" s="23"/>
      <c r="D31" s="52"/>
      <c r="E31" s="52"/>
      <c r="F31" s="52"/>
      <c r="G31" s="52"/>
      <c r="H31" s="52"/>
      <c r="I31" s="52"/>
      <c r="J31" s="52"/>
      <c r="K31" s="52"/>
      <c r="L31" s="52"/>
      <c r="M31" s="52"/>
      <c r="N31" s="52"/>
      <c r="O31" s="52"/>
      <c r="P31" s="52"/>
      <c r="Q31" s="53"/>
      <c r="R31" s="53"/>
      <c r="S31" s="54"/>
      <c r="T31" s="54"/>
      <c r="U31" s="116"/>
    </row>
    <row r="32" spans="2:21" ht="45" hidden="1" customHeight="1" x14ac:dyDescent="0.25">
      <c r="B32" s="51"/>
      <c r="C32" s="23"/>
      <c r="D32" s="52"/>
      <c r="E32" s="52"/>
      <c r="F32" s="52"/>
      <c r="G32" s="52"/>
      <c r="H32" s="52"/>
      <c r="I32" s="52"/>
      <c r="J32" s="52"/>
      <c r="K32" s="52"/>
      <c r="L32" s="52"/>
      <c r="M32" s="52"/>
      <c r="N32" s="52"/>
      <c r="O32" s="52"/>
      <c r="P32" s="52"/>
      <c r="Q32" s="53"/>
      <c r="R32" s="53"/>
      <c r="S32" s="54"/>
      <c r="T32" s="54"/>
      <c r="U32" s="116"/>
    </row>
    <row r="33" spans="2:26" ht="45" hidden="1" customHeight="1" x14ac:dyDescent="0.25">
      <c r="B33" s="51"/>
      <c r="C33" s="55"/>
      <c r="D33" s="52"/>
      <c r="E33" s="52"/>
      <c r="F33" s="52"/>
      <c r="G33" s="52"/>
      <c r="H33" s="52"/>
      <c r="I33" s="52"/>
      <c r="J33" s="52"/>
      <c r="K33" s="52"/>
      <c r="L33" s="52"/>
      <c r="M33" s="52"/>
      <c r="N33" s="52"/>
      <c r="O33" s="52"/>
      <c r="P33" s="52"/>
      <c r="Q33" s="53"/>
      <c r="R33" s="53"/>
      <c r="S33" s="54"/>
      <c r="T33" s="54"/>
      <c r="U33" s="116"/>
    </row>
    <row r="34" spans="2:26" ht="45" hidden="1" customHeight="1" x14ac:dyDescent="0.25">
      <c r="B34" s="51"/>
      <c r="C34" s="55"/>
      <c r="D34" s="52"/>
      <c r="E34" s="52"/>
      <c r="F34" s="52"/>
      <c r="G34" s="52"/>
      <c r="H34" s="52"/>
      <c r="I34" s="52"/>
      <c r="J34" s="52"/>
      <c r="K34" s="52"/>
      <c r="L34" s="52"/>
      <c r="M34" s="52"/>
      <c r="N34" s="52"/>
      <c r="O34" s="52"/>
      <c r="P34" s="52"/>
      <c r="Q34" s="53"/>
      <c r="R34" s="53"/>
      <c r="S34" s="54"/>
      <c r="T34" s="54"/>
      <c r="U34" s="116"/>
    </row>
    <row r="35" spans="2:26" ht="45" hidden="1" customHeight="1" x14ac:dyDescent="0.25">
      <c r="B35" s="51"/>
      <c r="C35" s="55"/>
      <c r="D35" s="52"/>
      <c r="E35" s="52"/>
      <c r="F35" s="52"/>
      <c r="G35" s="52"/>
      <c r="H35" s="52"/>
      <c r="I35" s="52"/>
      <c r="J35" s="52"/>
      <c r="K35" s="52"/>
      <c r="L35" s="52"/>
      <c r="M35" s="52"/>
      <c r="N35" s="52"/>
      <c r="O35" s="52"/>
      <c r="P35" s="52"/>
      <c r="Q35" s="53"/>
      <c r="R35" s="53"/>
      <c r="S35" s="54"/>
      <c r="T35" s="54"/>
      <c r="U35" s="116"/>
    </row>
    <row r="36" spans="2:26" ht="45" hidden="1" customHeight="1" x14ac:dyDescent="0.25">
      <c r="B36" s="51"/>
      <c r="C36" s="55"/>
      <c r="D36" s="52"/>
      <c r="E36" s="52"/>
      <c r="F36" s="52"/>
      <c r="G36" s="52"/>
      <c r="H36" s="52"/>
      <c r="I36" s="52"/>
      <c r="J36" s="52"/>
      <c r="K36" s="52"/>
      <c r="L36" s="52"/>
      <c r="M36" s="52"/>
      <c r="N36" s="52"/>
      <c r="O36" s="52"/>
      <c r="P36" s="52"/>
      <c r="Q36" s="53"/>
      <c r="R36" s="53"/>
      <c r="S36" s="54"/>
      <c r="T36" s="54"/>
      <c r="U36" s="116"/>
    </row>
    <row r="37" spans="2:26" ht="45" hidden="1" customHeight="1" x14ac:dyDescent="0.25">
      <c r="B37" s="51"/>
      <c r="C37" s="55"/>
      <c r="D37" s="52"/>
      <c r="E37" s="52"/>
      <c r="F37" s="52"/>
      <c r="G37" s="52"/>
      <c r="H37" s="52"/>
      <c r="I37" s="52"/>
      <c r="J37" s="52"/>
      <c r="K37" s="52"/>
      <c r="L37" s="52"/>
      <c r="M37" s="52"/>
      <c r="N37" s="52"/>
      <c r="O37" s="52"/>
      <c r="P37" s="52"/>
      <c r="Q37" s="53"/>
      <c r="R37" s="53"/>
      <c r="S37" s="54"/>
      <c r="T37" s="54"/>
      <c r="U37" s="116"/>
    </row>
    <row r="38" spans="2:26" ht="45" hidden="1" customHeight="1" x14ac:dyDescent="0.25">
      <c r="B38" s="51"/>
      <c r="C38" s="55"/>
      <c r="D38" s="52"/>
      <c r="E38" s="52"/>
      <c r="F38" s="52"/>
      <c r="G38" s="52"/>
      <c r="H38" s="52"/>
      <c r="I38" s="52"/>
      <c r="J38" s="52"/>
      <c r="K38" s="52"/>
      <c r="L38" s="52"/>
      <c r="M38" s="52"/>
      <c r="N38" s="52"/>
      <c r="O38" s="52"/>
      <c r="P38" s="52"/>
      <c r="Q38" s="53"/>
      <c r="R38" s="53"/>
      <c r="S38" s="54"/>
      <c r="T38" s="54"/>
      <c r="U38" s="116"/>
    </row>
    <row r="39" spans="2:26" ht="45" hidden="1" customHeight="1" x14ac:dyDescent="0.25">
      <c r="B39" s="51"/>
      <c r="C39" s="55"/>
      <c r="D39" s="52"/>
      <c r="E39" s="52"/>
      <c r="F39" s="52"/>
      <c r="G39" s="52"/>
      <c r="H39" s="52"/>
      <c r="I39" s="52"/>
      <c r="J39" s="52"/>
      <c r="K39" s="52"/>
      <c r="L39" s="52"/>
      <c r="M39" s="52"/>
      <c r="N39" s="52"/>
      <c r="O39" s="52"/>
      <c r="P39" s="52"/>
      <c r="Q39" s="53"/>
      <c r="R39" s="53"/>
      <c r="S39" s="54"/>
      <c r="T39" s="54"/>
      <c r="U39" s="116"/>
    </row>
    <row r="40" spans="2:26" ht="45" hidden="1" customHeight="1" x14ac:dyDescent="0.25">
      <c r="B40" s="51"/>
      <c r="C40" s="55"/>
      <c r="D40" s="52"/>
      <c r="E40" s="52"/>
      <c r="F40" s="52"/>
      <c r="G40" s="52"/>
      <c r="H40" s="52"/>
      <c r="I40" s="52"/>
      <c r="J40" s="52"/>
      <c r="K40" s="52"/>
      <c r="L40" s="52"/>
      <c r="M40" s="52"/>
      <c r="N40" s="52"/>
      <c r="O40" s="52"/>
      <c r="P40" s="52"/>
      <c r="Q40" s="53"/>
      <c r="R40" s="53"/>
      <c r="S40" s="54"/>
      <c r="T40" s="54"/>
      <c r="U40" s="116"/>
    </row>
    <row r="41" spans="2:26" ht="45" hidden="1" customHeight="1" x14ac:dyDescent="0.25">
      <c r="B41" s="51"/>
      <c r="C41" s="55"/>
      <c r="D41" s="52"/>
      <c r="E41" s="52"/>
      <c r="F41" s="52"/>
      <c r="G41" s="52"/>
      <c r="H41" s="52"/>
      <c r="I41" s="52"/>
      <c r="J41" s="52"/>
      <c r="K41" s="52"/>
      <c r="L41" s="52"/>
      <c r="M41" s="52"/>
      <c r="N41" s="52"/>
      <c r="O41" s="52"/>
      <c r="P41" s="52"/>
      <c r="Q41" s="53"/>
      <c r="R41" s="53"/>
      <c r="S41" s="54"/>
      <c r="T41" s="54"/>
      <c r="U41" s="116"/>
    </row>
    <row r="42" spans="2:26" ht="45" hidden="1" customHeight="1" x14ac:dyDescent="0.25">
      <c r="B42" s="51"/>
      <c r="C42" s="55"/>
      <c r="D42" s="52"/>
      <c r="E42" s="52"/>
      <c r="F42" s="52"/>
      <c r="G42" s="52"/>
      <c r="H42" s="52"/>
      <c r="I42" s="52"/>
      <c r="J42" s="52"/>
      <c r="K42" s="52"/>
      <c r="L42" s="52"/>
      <c r="M42" s="52"/>
      <c r="N42" s="52"/>
      <c r="O42" s="52"/>
      <c r="P42" s="52"/>
      <c r="Q42" s="53"/>
      <c r="R42" s="53"/>
      <c r="S42" s="54"/>
      <c r="T42" s="54"/>
      <c r="U42" s="116"/>
    </row>
    <row r="43" spans="2:26" ht="45" hidden="1" customHeight="1" x14ac:dyDescent="0.25">
      <c r="B43" s="51"/>
      <c r="C43" s="55"/>
      <c r="D43" s="52"/>
      <c r="E43" s="52"/>
      <c r="F43" s="52"/>
      <c r="G43" s="52"/>
      <c r="H43" s="52"/>
      <c r="I43" s="52"/>
      <c r="J43" s="52"/>
      <c r="K43" s="52"/>
      <c r="L43" s="52"/>
      <c r="M43" s="52"/>
      <c r="N43" s="52"/>
      <c r="O43" s="52"/>
      <c r="P43" s="52"/>
      <c r="Q43" s="53"/>
      <c r="R43" s="53"/>
      <c r="S43" s="54"/>
      <c r="T43" s="54"/>
      <c r="U43" s="116"/>
    </row>
    <row r="44" spans="2:26" ht="45" hidden="1" customHeight="1" x14ac:dyDescent="0.25">
      <c r="B44" s="51"/>
      <c r="C44" s="57"/>
      <c r="D44" s="52"/>
      <c r="E44" s="52"/>
      <c r="F44" s="52"/>
      <c r="G44" s="52"/>
      <c r="H44" s="52"/>
      <c r="I44" s="52"/>
      <c r="J44" s="52"/>
      <c r="K44" s="52"/>
      <c r="L44" s="52"/>
      <c r="M44" s="52"/>
      <c r="N44" s="52"/>
      <c r="O44" s="52"/>
      <c r="P44" s="52"/>
      <c r="Q44" s="53"/>
      <c r="R44" s="53"/>
      <c r="S44" s="54"/>
      <c r="T44" s="54"/>
      <c r="U44" s="116"/>
    </row>
    <row r="45" spans="2:26" ht="30" customHeight="1" x14ac:dyDescent="0.25">
      <c r="B45" s="174" t="s">
        <v>713</v>
      </c>
      <c r="C45" s="174"/>
      <c r="D45" s="58">
        <f t="shared" ref="D45:Q45" si="5">SUM(D14:D44)</f>
        <v>2400000</v>
      </c>
      <c r="E45" s="58">
        <f t="shared" si="5"/>
        <v>4</v>
      </c>
      <c r="F45" s="58">
        <f>SUM(F14:F44)</f>
        <v>1720000</v>
      </c>
      <c r="G45" s="58">
        <f>SUM(G14:G44)</f>
        <v>1720000</v>
      </c>
      <c r="H45" s="58">
        <f>SUM(H14:H44)</f>
        <v>8</v>
      </c>
      <c r="I45" s="58">
        <f>SUM(I14:I44)</f>
        <v>600000</v>
      </c>
      <c r="J45" s="58">
        <f>SUM(J14:J44)</f>
        <v>1200000</v>
      </c>
      <c r="K45" s="58">
        <f t="shared" ref="K45:O45" si="6">SUM(K14:K44)</f>
        <v>4</v>
      </c>
      <c r="L45" s="58">
        <f t="shared" si="6"/>
        <v>420000</v>
      </c>
      <c r="M45" s="58">
        <f t="shared" si="6"/>
        <v>420000</v>
      </c>
      <c r="N45" s="58">
        <f t="shared" si="6"/>
        <v>2200000</v>
      </c>
      <c r="O45" s="58">
        <f t="shared" si="6"/>
        <v>10000000</v>
      </c>
      <c r="P45" s="58"/>
      <c r="Q45" s="58">
        <f t="shared" si="5"/>
        <v>17940000</v>
      </c>
      <c r="R45" s="59"/>
      <c r="S45" s="53"/>
      <c r="T45" s="53"/>
      <c r="U45" s="116"/>
      <c r="V45" s="56"/>
      <c r="Z45" s="60"/>
    </row>
    <row r="46" spans="2:26" s="43" customFormat="1" ht="23.25" customHeight="1" x14ac:dyDescent="0.25">
      <c r="B46" s="165" t="s">
        <v>686</v>
      </c>
      <c r="C46" s="165"/>
      <c r="D46" s="166"/>
      <c r="E46" s="166"/>
      <c r="F46" s="166"/>
      <c r="G46" s="166"/>
      <c r="H46" s="166"/>
      <c r="I46" s="166"/>
      <c r="J46" s="166"/>
      <c r="K46" s="166"/>
      <c r="L46" s="166"/>
      <c r="M46" s="166"/>
      <c r="N46" s="166"/>
      <c r="O46" s="166"/>
      <c r="P46" s="166"/>
      <c r="Q46" s="166"/>
      <c r="R46" s="166"/>
      <c r="S46" s="166"/>
      <c r="T46" s="167"/>
      <c r="U46" s="117"/>
      <c r="X46" s="61"/>
    </row>
    <row r="47" spans="2:26" ht="14.1" customHeight="1" x14ac:dyDescent="0.25"/>
    <row r="48" spans="2:26" ht="15.4" customHeight="1" x14ac:dyDescent="0.25">
      <c r="S48" s="40" t="s">
        <v>702</v>
      </c>
    </row>
    <row r="49" spans="2:19" ht="15.4" customHeight="1" x14ac:dyDescent="0.25">
      <c r="B49" s="8" t="s">
        <v>690</v>
      </c>
      <c r="C49" s="8"/>
      <c r="D49" s="62"/>
      <c r="G49" s="63"/>
      <c r="J49" s="63"/>
      <c r="M49" s="63"/>
      <c r="N49" s="62"/>
      <c r="O49" s="62"/>
      <c r="P49" s="62"/>
      <c r="S49" s="42" t="s">
        <v>691</v>
      </c>
    </row>
    <row r="50" spans="2:19" ht="15.4" customHeight="1" x14ac:dyDescent="0.25">
      <c r="B50" s="8" t="s">
        <v>692</v>
      </c>
      <c r="C50" s="8"/>
      <c r="D50" s="62"/>
      <c r="G50" s="63"/>
      <c r="J50" s="63"/>
      <c r="M50" s="63"/>
      <c r="N50" s="62"/>
      <c r="O50" s="62"/>
      <c r="P50" s="62"/>
      <c r="S50" s="42" t="s">
        <v>693</v>
      </c>
    </row>
    <row r="51" spans="2:19" ht="14.1" customHeight="1" x14ac:dyDescent="0.25">
      <c r="B51" s="8" t="s">
        <v>694</v>
      </c>
      <c r="C51" s="8"/>
      <c r="D51" s="62"/>
      <c r="G51" s="63"/>
      <c r="J51" s="63"/>
      <c r="M51" s="63"/>
      <c r="N51" s="62"/>
      <c r="O51" s="62"/>
      <c r="P51" s="62"/>
      <c r="S51" s="42"/>
    </row>
    <row r="52" spans="2:19" ht="14.1" customHeight="1" x14ac:dyDescent="0.25">
      <c r="B52" s="8"/>
      <c r="C52" s="8"/>
      <c r="D52" s="62"/>
      <c r="G52" s="63"/>
      <c r="J52" s="63"/>
      <c r="M52" s="63"/>
      <c r="N52" s="62"/>
      <c r="O52" s="62"/>
      <c r="P52" s="62"/>
      <c r="S52" s="42"/>
    </row>
    <row r="53" spans="2:19" ht="14.1" customHeight="1" x14ac:dyDescent="0.25">
      <c r="B53" s="8"/>
      <c r="C53" s="8"/>
      <c r="D53" s="62"/>
      <c r="G53" s="63"/>
      <c r="J53" s="63"/>
      <c r="M53" s="63"/>
      <c r="N53" s="62"/>
      <c r="O53" s="62"/>
      <c r="P53" s="62"/>
      <c r="S53" s="42"/>
    </row>
    <row r="54" spans="2:19" ht="14.1" customHeight="1" x14ac:dyDescent="0.25">
      <c r="B54" s="8"/>
      <c r="C54" s="8"/>
      <c r="D54" s="62"/>
      <c r="G54" s="63"/>
      <c r="J54" s="63"/>
      <c r="M54" s="63"/>
      <c r="N54" s="62"/>
      <c r="O54" s="62"/>
      <c r="P54" s="62"/>
      <c r="S54" s="42"/>
    </row>
    <row r="55" spans="2:19" ht="15" customHeight="1" x14ac:dyDescent="0.25">
      <c r="B55" s="44" t="s">
        <v>56</v>
      </c>
      <c r="C55" s="8"/>
      <c r="D55" s="45"/>
      <c r="G55" s="64"/>
      <c r="J55" s="64"/>
      <c r="M55" s="64"/>
      <c r="N55" s="45"/>
      <c r="O55" s="45"/>
      <c r="P55" s="45"/>
      <c r="S55" s="45" t="s">
        <v>77</v>
      </c>
    </row>
    <row r="56" spans="2:19" ht="15" customHeight="1" x14ac:dyDescent="0.25">
      <c r="B56" s="44" t="s">
        <v>695</v>
      </c>
      <c r="C56" s="8"/>
      <c r="D56" s="14"/>
      <c r="G56" s="65"/>
      <c r="J56" s="65"/>
      <c r="M56" s="65"/>
      <c r="N56" s="14"/>
      <c r="O56" s="14"/>
      <c r="P56" s="14"/>
      <c r="S56" s="14" t="s">
        <v>696</v>
      </c>
    </row>
    <row r="57" spans="2:19" ht="14.1" customHeight="1" x14ac:dyDescent="0.25">
      <c r="D57" s="66"/>
      <c r="E57" s="66"/>
      <c r="F57" s="66"/>
      <c r="G57" s="66"/>
      <c r="H57" s="66"/>
      <c r="I57" s="66"/>
      <c r="J57" s="66"/>
      <c r="K57" s="66"/>
      <c r="L57" s="66"/>
      <c r="M57" s="66"/>
      <c r="N57" s="66"/>
      <c r="O57" s="66"/>
      <c r="P57" s="66"/>
    </row>
    <row r="61" spans="2:19" ht="14.1" customHeight="1" x14ac:dyDescent="0.25">
      <c r="D61" s="67"/>
      <c r="E61" s="67"/>
      <c r="F61" s="67"/>
      <c r="G61" s="67"/>
      <c r="H61" s="67"/>
      <c r="I61" s="67"/>
      <c r="J61" s="67"/>
      <c r="K61" s="67"/>
      <c r="L61" s="67"/>
      <c r="M61" s="67"/>
      <c r="N61" s="67"/>
      <c r="O61" s="67"/>
      <c r="P61" s="67"/>
    </row>
    <row r="62" spans="2:19" ht="14.1" customHeight="1" x14ac:dyDescent="0.25">
      <c r="D62" s="67"/>
      <c r="E62" s="67"/>
      <c r="F62" s="67"/>
      <c r="G62" s="67"/>
      <c r="H62" s="67"/>
      <c r="I62" s="67"/>
      <c r="J62" s="67"/>
      <c r="K62" s="67"/>
      <c r="L62" s="67"/>
      <c r="M62" s="67"/>
      <c r="N62" s="67"/>
      <c r="O62" s="67"/>
      <c r="P62" s="67"/>
    </row>
    <row r="63" spans="2:19" ht="14.1" customHeight="1" x14ac:dyDescent="0.25">
      <c r="D63" s="67"/>
      <c r="E63" s="67"/>
      <c r="F63" s="67"/>
      <c r="G63" s="67"/>
      <c r="H63" s="67"/>
      <c r="I63" s="67"/>
      <c r="J63" s="67"/>
      <c r="K63" s="67"/>
      <c r="L63" s="67"/>
      <c r="M63" s="67"/>
      <c r="N63" s="67"/>
      <c r="O63" s="67"/>
      <c r="P63" s="67"/>
    </row>
    <row r="64" spans="2:19" ht="14.1" customHeight="1" x14ac:dyDescent="0.25">
      <c r="D64" s="67"/>
      <c r="E64" s="67"/>
      <c r="F64" s="67"/>
      <c r="G64" s="67"/>
      <c r="H64" s="67"/>
      <c r="I64" s="67"/>
      <c r="J64" s="67"/>
      <c r="K64" s="67"/>
      <c r="L64" s="67"/>
      <c r="M64" s="67"/>
      <c r="N64" s="67"/>
      <c r="O64" s="67"/>
      <c r="P64" s="67"/>
    </row>
    <row r="65" spans="4:16" ht="14.1" customHeight="1" x14ac:dyDescent="0.25">
      <c r="D65" s="67"/>
      <c r="E65" s="67"/>
      <c r="F65" s="67"/>
      <c r="G65" s="67"/>
      <c r="H65" s="67"/>
      <c r="I65" s="67"/>
      <c r="J65" s="67"/>
      <c r="K65" s="67"/>
      <c r="L65" s="67"/>
      <c r="M65" s="67"/>
      <c r="N65" s="67"/>
      <c r="O65" s="67"/>
      <c r="P65" s="67"/>
    </row>
  </sheetData>
  <autoFilter ref="D13:F46" xr:uid="{00000000-0009-0000-0000-000004000000}"/>
  <mergeCells count="21">
    <mergeCell ref="B5:T5"/>
    <mergeCell ref="B6:T6"/>
    <mergeCell ref="B7:T7"/>
    <mergeCell ref="B8:T8"/>
    <mergeCell ref="B11:B12"/>
    <mergeCell ref="C11:C12"/>
    <mergeCell ref="D11:D12"/>
    <mergeCell ref="E11:G11"/>
    <mergeCell ref="H11:J11"/>
    <mergeCell ref="K11:M11"/>
    <mergeCell ref="U11:U12"/>
    <mergeCell ref="B45:C45"/>
    <mergeCell ref="B46:C46"/>
    <mergeCell ref="D46:T46"/>
    <mergeCell ref="P11:P12"/>
    <mergeCell ref="N11:N12"/>
    <mergeCell ref="O11:O12"/>
    <mergeCell ref="Q11:Q12"/>
    <mergeCell ref="R11:R12"/>
    <mergeCell ref="S11:S12"/>
    <mergeCell ref="T11:T12"/>
  </mergeCells>
  <conditionalFormatting sqref="C26:C27">
    <cfRule type="duplicateValues" dxfId="3" priority="1"/>
  </conditionalFormatting>
  <conditionalFormatting sqref="C28:C29 C31:C43 C14:C17 C20:C25">
    <cfRule type="duplicateValues" dxfId="2" priority="3"/>
  </conditionalFormatting>
  <conditionalFormatting sqref="C30">
    <cfRule type="duplicateValues" dxfId="1" priority="2"/>
  </conditionalFormatting>
  <pageMargins left="0.39370078740157483" right="0.39370078740157483" top="0.47244094488188981" bottom="0.70866141732283472" header="0.31496062992125984" footer="0.31496062992125984"/>
  <pageSetup scale="32" fitToHeight="0" orientation="portrait" useFirstPageNumber="1" horizontalDpi="360" verticalDpi="360" r:id="rId1"/>
  <rowBreaks count="1" manualBreakCount="1">
    <brk id="39" min="1" max="14" man="1"/>
  </rowBreaks>
  <extLst>
    <ext xmlns:x14="http://schemas.microsoft.com/office/spreadsheetml/2009/9/main" uri="{CCE6A557-97BC-4b89-ADB6-D9C93CAAB3DF}">
      <x14:dataValidations xmlns:xm="http://schemas.microsoft.com/office/excel/2006/main" count="1">
        <x14:dataValidation type="list" allowBlank="1" showInputMessage="1" showErrorMessage="1" xr:uid="{6627AAC9-79D2-4FFA-A035-2E403214490B}">
          <x14:formula1>
            <xm:f>'Ref Pegawai'!$B$2:$B$123</xm:f>
          </x14:formula1>
          <xm:sqref>C14:C17 C20:C25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7C20-65A5-4612-A7DC-505786CDFD19}">
  <sheetPr>
    <tabColor theme="5" tint="0.39997558519241921"/>
    <pageSetUpPr fitToPage="1"/>
  </sheetPr>
  <dimension ref="A1:O26"/>
  <sheetViews>
    <sheetView view="pageBreakPreview" zoomScale="60" zoomScaleNormal="70" workbookViewId="0">
      <selection activeCell="M19" sqref="M19"/>
    </sheetView>
  </sheetViews>
  <sheetFormatPr defaultRowHeight="15" x14ac:dyDescent="0.25"/>
  <cols>
    <col min="1" max="1" width="5.75" style="71" customWidth="1"/>
    <col min="2" max="2" width="40.875" style="71" customWidth="1"/>
    <col min="3" max="3" width="25.625" style="71" customWidth="1"/>
    <col min="4" max="4" width="20.5" style="71" customWidth="1"/>
    <col min="5" max="5" width="15.125" style="71" customWidth="1"/>
    <col min="6" max="6" width="25.375" style="71" customWidth="1"/>
    <col min="7" max="7" width="12.875" style="71" customWidth="1"/>
    <col min="8" max="8" width="11.875" style="71" customWidth="1"/>
    <col min="9" max="9" width="15.875" style="71" customWidth="1"/>
    <col min="10" max="10" width="22.875" style="71" bestFit="1" customWidth="1"/>
    <col min="11" max="11" width="13.75" style="71" customWidth="1"/>
    <col min="12" max="12" width="16.75" style="71" customWidth="1"/>
    <col min="13" max="13" width="16.625" style="71" customWidth="1"/>
    <col min="14" max="14" width="13.375" style="71" customWidth="1"/>
    <col min="15" max="15" width="12.125" style="71" customWidth="1"/>
    <col min="16" max="16384" width="9" style="71"/>
  </cols>
  <sheetData>
    <row r="1" spans="1:15" ht="18.75" x14ac:dyDescent="0.25">
      <c r="A1" s="68" t="s">
        <v>715</v>
      </c>
      <c r="B1" s="69"/>
      <c r="C1" s="69"/>
      <c r="D1" s="69"/>
      <c r="E1" s="69"/>
      <c r="F1" s="69"/>
      <c r="G1" s="69"/>
      <c r="H1" s="70"/>
      <c r="I1" s="70"/>
      <c r="J1" s="70"/>
      <c r="K1" s="70"/>
      <c r="L1" s="70"/>
      <c r="M1" s="70"/>
      <c r="N1" s="70"/>
      <c r="O1" s="70"/>
    </row>
    <row r="2" spans="1:15" ht="18.75" x14ac:dyDescent="0.25">
      <c r="A2" s="69" t="s">
        <v>707</v>
      </c>
      <c r="B2" s="69"/>
      <c r="C2" s="69"/>
      <c r="D2" s="69"/>
      <c r="E2" s="69"/>
      <c r="F2" s="69"/>
      <c r="G2" s="69"/>
      <c r="H2" s="70"/>
      <c r="I2" s="70"/>
      <c r="J2" s="70"/>
      <c r="K2" s="70"/>
      <c r="L2" s="70"/>
      <c r="M2" s="70"/>
      <c r="N2" s="70"/>
      <c r="O2" s="70"/>
    </row>
    <row r="3" spans="1:15" ht="18.75" x14ac:dyDescent="0.25">
      <c r="A3" s="68" t="s">
        <v>734</v>
      </c>
      <c r="B3" s="69"/>
      <c r="C3" s="69"/>
      <c r="D3" s="69"/>
      <c r="E3" s="69"/>
      <c r="F3" s="69"/>
      <c r="G3" s="69"/>
      <c r="H3" s="70"/>
      <c r="I3" s="70"/>
      <c r="J3" s="70"/>
      <c r="K3" s="70"/>
      <c r="L3" s="70"/>
      <c r="M3" s="70"/>
      <c r="N3" s="70"/>
      <c r="O3" s="70"/>
    </row>
    <row r="4" spans="1:15" ht="18.75" x14ac:dyDescent="0.25">
      <c r="A4" s="72"/>
      <c r="B4" s="69"/>
      <c r="C4" s="69"/>
      <c r="D4" s="69"/>
      <c r="E4" s="69"/>
      <c r="F4" s="69"/>
      <c r="G4" s="69"/>
      <c r="H4" s="70"/>
      <c r="I4" s="70"/>
      <c r="J4" s="70"/>
      <c r="K4" s="70"/>
      <c r="L4" s="70"/>
      <c r="M4" s="70"/>
      <c r="N4" s="70"/>
      <c r="O4" s="70"/>
    </row>
    <row r="5" spans="1:15" ht="18.75" x14ac:dyDescent="0.25">
      <c r="A5" s="72" t="s">
        <v>735</v>
      </c>
      <c r="B5" s="69"/>
      <c r="C5" s="69"/>
      <c r="D5" s="69"/>
      <c r="E5" s="69"/>
      <c r="F5" s="69"/>
      <c r="G5" s="69"/>
      <c r="H5" s="70"/>
      <c r="I5" s="70"/>
      <c r="J5" s="70"/>
      <c r="K5" s="70"/>
      <c r="L5" s="70"/>
      <c r="M5" s="70"/>
      <c r="N5" s="70"/>
      <c r="O5" s="70"/>
    </row>
    <row r="6" spans="1:15" ht="18.75" x14ac:dyDescent="0.25">
      <c r="A6" s="72" t="s">
        <v>716</v>
      </c>
      <c r="B6" s="69"/>
      <c r="C6" s="69"/>
      <c r="D6" s="69"/>
      <c r="E6" s="69"/>
      <c r="F6" s="69"/>
      <c r="G6" s="69"/>
      <c r="H6" s="70"/>
      <c r="I6" s="70"/>
      <c r="J6" s="70"/>
      <c r="K6" s="70"/>
      <c r="L6" s="70"/>
      <c r="M6" s="70"/>
      <c r="N6" s="70"/>
      <c r="O6" s="70"/>
    </row>
    <row r="7" spans="1:15" ht="18.75" x14ac:dyDescent="0.25">
      <c r="A7" s="72" t="s">
        <v>736</v>
      </c>
      <c r="B7" s="69"/>
      <c r="C7" s="69"/>
      <c r="D7" s="69"/>
      <c r="E7" s="69"/>
      <c r="F7" s="69"/>
      <c r="G7" s="69"/>
      <c r="H7" s="70"/>
      <c r="I7" s="70"/>
      <c r="J7" s="70"/>
      <c r="K7" s="70"/>
      <c r="L7" s="70"/>
      <c r="M7" s="70"/>
      <c r="N7" s="70"/>
      <c r="O7" s="70"/>
    </row>
    <row r="8" spans="1:15" x14ac:dyDescent="0.25">
      <c r="A8" s="73"/>
      <c r="B8" s="70"/>
      <c r="C8" s="70"/>
      <c r="D8" s="70"/>
      <c r="E8" s="70"/>
      <c r="F8" s="70"/>
      <c r="G8" s="70"/>
      <c r="H8" s="70"/>
      <c r="I8" s="70"/>
      <c r="J8" s="70"/>
      <c r="K8" s="70"/>
      <c r="L8" s="70"/>
      <c r="M8" s="70"/>
      <c r="N8" s="70"/>
      <c r="O8" s="70"/>
    </row>
    <row r="9" spans="1:15" ht="58.5" customHeight="1" x14ac:dyDescent="0.25">
      <c r="A9" s="74" t="s">
        <v>709</v>
      </c>
      <c r="B9" s="74" t="s">
        <v>717</v>
      </c>
      <c r="C9" s="74" t="s">
        <v>718</v>
      </c>
      <c r="D9" s="74" t="s">
        <v>719</v>
      </c>
      <c r="E9" s="74" t="s">
        <v>720</v>
      </c>
      <c r="F9" s="74" t="s">
        <v>721</v>
      </c>
      <c r="G9" s="74" t="s">
        <v>722</v>
      </c>
      <c r="H9" s="74" t="s">
        <v>723</v>
      </c>
      <c r="I9" s="74" t="s">
        <v>724</v>
      </c>
      <c r="J9" s="74" t="s">
        <v>725</v>
      </c>
      <c r="K9" s="74" t="s">
        <v>726</v>
      </c>
      <c r="L9" s="74" t="s">
        <v>727</v>
      </c>
      <c r="M9" s="74" t="s">
        <v>728</v>
      </c>
      <c r="N9" s="74" t="s">
        <v>729</v>
      </c>
      <c r="O9" s="74" t="s">
        <v>730</v>
      </c>
    </row>
    <row r="10" spans="1:15" ht="39.950000000000003" customHeight="1" x14ac:dyDescent="0.25">
      <c r="A10" s="75">
        <v>1</v>
      </c>
      <c r="B10" s="76" t="s">
        <v>483</v>
      </c>
      <c r="C10" s="76" t="str">
        <f>_xlfn.IFNA(VLOOKUP(B10,'Ref Pegawai'!$B$2:$J$123,2,FALSE),"")</f>
        <v>-</v>
      </c>
      <c r="D10" s="76" t="str">
        <f>_xlfn.IFNA(VLOOKUP(B10,'Ref Pegawai'!$B$2:$J$123,5,FALSE),"")</f>
        <v>Non PNS</v>
      </c>
      <c r="E10" s="76" t="str">
        <f>_xlfn.IFNA(VLOOKUP(B10,'Ref Pegawai'!$B$2:$J$123,5,FALSE),"")</f>
        <v>Non PNS</v>
      </c>
      <c r="F10" s="76" t="s">
        <v>790</v>
      </c>
      <c r="G10" s="76" t="s">
        <v>731</v>
      </c>
      <c r="H10" s="76" t="s">
        <v>732</v>
      </c>
      <c r="I10" s="77" t="s">
        <v>733</v>
      </c>
      <c r="J10" s="77" t="s">
        <v>737</v>
      </c>
      <c r="K10" s="77" t="s">
        <v>738</v>
      </c>
      <c r="L10" s="77" t="s">
        <v>738</v>
      </c>
      <c r="M10" s="88" t="s">
        <v>739</v>
      </c>
      <c r="N10" s="75">
        <v>2</v>
      </c>
      <c r="O10" s="77" t="s">
        <v>740</v>
      </c>
    </row>
    <row r="11" spans="1:15" ht="39.950000000000003" customHeight="1" x14ac:dyDescent="0.25">
      <c r="A11" s="78">
        <f>+A10+1</f>
        <v>2</v>
      </c>
      <c r="B11" s="79" t="s">
        <v>492</v>
      </c>
      <c r="C11" s="80" t="str">
        <f>_xlfn.IFNA(VLOOKUP(B11,'Ref Pegawai'!$B$2:$J$123,2,FALSE),"")</f>
        <v>-</v>
      </c>
      <c r="D11" s="80" t="str">
        <f>_xlfn.IFNA(VLOOKUP(B11,'Ref Pegawai'!$B$2:$J$123,5,FALSE),"")</f>
        <v>Non PNS</v>
      </c>
      <c r="E11" s="80" t="str">
        <f>_xlfn.IFNA(VLOOKUP(B11,'Ref Pegawai'!$B$2:$J$123,5,FALSE),"")</f>
        <v>Non PNS</v>
      </c>
      <c r="F11" s="76" t="s">
        <v>790</v>
      </c>
      <c r="G11" s="80" t="s">
        <v>731</v>
      </c>
      <c r="H11" s="80" t="s">
        <v>732</v>
      </c>
      <c r="I11" s="79" t="s">
        <v>733</v>
      </c>
      <c r="J11" s="79" t="s">
        <v>737</v>
      </c>
      <c r="K11" s="79" t="s">
        <v>738</v>
      </c>
      <c r="L11" s="79" t="s">
        <v>738</v>
      </c>
      <c r="M11" s="87" t="s">
        <v>739</v>
      </c>
      <c r="N11" s="78">
        <v>2</v>
      </c>
      <c r="O11" s="79" t="s">
        <v>740</v>
      </c>
    </row>
    <row r="12" spans="1:15" ht="39.950000000000003" customHeight="1" x14ac:dyDescent="0.25">
      <c r="A12" s="78">
        <f t="shared" ref="A12:A14" si="0">+A11+1</f>
        <v>3</v>
      </c>
      <c r="B12" s="119" t="s">
        <v>282</v>
      </c>
      <c r="C12" s="80" t="str">
        <f>_xlfn.IFNA(VLOOKUP(B12,'Ref Pegawai'!$B$2:$J$123,2,FALSE),"")</f>
        <v>198303162010121006</v>
      </c>
      <c r="D12" s="80" t="str">
        <f>_xlfn.IFNA(VLOOKUP(B12,'Ref Pegawai'!$B$2:$J$123,5,FALSE),"")</f>
        <v>PNS</v>
      </c>
      <c r="E12" s="80" t="str">
        <f>_xlfn.IFNA(VLOOKUP(B12,'Ref Pegawai'!$B$2:$J$123,6,FALSE),"")</f>
        <v>III/c</v>
      </c>
      <c r="F12" s="80" t="s">
        <v>791</v>
      </c>
      <c r="G12" s="80" t="s">
        <v>731</v>
      </c>
      <c r="H12" s="80" t="s">
        <v>732</v>
      </c>
      <c r="I12" s="79" t="s">
        <v>733</v>
      </c>
      <c r="J12" s="79" t="s">
        <v>737</v>
      </c>
      <c r="K12" s="79" t="s">
        <v>738</v>
      </c>
      <c r="L12" s="79" t="s">
        <v>738</v>
      </c>
      <c r="M12" s="87" t="s">
        <v>739</v>
      </c>
      <c r="N12" s="78">
        <v>2</v>
      </c>
      <c r="O12" s="79" t="s">
        <v>740</v>
      </c>
    </row>
    <row r="13" spans="1:15" ht="50.25" customHeight="1" x14ac:dyDescent="0.25">
      <c r="A13" s="78">
        <f t="shared" si="0"/>
        <v>4</v>
      </c>
      <c r="B13" s="119" t="s">
        <v>36</v>
      </c>
      <c r="C13" s="80" t="str">
        <f>_xlfn.IFNA(VLOOKUP(B13,'Ref Pegawai'!$B$2:$J$123,2,FALSE),"")</f>
        <v>197610072008121001</v>
      </c>
      <c r="D13" s="80" t="str">
        <f>_xlfn.IFNA(VLOOKUP(B13,'Ref Pegawai'!$B$2:$J$123,5,FALSE),"")</f>
        <v>PNS</v>
      </c>
      <c r="E13" s="80" t="str">
        <f>_xlfn.IFNA(VLOOKUP(B13,'Ref Pegawai'!$B$2:$J$123,6,FALSE),"")</f>
        <v>III/d</v>
      </c>
      <c r="F13" s="80" t="s">
        <v>792</v>
      </c>
      <c r="G13" s="80" t="s">
        <v>731</v>
      </c>
      <c r="H13" s="80" t="s">
        <v>732</v>
      </c>
      <c r="I13" s="79" t="s">
        <v>733</v>
      </c>
      <c r="J13" s="79" t="s">
        <v>737</v>
      </c>
      <c r="K13" s="79" t="s">
        <v>738</v>
      </c>
      <c r="L13" s="79" t="s">
        <v>738</v>
      </c>
      <c r="M13" s="87" t="s">
        <v>739</v>
      </c>
      <c r="N13" s="78">
        <v>2</v>
      </c>
      <c r="O13" s="79" t="s">
        <v>740</v>
      </c>
    </row>
    <row r="14" spans="1:15" ht="55.5" customHeight="1" x14ac:dyDescent="0.25">
      <c r="A14" s="78">
        <f t="shared" si="0"/>
        <v>5</v>
      </c>
      <c r="B14" s="119" t="s">
        <v>219</v>
      </c>
      <c r="C14" s="80" t="str">
        <f>_xlfn.IFNA(VLOOKUP(B14,'Ref Pegawai'!$B$2:$J$123,2,FALSE),"")</f>
        <v>199412132019032022</v>
      </c>
      <c r="D14" s="80" t="str">
        <f>_xlfn.IFNA(VLOOKUP(B14,'Ref Pegawai'!$B$2:$J$123,5,FALSE),"")</f>
        <v>PNS</v>
      </c>
      <c r="E14" s="80" t="str">
        <f>_xlfn.IFNA(VLOOKUP(B14,'Ref Pegawai'!$B$2:$J$123,6,FALSE),"")</f>
        <v>II/c</v>
      </c>
      <c r="F14" s="80" t="s">
        <v>793</v>
      </c>
      <c r="G14" s="80" t="s">
        <v>731</v>
      </c>
      <c r="H14" s="80" t="s">
        <v>732</v>
      </c>
      <c r="I14" s="79" t="s">
        <v>733</v>
      </c>
      <c r="J14" s="79" t="s">
        <v>737</v>
      </c>
      <c r="K14" s="79" t="s">
        <v>738</v>
      </c>
      <c r="L14" s="79" t="s">
        <v>738</v>
      </c>
      <c r="M14" s="87" t="s">
        <v>739</v>
      </c>
      <c r="N14" s="78">
        <v>2</v>
      </c>
      <c r="O14" s="79" t="s">
        <v>740</v>
      </c>
    </row>
    <row r="15" spans="1:15" ht="24.95" customHeight="1" x14ac:dyDescent="0.25">
      <c r="A15" s="81"/>
      <c r="B15" s="120"/>
      <c r="C15" s="82"/>
      <c r="D15" s="82"/>
      <c r="E15" s="82"/>
      <c r="F15" s="82"/>
      <c r="G15" s="82"/>
      <c r="H15" s="82"/>
      <c r="I15" s="82"/>
      <c r="J15" s="82"/>
      <c r="K15" s="83"/>
      <c r="L15" s="84"/>
      <c r="M15" s="84"/>
      <c r="N15" s="81"/>
      <c r="O15" s="82"/>
    </row>
    <row r="16" spans="1:15" ht="13.5" customHeight="1" x14ac:dyDescent="0.25"/>
    <row r="17" spans="13:13" ht="9" customHeight="1" x14ac:dyDescent="0.3">
      <c r="M17" s="85"/>
    </row>
    <row r="18" spans="13:13" ht="15.75" x14ac:dyDescent="0.25">
      <c r="M18" s="40" t="s">
        <v>702</v>
      </c>
    </row>
    <row r="19" spans="13:13" ht="18.75" x14ac:dyDescent="0.25">
      <c r="M19" s="86" t="s">
        <v>694</v>
      </c>
    </row>
    <row r="20" spans="13:13" ht="18.75" x14ac:dyDescent="0.25">
      <c r="M20" s="86"/>
    </row>
    <row r="21" spans="13:13" ht="18.75" x14ac:dyDescent="0.25">
      <c r="M21" s="86"/>
    </row>
    <row r="22" spans="13:13" ht="18.75" x14ac:dyDescent="0.25">
      <c r="M22" s="86"/>
    </row>
    <row r="23" spans="13:13" ht="18.75" x14ac:dyDescent="0.25">
      <c r="M23" s="86"/>
    </row>
    <row r="24" spans="13:13" ht="15.75" x14ac:dyDescent="0.25">
      <c r="M24" s="44" t="s">
        <v>56</v>
      </c>
    </row>
    <row r="25" spans="13:13" ht="15.75" x14ac:dyDescent="0.25">
      <c r="M25" s="44" t="s">
        <v>695</v>
      </c>
    </row>
    <row r="26" spans="13:13" ht="18.75" x14ac:dyDescent="0.3">
      <c r="M26" s="85"/>
    </row>
  </sheetData>
  <conditionalFormatting sqref="B12:B14">
    <cfRule type="duplicateValues" dxfId="0" priority="1"/>
  </conditionalFormatting>
  <pageMargins left="0.39370078740157483" right="0.39370078740157483" top="0.39370078740157483" bottom="0.39370078740157483" header="0.31496062992125984" footer="0.31496062992125984"/>
  <pageSetup paperSize="9" scale="48" fitToHeight="0" orientation="landscape" r:id="rId1"/>
  <rowBreaks count="1" manualBreakCount="1">
    <brk id="26" max="14"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02F3B3F-8087-43E2-8357-302774E85817}">
          <x14:formula1>
            <xm:f>'Ref Pegawai'!$B$2:$B$123</xm:f>
          </x14:formula1>
          <xm:sqref>B12:B14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516E8-E7BC-4468-8A6B-B7985452CBFA}">
  <sheetPr>
    <tabColor theme="4" tint="0.59999389629810485"/>
    <pageSetUpPr fitToPage="1"/>
  </sheetPr>
  <dimension ref="B1:F37"/>
  <sheetViews>
    <sheetView showGridLines="0" topLeftCell="A13" zoomScale="70" zoomScaleNormal="70" workbookViewId="0">
      <selection activeCell="N26" sqref="N26"/>
    </sheetView>
  </sheetViews>
  <sheetFormatPr defaultRowHeight="15" x14ac:dyDescent="0.25"/>
  <cols>
    <col min="1" max="1" width="4.625" style="90" customWidth="1"/>
    <col min="2" max="2" width="3.75" style="90" customWidth="1"/>
    <col min="3" max="3" width="34.5" style="90" customWidth="1"/>
    <col min="4" max="4" width="11" style="90" customWidth="1"/>
    <col min="5" max="5" width="23.875" style="90" customWidth="1"/>
    <col min="6" max="6" width="20.75" style="90" customWidth="1"/>
    <col min="7" max="16384" width="9" style="90"/>
  </cols>
  <sheetData>
    <row r="1" spans="2:6" ht="15.75" x14ac:dyDescent="0.25">
      <c r="B1" s="89" t="s">
        <v>741</v>
      </c>
    </row>
    <row r="2" spans="2:6" x14ac:dyDescent="0.25">
      <c r="B2" s="91" t="s">
        <v>742</v>
      </c>
      <c r="C2" s="92"/>
      <c r="E2" s="93" t="s">
        <v>743</v>
      </c>
      <c r="F2" s="90" t="s">
        <v>744</v>
      </c>
    </row>
    <row r="3" spans="2:6" x14ac:dyDescent="0.25">
      <c r="B3" s="186" t="s">
        <v>745</v>
      </c>
      <c r="C3" s="186"/>
      <c r="E3" s="93" t="s">
        <v>746</v>
      </c>
    </row>
    <row r="4" spans="2:6" x14ac:dyDescent="0.25">
      <c r="E4" s="93" t="s">
        <v>747</v>
      </c>
      <c r="F4" s="90" t="s">
        <v>786</v>
      </c>
    </row>
    <row r="5" spans="2:6" x14ac:dyDescent="0.25">
      <c r="F5" s="94" t="s">
        <v>748</v>
      </c>
    </row>
    <row r="6" spans="2:6" ht="18.75" customHeight="1" x14ac:dyDescent="0.25">
      <c r="B6" s="187" t="s">
        <v>749</v>
      </c>
      <c r="C6" s="187"/>
      <c r="D6" s="187"/>
      <c r="E6" s="187"/>
      <c r="F6" s="187"/>
    </row>
    <row r="8" spans="2:6" ht="28.5" customHeight="1" x14ac:dyDescent="0.25">
      <c r="B8" s="95" t="s">
        <v>750</v>
      </c>
      <c r="C8" s="96" t="s">
        <v>694</v>
      </c>
      <c r="D8" s="97"/>
      <c r="E8" s="175" t="s">
        <v>751</v>
      </c>
      <c r="F8" s="176"/>
    </row>
    <row r="9" spans="2:6" ht="39.75" customHeight="1" x14ac:dyDescent="0.25">
      <c r="B9" s="95" t="s">
        <v>752</v>
      </c>
      <c r="C9" s="96" t="s">
        <v>753</v>
      </c>
      <c r="D9" s="97"/>
      <c r="E9" s="175" t="s">
        <v>751</v>
      </c>
      <c r="F9" s="176"/>
    </row>
    <row r="10" spans="2:6" ht="26.25" customHeight="1" x14ac:dyDescent="0.25">
      <c r="B10" s="95" t="s">
        <v>754</v>
      </c>
      <c r="C10" s="96" t="s">
        <v>755</v>
      </c>
      <c r="D10" s="98" t="s">
        <v>756</v>
      </c>
      <c r="E10" s="175" t="s">
        <v>751</v>
      </c>
      <c r="F10" s="176"/>
    </row>
    <row r="11" spans="2:6" ht="45.75" customHeight="1" x14ac:dyDescent="0.25">
      <c r="B11" s="95"/>
      <c r="C11" s="96" t="s">
        <v>757</v>
      </c>
      <c r="D11" s="98" t="s">
        <v>758</v>
      </c>
      <c r="E11" s="175" t="s">
        <v>751</v>
      </c>
      <c r="F11" s="176"/>
    </row>
    <row r="12" spans="2:6" ht="29.25" customHeight="1" x14ac:dyDescent="0.25">
      <c r="B12" s="95"/>
      <c r="C12" s="96" t="s">
        <v>759</v>
      </c>
      <c r="D12" s="98" t="s">
        <v>760</v>
      </c>
      <c r="E12" s="175" t="s">
        <v>751</v>
      </c>
      <c r="F12" s="176"/>
    </row>
    <row r="13" spans="2:6" ht="144" customHeight="1" x14ac:dyDescent="0.25">
      <c r="B13" s="95" t="s">
        <v>761</v>
      </c>
      <c r="C13" s="96" t="s">
        <v>762</v>
      </c>
      <c r="D13" s="97"/>
      <c r="E13" s="180" t="str">
        <f>+'Perjadin Kolektif-1'!A5</f>
        <v>DAFTAR TIM PADA KEGIATAN XXXXXXXXXXXXXXXXXXXXXXXXXXXXXXXXXXX</v>
      </c>
      <c r="F13" s="181"/>
    </row>
    <row r="14" spans="2:6" ht="23.25" customHeight="1" x14ac:dyDescent="0.25">
      <c r="B14" s="95" t="s">
        <v>763</v>
      </c>
      <c r="C14" s="96" t="s">
        <v>764</v>
      </c>
      <c r="D14" s="97"/>
      <c r="E14" s="175" t="s">
        <v>751</v>
      </c>
      <c r="F14" s="176"/>
    </row>
    <row r="15" spans="2:6" ht="23.25" customHeight="1" x14ac:dyDescent="0.25">
      <c r="B15" s="95" t="s">
        <v>765</v>
      </c>
      <c r="C15" s="96" t="s">
        <v>766</v>
      </c>
      <c r="D15" s="97" t="s">
        <v>756</v>
      </c>
      <c r="E15" s="175" t="s">
        <v>751</v>
      </c>
      <c r="F15" s="176"/>
    </row>
    <row r="16" spans="2:6" ht="26.25" customHeight="1" x14ac:dyDescent="0.25">
      <c r="B16" s="95"/>
      <c r="C16" s="96" t="s">
        <v>767</v>
      </c>
      <c r="D16" s="97" t="s">
        <v>758</v>
      </c>
      <c r="E16" s="180" t="e">
        <f>VLOOKUP($H$1,[14]Isian!$A$2:$AI$2489,35,0)&amp;" "&amp;VLOOKUP($H$1,[14]Isian!$A$2:$AH$2489,10,0)</f>
        <v>#N/A</v>
      </c>
      <c r="F16" s="181"/>
    </row>
    <row r="17" spans="2:6" ht="26.25" customHeight="1" x14ac:dyDescent="0.25">
      <c r="B17" s="95" t="s">
        <v>768</v>
      </c>
      <c r="C17" s="96" t="s">
        <v>769</v>
      </c>
      <c r="D17" s="97" t="s">
        <v>756</v>
      </c>
      <c r="E17" s="175" t="s">
        <v>751</v>
      </c>
      <c r="F17" s="176"/>
    </row>
    <row r="18" spans="2:6" ht="27.75" customHeight="1" x14ac:dyDescent="0.25">
      <c r="B18" s="95"/>
      <c r="C18" s="96" t="s">
        <v>770</v>
      </c>
      <c r="D18" s="97" t="s">
        <v>758</v>
      </c>
      <c r="E18" s="175" t="s">
        <v>751</v>
      </c>
      <c r="F18" s="176"/>
    </row>
    <row r="19" spans="2:6" ht="30" x14ac:dyDescent="0.25">
      <c r="B19" s="95"/>
      <c r="C19" s="96" t="s">
        <v>771</v>
      </c>
      <c r="D19" s="97" t="s">
        <v>760</v>
      </c>
      <c r="E19" s="175" t="s">
        <v>751</v>
      </c>
      <c r="F19" s="176"/>
    </row>
    <row r="20" spans="2:6" ht="26.25" customHeight="1" x14ac:dyDescent="0.25">
      <c r="B20" s="95" t="s">
        <v>772</v>
      </c>
      <c r="C20" s="96" t="s">
        <v>773</v>
      </c>
      <c r="D20" s="178" t="s">
        <v>774</v>
      </c>
      <c r="E20" s="179"/>
      <c r="F20" s="96" t="s">
        <v>775</v>
      </c>
    </row>
    <row r="21" spans="2:6" ht="21" customHeight="1" x14ac:dyDescent="0.25">
      <c r="B21" s="95"/>
      <c r="C21" s="101" t="s">
        <v>750</v>
      </c>
      <c r="D21" s="97"/>
      <c r="E21" s="100"/>
      <c r="F21" s="101"/>
    </row>
    <row r="22" spans="2:6" ht="21.75" customHeight="1" x14ac:dyDescent="0.25">
      <c r="B22" s="95"/>
      <c r="C22" s="101" t="s">
        <v>752</v>
      </c>
      <c r="D22" s="97"/>
      <c r="E22" s="100"/>
      <c r="F22" s="101"/>
    </row>
    <row r="23" spans="2:6" ht="25.5" customHeight="1" x14ac:dyDescent="0.25">
      <c r="B23" s="95"/>
      <c r="C23" s="101"/>
      <c r="D23" s="97"/>
      <c r="E23" s="100"/>
      <c r="F23" s="101"/>
    </row>
    <row r="24" spans="2:6" ht="28.5" customHeight="1" x14ac:dyDescent="0.25">
      <c r="B24" s="95" t="s">
        <v>776</v>
      </c>
      <c r="C24" s="96" t="s">
        <v>777</v>
      </c>
      <c r="D24" s="97"/>
      <c r="E24" s="99"/>
      <c r="F24" s="100"/>
    </row>
    <row r="25" spans="2:6" ht="30" customHeight="1" x14ac:dyDescent="0.25">
      <c r="B25" s="95"/>
      <c r="C25" s="96" t="s">
        <v>778</v>
      </c>
      <c r="D25" s="97" t="s">
        <v>756</v>
      </c>
      <c r="E25" s="180" t="s">
        <v>779</v>
      </c>
      <c r="F25" s="181"/>
    </row>
    <row r="26" spans="2:6" ht="35.25" customHeight="1" x14ac:dyDescent="0.25">
      <c r="B26" s="102"/>
      <c r="C26" s="103" t="s">
        <v>780</v>
      </c>
      <c r="D26" s="104" t="s">
        <v>758</v>
      </c>
      <c r="E26" s="182" t="s">
        <v>781</v>
      </c>
      <c r="F26" s="183"/>
    </row>
    <row r="27" spans="2:6" ht="18" customHeight="1" x14ac:dyDescent="0.25">
      <c r="B27" s="105"/>
      <c r="C27" s="106"/>
      <c r="D27" s="107"/>
      <c r="E27" s="184" t="str">
        <f>VLOOKUP(E26,[15]Ref!$A$152:$D$160,4,FALSE)</f>
        <v>6392.EBA.962.051.E.524119</v>
      </c>
      <c r="F27" s="185"/>
    </row>
    <row r="28" spans="2:6" ht="50.25" customHeight="1" x14ac:dyDescent="0.25">
      <c r="B28" s="95" t="s">
        <v>782</v>
      </c>
      <c r="C28" s="96" t="s">
        <v>783</v>
      </c>
      <c r="D28" s="97"/>
      <c r="E28" s="175" t="s">
        <v>751</v>
      </c>
      <c r="F28" s="176"/>
    </row>
    <row r="29" spans="2:6" x14ac:dyDescent="0.25">
      <c r="B29" s="108"/>
      <c r="C29" s="109" t="s">
        <v>784</v>
      </c>
      <c r="D29" s="108"/>
      <c r="E29" s="108"/>
      <c r="F29" s="108"/>
    </row>
    <row r="30" spans="2:6" ht="6" customHeight="1" x14ac:dyDescent="0.25"/>
    <row r="31" spans="2:6" x14ac:dyDescent="0.25">
      <c r="E31" s="177" t="s">
        <v>785</v>
      </c>
      <c r="F31" s="177"/>
    </row>
    <row r="32" spans="2:6" x14ac:dyDescent="0.25">
      <c r="E32" s="177" t="s">
        <v>951</v>
      </c>
      <c r="F32" s="177"/>
    </row>
    <row r="33" spans="5:6" x14ac:dyDescent="0.25">
      <c r="E33" s="177" t="s">
        <v>694</v>
      </c>
      <c r="F33" s="177"/>
    </row>
    <row r="34" spans="5:6" x14ac:dyDescent="0.25">
      <c r="E34" s="110"/>
      <c r="F34" s="110"/>
    </row>
    <row r="35" spans="5:6" x14ac:dyDescent="0.25">
      <c r="E35" s="110"/>
      <c r="F35" s="110"/>
    </row>
    <row r="36" spans="5:6" x14ac:dyDescent="0.25">
      <c r="E36" s="65" t="s">
        <v>56</v>
      </c>
      <c r="F36" s="111"/>
    </row>
    <row r="37" spans="5:6" x14ac:dyDescent="0.25">
      <c r="E37" s="65" t="s">
        <v>695</v>
      </c>
      <c r="F37" s="111"/>
    </row>
  </sheetData>
  <mergeCells count="22">
    <mergeCell ref="E17:F17"/>
    <mergeCell ref="B3:C3"/>
    <mergeCell ref="B6:F6"/>
    <mergeCell ref="E8:F8"/>
    <mergeCell ref="E9:F9"/>
    <mergeCell ref="E10:F10"/>
    <mergeCell ref="E11:F11"/>
    <mergeCell ref="E12:F12"/>
    <mergeCell ref="E13:F13"/>
    <mergeCell ref="E14:F14"/>
    <mergeCell ref="E15:F15"/>
    <mergeCell ref="E16:F16"/>
    <mergeCell ref="E28:F28"/>
    <mergeCell ref="E31:F31"/>
    <mergeCell ref="E32:F32"/>
    <mergeCell ref="E33:F33"/>
    <mergeCell ref="E18:F18"/>
    <mergeCell ref="E19:F19"/>
    <mergeCell ref="D20:E20"/>
    <mergeCell ref="E25:F25"/>
    <mergeCell ref="E26:F26"/>
    <mergeCell ref="E27:F27"/>
  </mergeCells>
  <pageMargins left="0.79" right="0.37" top="0.5" bottom="0.75" header="0.39" footer="0.3"/>
  <pageSetup paperSize="9" scale="8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E6391-61CB-4324-906B-A467701B69B3}">
  <dimension ref="A3:B6"/>
  <sheetViews>
    <sheetView workbookViewId="0">
      <selection activeCell="G25" sqref="G25"/>
    </sheetView>
  </sheetViews>
  <sheetFormatPr defaultRowHeight="15.75" x14ac:dyDescent="0.25"/>
  <cols>
    <col min="1" max="1" width="4.375" customWidth="1"/>
    <col min="2" max="2" width="60" customWidth="1"/>
  </cols>
  <sheetData>
    <row r="3" spans="1:2" x14ac:dyDescent="0.25">
      <c r="A3" t="s">
        <v>952</v>
      </c>
    </row>
    <row r="4" spans="1:2" x14ac:dyDescent="0.25">
      <c r="A4" s="4" t="s">
        <v>46</v>
      </c>
      <c r="B4" t="s">
        <v>953</v>
      </c>
    </row>
    <row r="5" spans="1:2" x14ac:dyDescent="0.25">
      <c r="A5" s="4" t="s">
        <v>46</v>
      </c>
      <c r="B5" t="s">
        <v>954</v>
      </c>
    </row>
    <row r="6" spans="1:2" x14ac:dyDescent="0.25">
      <c r="A6" s="4" t="s">
        <v>46</v>
      </c>
      <c r="B6" t="s">
        <v>955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21</vt:i4>
      </vt:variant>
    </vt:vector>
  </HeadingPairs>
  <TitlesOfParts>
    <vt:vector size="42" baseType="lpstr">
      <vt:lpstr>RefAnggaran</vt:lpstr>
      <vt:lpstr>User Pokja, PPK, KPA dan PUMK</vt:lpstr>
      <vt:lpstr>Akun Daf. Nominatif</vt:lpstr>
      <vt:lpstr>Ref Pegawai</vt:lpstr>
      <vt:lpstr>521111</vt:lpstr>
      <vt:lpstr>521115</vt:lpstr>
      <vt:lpstr>521119</vt:lpstr>
      <vt:lpstr>521211</vt:lpstr>
      <vt:lpstr>521213</vt:lpstr>
      <vt:lpstr>521811</vt:lpstr>
      <vt:lpstr>522141</vt:lpstr>
      <vt:lpstr>522151</vt:lpstr>
      <vt:lpstr>523111</vt:lpstr>
      <vt:lpstr>523121</vt:lpstr>
      <vt:lpstr>524111</vt:lpstr>
      <vt:lpstr>524113</vt:lpstr>
      <vt:lpstr>524114</vt:lpstr>
      <vt:lpstr>524119</vt:lpstr>
      <vt:lpstr>Perjadin Kolektif-1</vt:lpstr>
      <vt:lpstr>SPD-Terlampir</vt:lpstr>
      <vt:lpstr>Catatan</vt:lpstr>
      <vt:lpstr>'521111'!Print_Area</vt:lpstr>
      <vt:lpstr>'521115'!Print_Area</vt:lpstr>
      <vt:lpstr>'521119'!Print_Area</vt:lpstr>
      <vt:lpstr>'521211'!Print_Area</vt:lpstr>
      <vt:lpstr>'521213'!Print_Area</vt:lpstr>
      <vt:lpstr>'521811'!Print_Area</vt:lpstr>
      <vt:lpstr>'522141'!Print_Area</vt:lpstr>
      <vt:lpstr>'522151'!Print_Area</vt:lpstr>
      <vt:lpstr>'523111'!Print_Area</vt:lpstr>
      <vt:lpstr>'523121'!Print_Area</vt:lpstr>
      <vt:lpstr>'524111'!Print_Area</vt:lpstr>
      <vt:lpstr>'524113'!Print_Area</vt:lpstr>
      <vt:lpstr>'524114'!Print_Area</vt:lpstr>
      <vt:lpstr>'524119'!Print_Area</vt:lpstr>
      <vt:lpstr>'Perjadin Kolektif-1'!Print_Area</vt:lpstr>
      <vt:lpstr>'SPD-Terlampir'!Print_Area</vt:lpstr>
      <vt:lpstr>'524111'!Print_Titles</vt:lpstr>
      <vt:lpstr>'524113'!Print_Titles</vt:lpstr>
      <vt:lpstr>'524114'!Print_Titles</vt:lpstr>
      <vt:lpstr>'524119'!Print_Titles</vt:lpstr>
      <vt:lpstr>'Perjadin Kolektif-1'!Print_Titles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KEUANGAN-PRAYITNO</dc:creator>
  <cp:lastModifiedBy>hktlu</cp:lastModifiedBy>
  <dcterms:created xsi:type="dcterms:W3CDTF">2023-02-10T09:39:25Z</dcterms:created>
  <dcterms:modified xsi:type="dcterms:W3CDTF">2023-09-27T02:36:36Z</dcterms:modified>
</cp:coreProperties>
</file>