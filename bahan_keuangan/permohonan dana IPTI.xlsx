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531"/>
  <workbookPr filterPrivacy="1" defaultThemeVersion="124226"/>
  <xr:revisionPtr revIDLastSave="0" documentId="13_ncr:1_{EE1601F0-C9EF-EF48-9202-BDCFEA87EC07}" xr6:coauthVersionLast="47" xr6:coauthVersionMax="47" xr10:uidLastSave="{00000000-0000-0000-0000-000000000000}"/>
  <bookViews>
    <workbookView xWindow="0" yWindow="760" windowWidth="24240" windowHeight="13020" xr2:uid="{00000000-000D-0000-FFFF-FFFF00000000}"/>
  </bookViews>
  <sheets>
    <sheet name="Permohonan Dana" sheetId="37" r:id="rId1"/>
    <sheet name="Rincian Biaya" sheetId="38" r:id="rId2"/>
    <sheet name="Panitia" sheetId="23" state="hidden" r:id="rId3"/>
    <sheet name="Moderator" sheetId="22" state="hidden" r:id="rId4"/>
    <sheet name="Narsum PNS" sheetId="21" state="hidden" r:id="rId5"/>
    <sheet name="Narasumber" sheetId="30" state="hidden" r:id="rId6"/>
    <sheet name="Instruktur" sheetId="33" state="hidden" r:id="rId7"/>
    <sheet name="Perjadin" sheetId="34" state="hidden" r:id="rId8"/>
    <sheet name="Transport" sheetId="17" state="hidden" r:id="rId9"/>
    <sheet name="RDK" sheetId="36" state="hidden" r:id="rId10"/>
    <sheet name="Perjadin Akt II" sheetId="27" state="hidden" r:id="rId11"/>
  </sheets>
  <definedNames>
    <definedName name="_xlnm.Print_Titles" localSheetId="7">Perjadin!$10:$12</definedName>
    <definedName name="_xlnm.Print_Titles" localSheetId="10">'Perjadin Akt II'!$11:$13</definedName>
    <definedName name="_xlnm.Print_Titles" localSheetId="9">RDK!$10:$12</definedName>
    <definedName name="_xlnm.Print_Titles" localSheetId="8">Transport!$10:$12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3" i="38" l="1"/>
  <c r="G43" i="38"/>
  <c r="F43" i="38"/>
  <c r="E43" i="38"/>
  <c r="D43" i="38"/>
  <c r="H32" i="38"/>
  <c r="G32" i="38"/>
  <c r="F32" i="38"/>
  <c r="E32" i="38"/>
  <c r="D32" i="38"/>
  <c r="H22" i="38"/>
  <c r="G22" i="38"/>
  <c r="F22" i="38"/>
  <c r="E22" i="38"/>
  <c r="D22" i="38"/>
  <c r="H17" i="38"/>
  <c r="G17" i="38"/>
  <c r="F17" i="38"/>
  <c r="E17" i="38"/>
  <c r="D17" i="38"/>
  <c r="M20" i="38" l="1"/>
  <c r="M21" i="38"/>
  <c r="M22" i="38"/>
  <c r="M23" i="38"/>
  <c r="H12" i="38"/>
  <c r="G12" i="38"/>
  <c r="F12" i="38"/>
  <c r="E12" i="38"/>
  <c r="D12" i="38"/>
  <c r="E23" i="37"/>
  <c r="E22" i="37"/>
  <c r="E21" i="37"/>
  <c r="E20" i="37"/>
  <c r="E19" i="37"/>
  <c r="E18" i="37"/>
  <c r="E17" i="37"/>
  <c r="F65" i="38"/>
  <c r="F64" i="38"/>
  <c r="F66" i="38" l="1"/>
  <c r="H23" i="37" s="1"/>
  <c r="M57" i="38"/>
  <c r="H57" i="38"/>
  <c r="G57" i="38"/>
  <c r="F57" i="38"/>
  <c r="E57" i="38"/>
  <c r="D57" i="38"/>
  <c r="M56" i="38"/>
  <c r="H56" i="38"/>
  <c r="G56" i="38"/>
  <c r="F56" i="38"/>
  <c r="E56" i="38"/>
  <c r="D56" i="38"/>
  <c r="H39" i="38"/>
  <c r="H40" i="38"/>
  <c r="H41" i="38"/>
  <c r="H42" i="38"/>
  <c r="H44" i="38"/>
  <c r="H38" i="38"/>
  <c r="G39" i="38"/>
  <c r="G40" i="38"/>
  <c r="G41" i="38"/>
  <c r="G42" i="38"/>
  <c r="G44" i="38"/>
  <c r="G38" i="38"/>
  <c r="F39" i="38"/>
  <c r="F40" i="38"/>
  <c r="F41" i="38"/>
  <c r="F42" i="38"/>
  <c r="F44" i="38"/>
  <c r="F38" i="38"/>
  <c r="E39" i="38"/>
  <c r="E40" i="38"/>
  <c r="E41" i="38"/>
  <c r="E42" i="38"/>
  <c r="E44" i="38"/>
  <c r="E38" i="38"/>
  <c r="D39" i="38"/>
  <c r="D40" i="38"/>
  <c r="D41" i="38"/>
  <c r="D42" i="38"/>
  <c r="D44" i="38"/>
  <c r="D38" i="38"/>
  <c r="M43" i="38"/>
  <c r="M44" i="38"/>
  <c r="M28" i="38"/>
  <c r="M29" i="38"/>
  <c r="M30" i="38"/>
  <c r="M31" i="38"/>
  <c r="M32" i="38"/>
  <c r="M33" i="38"/>
  <c r="H28" i="38"/>
  <c r="H29" i="38"/>
  <c r="H30" i="38"/>
  <c r="H31" i="38"/>
  <c r="H33" i="38"/>
  <c r="G28" i="38"/>
  <c r="G29" i="38"/>
  <c r="G30" i="38"/>
  <c r="G31" i="38"/>
  <c r="G33" i="38"/>
  <c r="F28" i="38"/>
  <c r="F29" i="38"/>
  <c r="F30" i="38"/>
  <c r="F31" i="38"/>
  <c r="F33" i="38"/>
  <c r="E28" i="38"/>
  <c r="E29" i="38"/>
  <c r="E30" i="38"/>
  <c r="E31" i="38"/>
  <c r="E33" i="38"/>
  <c r="D28" i="38"/>
  <c r="D29" i="38"/>
  <c r="D30" i="38"/>
  <c r="D31" i="38"/>
  <c r="D33" i="38"/>
  <c r="M58" i="38" l="1"/>
  <c r="H22" i="37" s="1"/>
  <c r="M34" i="38"/>
  <c r="H19" i="37" s="1"/>
  <c r="H7" i="38"/>
  <c r="G7" i="38"/>
  <c r="F7" i="38"/>
  <c r="E7" i="38"/>
  <c r="D7" i="38"/>
  <c r="H23" i="38"/>
  <c r="E16" i="37"/>
  <c r="M51" i="38" l="1"/>
  <c r="H51" i="38"/>
  <c r="G51" i="38"/>
  <c r="F51" i="38"/>
  <c r="E51" i="38"/>
  <c r="D51" i="38"/>
  <c r="M17" i="38"/>
  <c r="M18" i="38"/>
  <c r="M19" i="38"/>
  <c r="G23" i="38" l="1"/>
  <c r="F23" i="38"/>
  <c r="E23" i="38"/>
  <c r="D23" i="38"/>
  <c r="H21" i="38"/>
  <c r="G21" i="38"/>
  <c r="F21" i="38"/>
  <c r="E21" i="38"/>
  <c r="D21" i="38"/>
  <c r="H20" i="38"/>
  <c r="G20" i="38"/>
  <c r="F20" i="38"/>
  <c r="E20" i="38"/>
  <c r="D20" i="38"/>
  <c r="H19" i="38"/>
  <c r="G19" i="38"/>
  <c r="F19" i="38"/>
  <c r="E19" i="38"/>
  <c r="D19" i="38"/>
  <c r="H18" i="38"/>
  <c r="G18" i="38"/>
  <c r="F18" i="38"/>
  <c r="E18" i="38"/>
  <c r="D18" i="38"/>
  <c r="M24" i="38" l="1"/>
  <c r="H18" i="37" s="1"/>
  <c r="M39" i="38"/>
  <c r="M40" i="38"/>
  <c r="M41" i="38"/>
  <c r="M42" i="38"/>
  <c r="M38" i="38"/>
  <c r="M45" i="38" l="1"/>
  <c r="H20" i="37" s="1"/>
  <c r="M12" i="38"/>
  <c r="M13" i="38" l="1"/>
  <c r="H17" i="37" s="1"/>
  <c r="M50" i="38" l="1"/>
  <c r="H50" i="38"/>
  <c r="G50" i="38"/>
  <c r="F50" i="38"/>
  <c r="E50" i="38"/>
  <c r="D50" i="38"/>
  <c r="M52" i="38" l="1"/>
  <c r="H21" i="37" s="1"/>
  <c r="M7" i="38" l="1"/>
  <c r="M8" i="38" l="1"/>
  <c r="H16" i="37" s="1"/>
  <c r="H24" i="37" s="1"/>
  <c r="F33" i="27" l="1"/>
  <c r="D33" i="27"/>
  <c r="C33" i="27"/>
  <c r="H32" i="27"/>
  <c r="E32" i="27"/>
  <c r="G32" i="27" s="1"/>
  <c r="H31" i="27"/>
  <c r="E31" i="27"/>
  <c r="G31" i="27" s="1"/>
  <c r="H30" i="27"/>
  <c r="E30" i="27"/>
  <c r="G30" i="27" s="1"/>
  <c r="H29" i="27"/>
  <c r="E29" i="27"/>
  <c r="G29" i="27" s="1"/>
  <c r="H28" i="27"/>
  <c r="E28" i="27"/>
  <c r="G28" i="27" s="1"/>
  <c r="H27" i="27"/>
  <c r="E27" i="27"/>
  <c r="G27" i="27" s="1"/>
  <c r="H26" i="27"/>
  <c r="E26" i="27"/>
  <c r="G26" i="27" s="1"/>
  <c r="H25" i="27"/>
  <c r="E25" i="27"/>
  <c r="G25" i="27" s="1"/>
  <c r="H24" i="27"/>
  <c r="E24" i="27"/>
  <c r="G24" i="27" s="1"/>
  <c r="H23" i="27"/>
  <c r="E23" i="27"/>
  <c r="G23" i="27" s="1"/>
  <c r="H22" i="27"/>
  <c r="E22" i="27"/>
  <c r="G22" i="27" s="1"/>
  <c r="H21" i="27"/>
  <c r="E21" i="27"/>
  <c r="G21" i="27" s="1"/>
  <c r="H20" i="27"/>
  <c r="E20" i="27"/>
  <c r="G20" i="27" s="1"/>
  <c r="H19" i="27"/>
  <c r="E19" i="27"/>
  <c r="G19" i="27" s="1"/>
  <c r="H18" i="27"/>
  <c r="E18" i="27"/>
  <c r="G18" i="27" s="1"/>
  <c r="H17" i="27"/>
  <c r="E17" i="27"/>
  <c r="G17" i="27" s="1"/>
  <c r="H16" i="27"/>
  <c r="E16" i="27"/>
  <c r="G16" i="27" s="1"/>
  <c r="H15" i="27"/>
  <c r="E15" i="27"/>
  <c r="G15" i="27" s="1"/>
  <c r="H14" i="27"/>
  <c r="E14" i="27"/>
  <c r="F33" i="36"/>
  <c r="E33" i="36"/>
  <c r="F32" i="36"/>
  <c r="E32" i="36"/>
  <c r="F31" i="36"/>
  <c r="E31" i="36"/>
  <c r="F30" i="36"/>
  <c r="E30" i="36"/>
  <c r="F29" i="36"/>
  <c r="E29" i="36"/>
  <c r="F28" i="36"/>
  <c r="E28" i="36"/>
  <c r="F27" i="36"/>
  <c r="E27" i="36"/>
  <c r="F26" i="36"/>
  <c r="E26" i="36"/>
  <c r="F25" i="36"/>
  <c r="E25" i="36"/>
  <c r="F24" i="36"/>
  <c r="E24" i="36"/>
  <c r="F23" i="36"/>
  <c r="E23" i="36"/>
  <c r="F22" i="36"/>
  <c r="E22" i="36"/>
  <c r="F21" i="36"/>
  <c r="E21" i="36"/>
  <c r="F20" i="36"/>
  <c r="E20" i="36"/>
  <c r="F19" i="36"/>
  <c r="E19" i="36"/>
  <c r="F18" i="36"/>
  <c r="E18" i="36"/>
  <c r="F17" i="36"/>
  <c r="E17" i="36"/>
  <c r="F16" i="36"/>
  <c r="E16" i="36"/>
  <c r="F15" i="36"/>
  <c r="E15" i="36"/>
  <c r="F14" i="36"/>
  <c r="E14" i="36"/>
  <c r="F13" i="36"/>
  <c r="E13" i="36"/>
  <c r="F33" i="17"/>
  <c r="E33" i="17"/>
  <c r="F32" i="17"/>
  <c r="E32" i="17"/>
  <c r="F31" i="17"/>
  <c r="E31" i="17"/>
  <c r="F30" i="17"/>
  <c r="E30" i="17"/>
  <c r="F29" i="17"/>
  <c r="E29" i="17"/>
  <c r="F28" i="17"/>
  <c r="E28" i="17"/>
  <c r="F27" i="17"/>
  <c r="E27" i="17"/>
  <c r="F26" i="17"/>
  <c r="E26" i="17"/>
  <c r="F25" i="17"/>
  <c r="E25" i="17"/>
  <c r="F24" i="17"/>
  <c r="E24" i="17"/>
  <c r="F23" i="17"/>
  <c r="E23" i="17"/>
  <c r="F22" i="17"/>
  <c r="E22" i="17"/>
  <c r="F21" i="17"/>
  <c r="E21" i="17"/>
  <c r="F20" i="17"/>
  <c r="E20" i="17"/>
  <c r="F19" i="17"/>
  <c r="E19" i="17"/>
  <c r="E14" i="17"/>
  <c r="F13" i="17"/>
  <c r="E13" i="17"/>
  <c r="H33" i="34"/>
  <c r="E33" i="34"/>
  <c r="G33" i="34" s="1"/>
  <c r="H32" i="34"/>
  <c r="E32" i="34"/>
  <c r="G32" i="34" s="1"/>
  <c r="H31" i="34"/>
  <c r="E31" i="34"/>
  <c r="G31" i="34" s="1"/>
  <c r="H30" i="34"/>
  <c r="E30" i="34"/>
  <c r="G30" i="34" s="1"/>
  <c r="H29" i="34"/>
  <c r="E29" i="34"/>
  <c r="G29" i="34" s="1"/>
  <c r="H28" i="34"/>
  <c r="E28" i="34"/>
  <c r="G28" i="34" s="1"/>
  <c r="H27" i="34"/>
  <c r="E27" i="34"/>
  <c r="G27" i="34" s="1"/>
  <c r="H26" i="34"/>
  <c r="E26" i="34"/>
  <c r="G26" i="34" s="1"/>
  <c r="H25" i="34"/>
  <c r="E25" i="34"/>
  <c r="G25" i="34" s="1"/>
  <c r="H24" i="34"/>
  <c r="E24" i="34"/>
  <c r="G24" i="34" s="1"/>
  <c r="H23" i="34"/>
  <c r="E23" i="34"/>
  <c r="G23" i="34" s="1"/>
  <c r="H22" i="34"/>
  <c r="E22" i="34"/>
  <c r="G22" i="34" s="1"/>
  <c r="H21" i="34"/>
  <c r="E21" i="34"/>
  <c r="G21" i="34" s="1"/>
  <c r="H20" i="34"/>
  <c r="E20" i="34"/>
  <c r="G20" i="34" s="1"/>
  <c r="H19" i="34"/>
  <c r="E19" i="34"/>
  <c r="G19" i="34" s="1"/>
  <c r="H18" i="34"/>
  <c r="E18" i="34"/>
  <c r="G18" i="34" s="1"/>
  <c r="H17" i="34"/>
  <c r="E17" i="34"/>
  <c r="G17" i="34" s="1"/>
  <c r="H16" i="34"/>
  <c r="E16" i="34"/>
  <c r="G16" i="34" s="1"/>
  <c r="H15" i="34"/>
  <c r="E15" i="34"/>
  <c r="G15" i="34" s="1"/>
  <c r="H14" i="34"/>
  <c r="E14" i="34"/>
  <c r="G14" i="34" s="1"/>
  <c r="H13" i="34"/>
  <c r="E13" i="34"/>
  <c r="G13" i="34" s="1"/>
  <c r="N13" i="33"/>
  <c r="H13" i="33"/>
  <c r="E13" i="33"/>
  <c r="D13" i="33"/>
  <c r="C13" i="33"/>
  <c r="N13" i="30"/>
  <c r="H13" i="30"/>
  <c r="E13" i="30"/>
  <c r="D13" i="30"/>
  <c r="C13" i="30"/>
  <c r="E17" i="21"/>
  <c r="K16" i="21"/>
  <c r="G16" i="21"/>
  <c r="I16" i="21" s="1"/>
  <c r="K15" i="21"/>
  <c r="G15" i="21"/>
  <c r="K14" i="21"/>
  <c r="G14" i="21"/>
  <c r="I14" i="21" s="1"/>
  <c r="K13" i="21"/>
  <c r="G13" i="21"/>
  <c r="L13" i="22"/>
  <c r="H13" i="22"/>
  <c r="J13" i="22" s="1"/>
  <c r="E13" i="22"/>
  <c r="D13" i="22"/>
  <c r="C13" i="22"/>
  <c r="E33" i="27" l="1"/>
  <c r="G14" i="27"/>
  <c r="G33" i="27" s="1"/>
  <c r="K13" i="22"/>
  <c r="J14" i="21"/>
  <c r="J16" i="21"/>
  <c r="I13" i="30"/>
  <c r="L13" i="30" s="1"/>
  <c r="M13" i="30" s="1"/>
  <c r="I13" i="33"/>
  <c r="L13" i="33" s="1"/>
  <c r="M13" i="33" s="1"/>
  <c r="I13" i="21"/>
  <c r="I15" i="21"/>
  <c r="J15" i="21" s="1"/>
  <c r="G17" i="21"/>
  <c r="I17" i="21" l="1"/>
  <c r="J13" i="21"/>
  <c r="J17" i="2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13" authorId="0" shapeId="0" xr:uid="{DF4E8A59-9621-4526-B1C5-98BE6D6A5C0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IKU LLDikti dan PT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05ACD17-FD40-46B3-BEB9-05212364F2D7}" keepAlive="1" name="Query - RefAnggaran" description="Connection to the 'RefAnggaran' query in the workbook." type="5" refreshedVersion="0" background="1">
    <dbPr connection="Provider=Microsoft.Mashup.OleDb.1;Data Source=$Workbook$;Location=RefAnggaran;Extended Properties=&quot;&quot;" command="SELECT * FROM [RefAnggaran]"/>
  </connection>
</connections>
</file>

<file path=xl/sharedStrings.xml><?xml version="1.0" encoding="utf-8"?>
<sst xmlns="http://schemas.openxmlformats.org/spreadsheetml/2006/main" count="781" uniqueCount="285">
  <si>
    <t>Achmadi</t>
  </si>
  <si>
    <t>Agung Permana N</t>
  </si>
  <si>
    <t>Ahmad Mustaadi</t>
  </si>
  <si>
    <t>Alfikri Mirza Rosadi</t>
  </si>
  <si>
    <t>-</t>
  </si>
  <si>
    <t>Elih Ermawati</t>
  </si>
  <si>
    <t>Endang Sutisna</t>
  </si>
  <si>
    <t>Ikhsan Riyanda</t>
  </si>
  <si>
    <t>M. Samsuri</t>
  </si>
  <si>
    <t>Nur Fadillah</t>
  </si>
  <si>
    <t>Prayitno</t>
  </si>
  <si>
    <t>Siswanto</t>
  </si>
  <si>
    <t>Suherman</t>
  </si>
  <si>
    <t>Sunarti</t>
  </si>
  <si>
    <t>Sekretaris</t>
  </si>
  <si>
    <t>Taufan Setyo Pranggono</t>
  </si>
  <si>
    <t>Yudha Satria</t>
  </si>
  <si>
    <t>Yulianti AS</t>
  </si>
  <si>
    <t>Verry Riyanto</t>
  </si>
  <si>
    <t>Abdul Hamid</t>
  </si>
  <si>
    <t>Herlambang Brawijaya</t>
  </si>
  <si>
    <t>Selamet Widodo</t>
  </si>
  <si>
    <t>Mochamad Abdul Azis</t>
  </si>
  <si>
    <t>Yudhistira</t>
  </si>
  <si>
    <t>PERMOHONAN DANA</t>
  </si>
  <si>
    <t>Dengan ini kami mengajukan permohonan dana, dengan perincian sebagai berikut:</t>
  </si>
  <si>
    <t>1.</t>
  </si>
  <si>
    <t>Satker</t>
  </si>
  <si>
    <t>:</t>
  </si>
  <si>
    <t>2.</t>
  </si>
  <si>
    <t>3.</t>
  </si>
  <si>
    <t>4.</t>
  </si>
  <si>
    <t xml:space="preserve">5. </t>
  </si>
  <si>
    <t>6.</t>
  </si>
  <si>
    <t>7.</t>
  </si>
  <si>
    <t>Waktu Pelaksanaan</t>
  </si>
  <si>
    <t>8.</t>
  </si>
  <si>
    <t>Tempat Pelaksanaan</t>
  </si>
  <si>
    <t xml:space="preserve">9. </t>
  </si>
  <si>
    <t>Kebutuhan Biaya</t>
  </si>
  <si>
    <t>Jumlah</t>
  </si>
  <si>
    <t>Sebagai kelengkapan pengajuan bersama ini kami lampirkan:</t>
  </si>
  <si>
    <t>Rincian Kebutuhan Biaya</t>
  </si>
  <si>
    <t>Surat Keputusan Pelaksanaan Kegiatan</t>
  </si>
  <si>
    <t>Surat Tugas Kepanitiaan</t>
  </si>
  <si>
    <t>5.</t>
  </si>
  <si>
    <t>Surat Undangan Kegiatan</t>
  </si>
  <si>
    <t>Surat Pernyataan Kegiatan Luar Kantor</t>
  </si>
  <si>
    <t>Kuitansi / Bukti Pembayaran</t>
  </si>
  <si>
    <t>SPK / Surat Perjanjian</t>
  </si>
  <si>
    <t>Dokumen Pendukung Lainnya</t>
  </si>
  <si>
    <t>……………………………………………………………</t>
  </si>
  <si>
    <t>Jakarta,    11 Januari 2023</t>
  </si>
  <si>
    <t>Pejabat Pembuat Komitmen</t>
  </si>
  <si>
    <t>No</t>
  </si>
  <si>
    <t>NIK</t>
  </si>
  <si>
    <t>NPWP</t>
  </si>
  <si>
    <t>Satuan</t>
  </si>
  <si>
    <t>Honorarium</t>
  </si>
  <si>
    <t>OJ</t>
  </si>
  <si>
    <t>OK</t>
  </si>
  <si>
    <t>Lampiran :</t>
  </si>
  <si>
    <t xml:space="preserve">Surat Keputusan Lembaga Layanan Pendidikan Tinggi Wilayah III Jakarta </t>
  </si>
  <si>
    <t>Notes :</t>
  </si>
  <si>
    <t>Nomor : ………………. Tanggal. ………………..</t>
  </si>
  <si>
    <t>1. Honorarium Panitia satuannya adalah Orang/Kegiatan</t>
  </si>
  <si>
    <t>DAFTAR PEMBAYARAN HONORARIUM PANITIA</t>
  </si>
  <si>
    <t xml:space="preserve">2. Jumlah Kepanitian paling banyak 10% dari Jumlah Peserta Undangan Kegiatan </t>
  </si>
  <si>
    <t>PADA KEGIATAN Rapat Analisa Kebutuhan Tahap I Pengembangan Aplikasi Pelaporan BKD</t>
  </si>
  <si>
    <t>3. Perlakuan Pajak untuk Pembayaran Honorarium :</t>
  </si>
  <si>
    <t>DI LINGKUNGAN LEMBAGA LAYANAN PENDIDIKAN TINGGI WILAYAH III JAKARTA TAHUN ANGGARAN 2020</t>
  </si>
  <si>
    <t xml:space="preserve">PNS Gol. IV dikenakan Tarif  15% dari Jumlah Bruto </t>
  </si>
  <si>
    <t>DI Ruang Kartini Kantor LLDIKTI Wilayah III PADA TANGGAL 7 Agustus 2020</t>
  </si>
  <si>
    <t xml:space="preserve">PNS Gol. III dikenakan Tarif  5% dari Jumlah Bruto </t>
  </si>
  <si>
    <t xml:space="preserve">PNS Gol. II dikenakan Tarif  0% dari Jumlah Bruto </t>
  </si>
  <si>
    <t>No.</t>
  </si>
  <si>
    <t>Nama</t>
  </si>
  <si>
    <t>Status / Gol</t>
  </si>
  <si>
    <t xml:space="preserve">Jabatan </t>
  </si>
  <si>
    <t>PPH 21</t>
  </si>
  <si>
    <t xml:space="preserve">Jumlah Diterima </t>
  </si>
  <si>
    <t xml:space="preserve">Tanda Tangan </t>
  </si>
  <si>
    <t xml:space="preserve">Non PNS punya NPWP dikenakan Tarif  5% dari setengah Jumlah Bruto </t>
  </si>
  <si>
    <t>Jml Keg</t>
  </si>
  <si>
    <t>Rp./Keg</t>
  </si>
  <si>
    <t>Jml Bruto</t>
  </si>
  <si>
    <t>Tarif *</t>
  </si>
  <si>
    <t>Jml Pajak</t>
  </si>
  <si>
    <t xml:space="preserve">Non PNS tidak punya NPWP dikenakan Tarif  6% dari setengah Jumlah Bruto </t>
  </si>
  <si>
    <t>A</t>
  </si>
  <si>
    <t>B</t>
  </si>
  <si>
    <t>C</t>
  </si>
  <si>
    <t>D</t>
  </si>
  <si>
    <t>E</t>
  </si>
  <si>
    <t>F</t>
  </si>
  <si>
    <t>G</t>
  </si>
  <si>
    <t>H</t>
  </si>
  <si>
    <t>I=GxH</t>
  </si>
  <si>
    <t>K</t>
  </si>
  <si>
    <t>L=IxK</t>
  </si>
  <si>
    <t>M</t>
  </si>
  <si>
    <t>N</t>
  </si>
  <si>
    <t xml:space="preserve">Jumlah Total </t>
  </si>
  <si>
    <t>Terbilang   :</t>
  </si>
  <si>
    <t xml:space="preserve">* Sesuai PMK No. 252/PMK/03/2008  Pasal 20 Ayat 1 Tentang Petunjuk Pelaksanaan Pemotongan Pajak atas Penghasilan Sehubungan Pekerjaan, Jasa, dan Kegiatan Orang Pribadi </t>
  </si>
  <si>
    <t xml:space="preserve">Mengetahui/Menyetujui </t>
  </si>
  <si>
    <t>Lunas dibayar tanggal:</t>
  </si>
  <si>
    <t xml:space="preserve">an. Kuasa Pengguna Anggaran </t>
  </si>
  <si>
    <t>Bendahara Pengeluaran,</t>
  </si>
  <si>
    <t xml:space="preserve">Pembuat Daftar </t>
  </si>
  <si>
    <t>……………...………</t>
  </si>
  <si>
    <t>NIP. 19790114 200312 1001</t>
  </si>
  <si>
    <t>NIP. 19860915 200912 2006</t>
  </si>
  <si>
    <t>NIP. …………………..</t>
  </si>
  <si>
    <t>1. Honorarium Moderator satuannya adalah orang/Kali</t>
  </si>
  <si>
    <t>2. SBU untuk sekali tampil sebagai moderator adalah sebesar Rp. 700.000,-</t>
  </si>
  <si>
    <t>DAFTAR PEMBAYARAN HONORARIUM MODERATOR</t>
  </si>
  <si>
    <t>Gol</t>
  </si>
  <si>
    <t>Jml Kali</t>
  </si>
  <si>
    <t>Rp./Kali</t>
  </si>
  <si>
    <t xml:space="preserve">Tarif </t>
  </si>
  <si>
    <t>H=FxG</t>
  </si>
  <si>
    <t>I</t>
  </si>
  <si>
    <t>J=HxI</t>
  </si>
  <si>
    <t>K=H-J</t>
  </si>
  <si>
    <t>L</t>
  </si>
  <si>
    <t xml:space="preserve">Surat Keputusan Koordinator Kopertis Wilayah III Jakarta </t>
  </si>
  <si>
    <t>Nomor : ................. Tanggal. ...................</t>
  </si>
  <si>
    <t>DAFTAR PEMBAYARAN HONORARIUM NARASUMBER</t>
  </si>
  <si>
    <t>PADA KEGIATAN ..........................................................</t>
  </si>
  <si>
    <t>DILINGKUNGAN KOPERTIS WILAYAH III JAKARTA TAHUN 2017</t>
  </si>
  <si>
    <t>DI ........................... PADA TANGGAL ...........................</t>
  </si>
  <si>
    <t>Jml Jam</t>
  </si>
  <si>
    <t>Rp./Jam</t>
  </si>
  <si>
    <t>G=ExF</t>
  </si>
  <si>
    <t>J=G-I</t>
  </si>
  <si>
    <t>A (PNS BerNPWP Gol IV)</t>
  </si>
  <si>
    <t>011111111111111</t>
  </si>
  <si>
    <t>PNS/IV</t>
  </si>
  <si>
    <t>B(PNS NonNPWP Gol IV)</t>
  </si>
  <si>
    <t>C (PNS BerNPWP Gol III)</t>
  </si>
  <si>
    <t>022222222222222</t>
  </si>
  <si>
    <t>PNS/III</t>
  </si>
  <si>
    <t>D (PNS NonNPWP Gol III)</t>
  </si>
  <si>
    <t xml:space="preserve">* Sesua PMK No. 252/KM/03/2008  Pasal 21 Ayat 1 Tentang Petunjuk Pelaksanaan Pemotongan Pajak atas Penghasilan Sehubungan Pekerjaan, Jasa, dan Kegiatan Orang Pribadi </t>
  </si>
  <si>
    <t>Jakarta,    .............................</t>
  </si>
  <si>
    <t>Putut Pujogiri, SH</t>
  </si>
  <si>
    <t xml:space="preserve">Ahmad Mustaadi </t>
  </si>
  <si>
    <t>...........................</t>
  </si>
  <si>
    <t>NIP. 19580430 198703 1001</t>
  </si>
  <si>
    <t>NIP. 19660518 198902 1002</t>
  </si>
  <si>
    <t>NIP. ............................</t>
  </si>
  <si>
    <t>1. Honorarium Narasumber satuannya adalah orang/Jam</t>
  </si>
  <si>
    <t>2. Satuan Jam yang digunakan untuk pembayaran Honor Narsum adalah paling sedikit 60 Menit</t>
  </si>
  <si>
    <t xml:space="preserve">2. Ketentuan Honorarium Narasumber adalah : </t>
  </si>
  <si>
    <t>Dasar Pengenaan Pajak (DPP)</t>
  </si>
  <si>
    <t>PNS (Rp.)</t>
  </si>
  <si>
    <t>Non PNS (Rp.) *</t>
  </si>
  <si>
    <t>Tarif **</t>
  </si>
  <si>
    <t>I=H</t>
  </si>
  <si>
    <t>J=Hx50%</t>
  </si>
  <si>
    <t>L=I/JxK</t>
  </si>
  <si>
    <t>M=H-L</t>
  </si>
  <si>
    <t xml:space="preserve">* Sesuai Tarif PPh 21 UU No. 36 Pasal 17 (1)a Tahun 2008 Tentang Pajak Penghasilan </t>
  </si>
  <si>
    <t xml:space="preserve">** Sesua PMK No. 252/PMK/03/2008  Pasal 20 Ayat 1 Tentang Petunjuk Pelaksanaan Pemotongan Pajak atas Penghasilan Sehubungan Pekerjaan, Jasa, dan Kegiatan Orang Pribadi </t>
  </si>
  <si>
    <t>DAFTAR PEMBAYARAN HONORARIUM INSTRUKTUR</t>
  </si>
  <si>
    <t xml:space="preserve">Surat Tugas Sekretarsi Lembaga Layanan Pendidikan Tinggi Wilayah III Jakarta </t>
  </si>
  <si>
    <t>Nomor :  ……………………. Tanggal. ………………..</t>
  </si>
  <si>
    <t>DAFTAR PEMBAYARAN TRANSPORT DAN UANG HARIAN PERJALANAN DINAS</t>
  </si>
  <si>
    <t>Jml Hari</t>
  </si>
  <si>
    <t>Jumlah Uang Harian (Rp.)</t>
  </si>
  <si>
    <t>Transport (Rp.)</t>
  </si>
  <si>
    <t>Jumlah Diterima (Rp.)</t>
  </si>
  <si>
    <t>E=CxD</t>
  </si>
  <si>
    <t>G=E+F</t>
  </si>
  <si>
    <t xml:space="preserve">Jumlah </t>
  </si>
  <si>
    <t>DAFTAR PEMBAYARAN TRANSPORT PERJALANAN DINAS</t>
  </si>
  <si>
    <t>2………</t>
  </si>
  <si>
    <t>3………</t>
  </si>
  <si>
    <t>4………</t>
  </si>
  <si>
    <t>5………</t>
  </si>
  <si>
    <t>6………</t>
  </si>
  <si>
    <t xml:space="preserve">Uang Saku RDK diberikan </t>
  </si>
  <si>
    <t xml:space="preserve">DAFTAR PEMBAYARAN RAPAT DILUAR JAM KERJA </t>
  </si>
  <si>
    <t xml:space="preserve">Uang Saku Dalam Kantor (Rp.) </t>
  </si>
  <si>
    <t>Jumlah Diterima (Rp)</t>
  </si>
  <si>
    <t xml:space="preserve">Surat Tugas Sekretaris Pelaksana Kopertis Wilayah III Jakarta </t>
  </si>
  <si>
    <t>Nomor :  640/K3/KP/2018 Tanggal. 30 April 2018</t>
  </si>
  <si>
    <t>PADA KEGIATAN SOSIALISASI PENGEMBANGAN TATA NILAI, BUDAYA KERJA</t>
  </si>
  <si>
    <t>DAN KODE ETIK BAGI DOSEN PNS YANG DITUGASKAN PADA PERGURUAN TINGGI SWASTA</t>
  </si>
  <si>
    <t>DILINGKUNGAN KOPERTIS WILAYAH III JAKARTA TAHUN 2018 ANGKATAN KE-II</t>
  </si>
  <si>
    <t>DI SWISS BELHOTEL KALIBATA, JAKARTA  PADA TANGGAL 15 MEI 2018</t>
  </si>
  <si>
    <t>JML HARI</t>
  </si>
  <si>
    <t>UANG HARIAN / HARI</t>
  </si>
  <si>
    <t>JUMLAH UANG HARIAN</t>
  </si>
  <si>
    <t>TRANSPORT</t>
  </si>
  <si>
    <t>JUMLAH DITERIMA (RP)</t>
  </si>
  <si>
    <t>TANDA TANGAN</t>
  </si>
  <si>
    <t>E=(CxD)</t>
  </si>
  <si>
    <t>G=(E+F)</t>
  </si>
  <si>
    <t>Tri Haryani</t>
  </si>
  <si>
    <t>Adi Sulistyo</t>
  </si>
  <si>
    <t>Putut Pujogiri</t>
  </si>
  <si>
    <t xml:space="preserve">Herlina </t>
  </si>
  <si>
    <t xml:space="preserve">Agung Permana </t>
  </si>
  <si>
    <t>Rini Hartanti</t>
  </si>
  <si>
    <t>Agus M. Ali</t>
  </si>
  <si>
    <t>Jakarta, 7 Mei 2018</t>
  </si>
  <si>
    <t xml:space="preserve">Irwan Agus </t>
  </si>
  <si>
    <t>NIP. 19630817 198303 1003</t>
  </si>
  <si>
    <t xml:space="preserve">Program </t>
  </si>
  <si>
    <t xml:space="preserve">Sasaran Program </t>
  </si>
  <si>
    <t xml:space="preserve">Kegiatan </t>
  </si>
  <si>
    <t xml:space="preserve">10. </t>
  </si>
  <si>
    <t xml:space="preserve">Pemohon </t>
  </si>
  <si>
    <t xml:space="preserve">Komponen </t>
  </si>
  <si>
    <t xml:space="preserve">11. </t>
  </si>
  <si>
    <t>11.1</t>
  </si>
  <si>
    <t>11.2</t>
  </si>
  <si>
    <t>11.3</t>
  </si>
  <si>
    <t>11.4</t>
  </si>
  <si>
    <t>11.5</t>
  </si>
  <si>
    <t>11.6</t>
  </si>
  <si>
    <t>11.7</t>
  </si>
  <si>
    <t>Program Pendidikan Tinggi</t>
  </si>
  <si>
    <t>Meningkatnya akses, kualitas pembelajaran, dan relevansi pendidikan tinggi</t>
  </si>
  <si>
    <t>Fasilitasi dan Pembinaan Lembaga</t>
  </si>
  <si>
    <t>Lembaga Pendidikan Tinggi Akademik dan Vokasi yang mendapatkan layanan pembinaan peningkatan mutu</t>
  </si>
  <si>
    <t xml:space="preserve">RINCIAN ANGGARAN BIAYA </t>
  </si>
  <si>
    <t>Jabatan dalam Tugas</t>
  </si>
  <si>
    <t>No. Rekening</t>
  </si>
  <si>
    <t>Nama Rekening</t>
  </si>
  <si>
    <t>Nama Bank</t>
  </si>
  <si>
    <t>Email</t>
  </si>
  <si>
    <t>Vol</t>
  </si>
  <si>
    <t>Biaya Satuan</t>
  </si>
  <si>
    <t>OH</t>
  </si>
  <si>
    <t>Narasumber</t>
  </si>
  <si>
    <t xml:space="preserve">Penanggungjawab </t>
  </si>
  <si>
    <t>Ketua</t>
  </si>
  <si>
    <t>Wakil Ketua</t>
  </si>
  <si>
    <t>Anggota</t>
  </si>
  <si>
    <t>Moderator</t>
  </si>
  <si>
    <t xml:space="preserve">Total </t>
  </si>
  <si>
    <t>Nama Pegawai</t>
  </si>
  <si>
    <t xml:space="preserve">Jenis Belanja </t>
  </si>
  <si>
    <t>Tiga dosa dan antikorupsi</t>
  </si>
  <si>
    <t>Indikator Kinerja Utama (IKU)</t>
  </si>
  <si>
    <t>Rincian Output (RO)</t>
  </si>
  <si>
    <t xml:space="preserve">Klasifikasi Rincian Output (KRO) </t>
  </si>
  <si>
    <t>Snack</t>
  </si>
  <si>
    <t>Makan Siang</t>
  </si>
  <si>
    <t>B. Honorarium Moderator</t>
  </si>
  <si>
    <t>Welfrid Phedra Sipahutar</t>
  </si>
  <si>
    <t>Taufan S. Pranggono, S.Kom., M.Si.</t>
  </si>
  <si>
    <t>NIP. 198303162010121006</t>
  </si>
  <si>
    <t>Honorarium Narasumber/Pembahas</t>
  </si>
  <si>
    <t xml:space="preserve">A. </t>
  </si>
  <si>
    <t xml:space="preserve"> Honorarium Panitia</t>
  </si>
  <si>
    <t xml:space="preserve">D. </t>
  </si>
  <si>
    <t xml:space="preserve">E. </t>
  </si>
  <si>
    <t xml:space="preserve">693205 Lembaga Layanan Pendidikan Tinggi Wilayah III </t>
  </si>
  <si>
    <t>C.</t>
  </si>
  <si>
    <t xml:space="preserve">F. </t>
  </si>
  <si>
    <t xml:space="preserve">G. </t>
  </si>
  <si>
    <t>Belanja Pendukung Lainnya (Belanja Bahan)</t>
  </si>
  <si>
    <t xml:space="preserve"> Satuan </t>
  </si>
  <si>
    <t xml:space="preserve"> Pcs </t>
  </si>
  <si>
    <t>Honorarium Moderator</t>
  </si>
  <si>
    <t>11.8</t>
  </si>
  <si>
    <t>NIP. 198308022015041001</t>
  </si>
  <si>
    <t>Diseminasi Kebijakan SPIP Terintegrasi KPK dan Gerakan Anti Narkoba bagi Perguruan Tinggi Swasta di Lingkungan LLDikti Wilayah III dengan tema “ Integrity Strats on Campus : Sinergi Budaya Antikorupsi dan Kampus Bersih Narkoba”</t>
  </si>
  <si>
    <t>Institut Pariwisata Tedja Indonesia</t>
  </si>
  <si>
    <t>dengan tema “ Integrity Strats on Campus : Sinergi Budaya Antikorupsi dan Kampus Bersih Narkoba”</t>
  </si>
  <si>
    <t>Diseminasi Kebijakan SPIP Terintegrasi KPK dan Gerakan Anti Narkoba bagi Perguruan Tinggi Swasta di Lingkungan LLDikti Wilayah III</t>
  </si>
  <si>
    <t xml:space="preserve">M. Zainul Muttaqien </t>
  </si>
  <si>
    <t>Dendy Rosman</t>
  </si>
  <si>
    <t>Dr. Hendri Tambunan, SE.,M.A</t>
  </si>
  <si>
    <t>Transport Kegiatan Dalam Kota</t>
  </si>
  <si>
    <t>Uang Saku/ Uang Harian Kegiatan Dalam Kota</t>
  </si>
  <si>
    <t>H.</t>
  </si>
  <si>
    <t>Jakarta, 8 Juni 2026</t>
  </si>
  <si>
    <t>Reviva Rosmawati</t>
  </si>
  <si>
    <t>Transport Kegiatan Dalam Kota Survei Lokasi Acara Kegiatan</t>
  </si>
  <si>
    <t>Transport Kegiatan Dalam Kota Persiapan Akhir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</si>
</sst>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164" formatCode="&quot;Rp&quot;#,##0;[Red]\-&quot;Rp&quot;#,##0"/>
    <numFmt numFmtId="165" formatCode="_-&quot;Rp&quot;* #,##0_-;\-&quot;Rp&quot;* #,##0_-;_-&quot;Rp&quot;* &quot;-&quot;_-;_-@_-"/>
    <numFmt numFmtId="166" formatCode="_-* #,##0_-;\-* #,##0_-;_-* &quot;-&quot;_-;_-@_-"/>
    <numFmt numFmtId="167" formatCode="_-&quot;Rp&quot;* #,##0.00_-;\-&quot;Rp&quot;* #,##0.00_-;_-&quot;Rp&quot;* &quot;-&quot;??_-;_-@_-"/>
    <numFmt numFmtId="168" formatCode="_-[$Rp-3809]* #,##0.00_-;\-[$Rp-3809]* #,##0.00_-;_-[$Rp-3809]* &quot;-&quot;??_-;_-@_-"/>
    <numFmt numFmtId="169" formatCode="_(* #,##0_);_(* \(#,##0\);_(* &quot;-&quot;??_);_(@_)"/>
    <numFmt numFmtId="170" formatCode="_([$Rp-421]* #,##0_);_([$Rp-421]* \(#,##0\);_([$Rp-421]* &quot;-&quot;??_);_(@_)"/>
  </numFmts>
  <fonts count="47" x14ac:knownFonts="1">
    <font>
      <b/>
      <sz val="12"/>
      <name val="Times New Roman"/>
      <family val="1"/>
    </font>
    <font>
      <sz val="12"/>
      <name val="Times New Roman"/>
      <family val="1"/>
    </font>
    <font>
      <sz val="1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2"/>
      <color theme="1"/>
      <name val="Times New Roman"/>
      <family val="1"/>
    </font>
    <font>
      <b/>
      <i/>
      <sz val="14"/>
      <name val="Times New Roman"/>
      <family val="1"/>
    </font>
    <font>
      <sz val="12"/>
      <color theme="1"/>
      <name val="Times New Roman"/>
      <family val="1"/>
    </font>
    <font>
      <b/>
      <i/>
      <sz val="12"/>
      <name val="Times New Roman"/>
      <family val="1"/>
    </font>
    <font>
      <b/>
      <sz val="12"/>
      <color theme="1"/>
      <name val="Times New Roman"/>
      <family val="1"/>
    </font>
    <font>
      <i/>
      <sz val="9"/>
      <color theme="1"/>
      <name val="Times New Roman"/>
      <family val="1"/>
    </font>
    <font>
      <b/>
      <sz val="12"/>
      <color rgb="FFFF0000"/>
      <name val="Times New Roman"/>
      <family val="1"/>
    </font>
    <font>
      <i/>
      <sz val="8"/>
      <color theme="1"/>
      <name val="Times New Roman"/>
      <family val="1"/>
    </font>
    <font>
      <sz val="12"/>
      <color theme="0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b/>
      <i/>
      <sz val="11"/>
      <name val="Times New Roman"/>
      <family val="1"/>
    </font>
    <font>
      <b/>
      <sz val="11"/>
      <color theme="1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sz val="11"/>
      <color theme="0"/>
      <name val="Times New Roman"/>
      <family val="1"/>
    </font>
    <font>
      <b/>
      <strike/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2"/>
      <color theme="1"/>
      <name val="Calibri"/>
      <family val="2"/>
      <scheme val="minor"/>
    </font>
    <font>
      <b/>
      <sz val="18"/>
      <name val="Times New Roman"/>
      <family val="1"/>
    </font>
    <font>
      <b/>
      <sz val="20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Bookman Old Style"/>
      <family val="1"/>
    </font>
    <font>
      <u/>
      <sz val="11"/>
      <color theme="10"/>
      <name val="Calibri"/>
      <family val="2"/>
      <scheme val="minor"/>
    </font>
    <font>
      <b/>
      <sz val="12"/>
      <color theme="1"/>
      <name val="Bookman Old Style"/>
      <family val="1"/>
    </font>
    <font>
      <b/>
      <sz val="14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8"/>
      <name val="Times New Roman"/>
      <family val="1"/>
    </font>
    <font>
      <b/>
      <sz val="12"/>
      <name val="Times New Roman"/>
      <family val="1"/>
    </font>
    <font>
      <sz val="12"/>
      <color theme="1"/>
      <name val="Bookman Old Style"/>
      <family val="1"/>
      <charset val="1"/>
    </font>
    <font>
      <sz val="12"/>
      <color theme="1"/>
      <name val="Calibri"/>
      <family val="2"/>
      <charset val="1"/>
      <scheme val="minor"/>
    </font>
    <font>
      <b/>
      <sz val="12"/>
      <color theme="0"/>
      <name val="Bookman Old Style"/>
      <family val="1"/>
    </font>
    <font>
      <sz val="12"/>
      <color theme="0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4"/>
      <color theme="1"/>
      <name val="Calibri"/>
      <family val="2"/>
    </font>
    <font>
      <sz val="12"/>
      <name val="Calibri"/>
      <family val="2"/>
    </font>
    <font>
      <b/>
      <sz val="14"/>
      <name val="Calibri"/>
      <family val="2"/>
    </font>
    <font>
      <b/>
      <sz val="12"/>
      <name val="Calibri"/>
      <family val="2"/>
    </font>
    <font>
      <b/>
      <sz val="12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499984740745262"/>
        <bgColor indexed="64"/>
      </patternFill>
    </fill>
  </fills>
  <borders count="56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0" fillId="0" borderId="0" applyNumberFormat="0" applyFill="0" applyBorder="0" applyAlignment="0" applyProtection="0"/>
    <xf numFmtId="167" fontId="36" fillId="0" borderId="0" applyFont="0" applyFill="0" applyBorder="0" applyAlignment="0" applyProtection="0"/>
  </cellStyleXfs>
  <cellXfs count="312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6" fillId="0" borderId="0" xfId="0" applyFont="1"/>
    <xf numFmtId="0" fontId="6" fillId="0" borderId="0" xfId="0" applyFont="1" applyAlignment="1">
      <alignment vertical="center"/>
    </xf>
    <xf numFmtId="0" fontId="7" fillId="6" borderId="13" xfId="0" applyFont="1" applyFill="1" applyBorder="1"/>
    <xf numFmtId="0" fontId="8" fillId="6" borderId="14" xfId="0" applyFont="1" applyFill="1" applyBorder="1"/>
    <xf numFmtId="0" fontId="9" fillId="0" borderId="0" xfId="0" applyFont="1" applyAlignment="1">
      <alignment vertical="center"/>
    </xf>
    <xf numFmtId="0" fontId="9" fillId="0" borderId="0" xfId="0" applyFont="1"/>
    <xf numFmtId="0" fontId="0" fillId="6" borderId="6" xfId="0" applyFill="1" applyBorder="1"/>
    <xf numFmtId="0" fontId="8" fillId="6" borderId="7" xfId="0" applyFont="1" applyFill="1" applyBorder="1"/>
    <xf numFmtId="0" fontId="0" fillId="6" borderId="6" xfId="0" applyFill="1" applyBorder="1" applyAlignment="1">
      <alignment horizontal="right"/>
    </xf>
    <xf numFmtId="0" fontId="8" fillId="6" borderId="6" xfId="0" applyFont="1" applyFill="1" applyBorder="1" applyAlignment="1">
      <alignment horizontal="right"/>
    </xf>
    <xf numFmtId="0" fontId="8" fillId="0" borderId="0" xfId="0" applyFont="1" applyAlignment="1">
      <alignment horizont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/>
    </xf>
    <xf numFmtId="0" fontId="8" fillId="6" borderId="9" xfId="0" applyFont="1" applyFill="1" applyBorder="1" applyAlignment="1">
      <alignment horizontal="right"/>
    </xf>
    <xf numFmtId="0" fontId="8" fillId="6" borderId="11" xfId="0" applyFont="1" applyFill="1" applyBorder="1"/>
    <xf numFmtId="0" fontId="8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 wrapText="1"/>
    </xf>
    <xf numFmtId="0" fontId="8" fillId="0" borderId="2" xfId="0" applyFont="1" applyBorder="1" applyAlignment="1">
      <alignment vertical="center"/>
    </xf>
    <xf numFmtId="0" fontId="8" fillId="0" borderId="2" xfId="0" applyFont="1" applyBorder="1" applyAlignment="1">
      <alignment horizontal="center" vertical="center" wrapText="1"/>
    </xf>
    <xf numFmtId="41" fontId="8" fillId="0" borderId="2" xfId="0" applyNumberFormat="1" applyFont="1" applyBorder="1" applyAlignment="1">
      <alignment horizontal="center" vertical="center"/>
    </xf>
    <xf numFmtId="169" fontId="8" fillId="0" borderId="2" xfId="0" applyNumberFormat="1" applyFont="1" applyBorder="1" applyAlignment="1">
      <alignment horizontal="center" vertical="center"/>
    </xf>
    <xf numFmtId="9" fontId="8" fillId="0" borderId="2" xfId="0" applyNumberFormat="1" applyFont="1" applyBorder="1" applyAlignment="1">
      <alignment horizontal="center" vertical="center"/>
    </xf>
    <xf numFmtId="0" fontId="8" fillId="0" borderId="2" xfId="0" applyFont="1" applyBorder="1"/>
    <xf numFmtId="1" fontId="10" fillId="7" borderId="2" xfId="0" applyNumberFormat="1" applyFont="1" applyFill="1" applyBorder="1" applyAlignment="1">
      <alignment horizontal="center" vertical="center"/>
    </xf>
    <xf numFmtId="169" fontId="10" fillId="7" borderId="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7" borderId="3" xfId="0" applyFont="1" applyFill="1" applyBorder="1" applyAlignment="1">
      <alignment horizontal="right" vertical="center"/>
    </xf>
    <xf numFmtId="0" fontId="9" fillId="7" borderId="4" xfId="0" applyFont="1" applyFill="1" applyBorder="1" applyAlignment="1">
      <alignment horizontal="right" vertical="center"/>
    </xf>
    <xf numFmtId="0" fontId="9" fillId="7" borderId="4" xfId="0" applyFont="1" applyFill="1" applyBorder="1" applyAlignment="1">
      <alignment vertical="center"/>
    </xf>
    <xf numFmtId="0" fontId="9" fillId="7" borderId="5" xfId="0" applyFont="1" applyFill="1" applyBorder="1" applyAlignment="1">
      <alignment vertical="center"/>
    </xf>
    <xf numFmtId="0" fontId="11" fillId="0" borderId="0" xfId="0" applyFont="1"/>
    <xf numFmtId="0" fontId="1" fillId="0" borderId="0" xfId="0" applyFont="1" applyAlignment="1">
      <alignment horizontal="left" vertical="center"/>
    </xf>
    <xf numFmtId="0" fontId="8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7" fillId="6" borderId="0" xfId="0" applyFont="1" applyFill="1"/>
    <xf numFmtId="0" fontId="8" fillId="6" borderId="0" xfId="0" applyFont="1" applyFill="1"/>
    <xf numFmtId="0" fontId="0" fillId="6" borderId="0" xfId="0" applyFill="1"/>
    <xf numFmtId="0" fontId="0" fillId="6" borderId="0" xfId="0" applyFill="1" applyAlignment="1">
      <alignment horizontal="right"/>
    </xf>
    <xf numFmtId="0" fontId="8" fillId="6" borderId="0" xfId="0" applyFont="1" applyFill="1" applyAlignment="1">
      <alignment horizontal="right"/>
    </xf>
    <xf numFmtId="0" fontId="12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/>
    </xf>
    <xf numFmtId="1" fontId="10" fillId="0" borderId="2" xfId="0" applyNumberFormat="1" applyFont="1" applyBorder="1" applyAlignment="1">
      <alignment horizontal="center" vertical="center"/>
    </xf>
    <xf numFmtId="169" fontId="10" fillId="0" borderId="2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right" vertical="center"/>
    </xf>
    <xf numFmtId="0" fontId="9" fillId="0" borderId="4" xfId="0" applyFont="1" applyBorder="1" applyAlignment="1">
      <alignment horizontal="left" vertical="center"/>
    </xf>
    <xf numFmtId="0" fontId="9" fillId="0" borderId="4" xfId="0" applyFont="1" applyBorder="1" applyAlignment="1">
      <alignment vertical="center"/>
    </xf>
    <xf numFmtId="0" fontId="9" fillId="0" borderId="5" xfId="0" applyFont="1" applyBorder="1" applyAlignment="1">
      <alignment vertical="center"/>
    </xf>
    <xf numFmtId="0" fontId="13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4" fillId="0" borderId="0" xfId="0" applyFont="1" applyAlignment="1">
      <alignment vertical="center"/>
    </xf>
    <xf numFmtId="0" fontId="15" fillId="0" borderId="0" xfId="0" applyFont="1"/>
    <xf numFmtId="0" fontId="16" fillId="0" borderId="0" xfId="0" applyFo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/>
    <xf numFmtId="0" fontId="12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18" fillId="7" borderId="2" xfId="0" applyFont="1" applyFill="1" applyBorder="1" applyAlignment="1">
      <alignment horizontal="center" vertical="center" wrapText="1"/>
    </xf>
    <xf numFmtId="0" fontId="18" fillId="7" borderId="2" xfId="0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0" fontId="15" fillId="3" borderId="2" xfId="0" applyFont="1" applyFill="1" applyBorder="1" applyAlignment="1">
      <alignment vertical="center" wrapText="1"/>
    </xf>
    <xf numFmtId="0" fontId="15" fillId="0" borderId="2" xfId="0" applyFont="1" applyBorder="1" applyAlignment="1">
      <alignment vertical="center" wrapText="1"/>
    </xf>
    <xf numFmtId="0" fontId="15" fillId="3" borderId="2" xfId="0" applyFont="1" applyFill="1" applyBorder="1" applyAlignment="1">
      <alignment horizontal="center" vertical="center" wrapText="1"/>
    </xf>
    <xf numFmtId="41" fontId="15" fillId="0" borderId="2" xfId="0" applyNumberFormat="1" applyFont="1" applyBorder="1" applyAlignment="1">
      <alignment horizontal="center" vertical="center"/>
    </xf>
    <xf numFmtId="169" fontId="15" fillId="0" borderId="2" xfId="0" applyNumberFormat="1" applyFont="1" applyBorder="1" applyAlignment="1">
      <alignment horizontal="center" vertical="center"/>
    </xf>
    <xf numFmtId="9" fontId="15" fillId="3" borderId="2" xfId="0" applyNumberFormat="1" applyFont="1" applyFill="1" applyBorder="1" applyAlignment="1">
      <alignment horizontal="center" vertical="center"/>
    </xf>
    <xf numFmtId="0" fontId="15" fillId="0" borderId="2" xfId="0" applyFont="1" applyBorder="1"/>
    <xf numFmtId="41" fontId="15" fillId="0" borderId="2" xfId="0" applyNumberFormat="1" applyFont="1" applyBorder="1" applyAlignment="1">
      <alignment vertical="center" wrapText="1"/>
    </xf>
    <xf numFmtId="1" fontId="18" fillId="7" borderId="2" xfId="0" applyNumberFormat="1" applyFont="1" applyFill="1" applyBorder="1" applyAlignment="1">
      <alignment horizontal="center" vertical="center"/>
    </xf>
    <xf numFmtId="169" fontId="18" fillId="7" borderId="2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left" vertical="center"/>
    </xf>
    <xf numFmtId="0" fontId="17" fillId="7" borderId="4" xfId="0" applyFont="1" applyFill="1" applyBorder="1" applyAlignment="1">
      <alignment vertical="center"/>
    </xf>
    <xf numFmtId="0" fontId="17" fillId="7" borderId="5" xfId="0" applyFont="1" applyFill="1" applyBorder="1" applyAlignment="1">
      <alignment vertical="center"/>
    </xf>
    <xf numFmtId="0" fontId="13" fillId="0" borderId="0" xfId="0" applyFont="1"/>
    <xf numFmtId="0" fontId="15" fillId="0" borderId="0" xfId="0" applyFont="1" applyAlignment="1">
      <alignment vertical="center"/>
    </xf>
    <xf numFmtId="0" fontId="15" fillId="0" borderId="0" xfId="0" applyFont="1" applyAlignment="1">
      <alignment horizontal="left"/>
    </xf>
    <xf numFmtId="0" fontId="18" fillId="0" borderId="0" xfId="0" applyFont="1"/>
    <xf numFmtId="0" fontId="20" fillId="0" borderId="0" xfId="0" applyFont="1" applyAlignment="1">
      <alignment horizontal="left" vertical="center"/>
    </xf>
    <xf numFmtId="0" fontId="20" fillId="0" borderId="0" xfId="0" applyFont="1" applyAlignment="1">
      <alignment vertical="center"/>
    </xf>
    <xf numFmtId="0" fontId="8" fillId="0" borderId="5" xfId="0" applyFont="1" applyBorder="1" applyAlignment="1">
      <alignment vertical="center" wrapText="1"/>
    </xf>
    <xf numFmtId="0" fontId="9" fillId="7" borderId="4" xfId="0" applyFont="1" applyFill="1" applyBorder="1" applyAlignment="1">
      <alignment horizontal="left" vertical="center"/>
    </xf>
    <xf numFmtId="0" fontId="11" fillId="0" borderId="0" xfId="0" applyFont="1" applyAlignment="1">
      <alignment vertical="center"/>
    </xf>
    <xf numFmtId="1" fontId="15" fillId="0" borderId="0" xfId="0" applyNumberFormat="1" applyFont="1" applyAlignment="1">
      <alignment horizontal="center" vertical="center"/>
    </xf>
    <xf numFmtId="41" fontId="15" fillId="0" borderId="0" xfId="0" applyNumberFormat="1" applyFont="1" applyAlignment="1">
      <alignment vertical="center"/>
    </xf>
    <xf numFmtId="0" fontId="18" fillId="0" borderId="8" xfId="0" applyFont="1" applyBorder="1" applyAlignment="1">
      <alignment horizontal="center" vertical="center"/>
    </xf>
    <xf numFmtId="1" fontId="18" fillId="0" borderId="8" xfId="0" applyNumberFormat="1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18" fillId="0" borderId="2" xfId="0" applyFont="1" applyBorder="1" applyAlignment="1">
      <alignment horizontal="center" vertical="center"/>
    </xf>
    <xf numFmtId="1" fontId="15" fillId="0" borderId="2" xfId="0" applyNumberFormat="1" applyFont="1" applyBorder="1" applyAlignment="1">
      <alignment horizontal="center" vertical="center"/>
    </xf>
    <xf numFmtId="41" fontId="19" fillId="0" borderId="2" xfId="0" applyNumberFormat="1" applyFont="1" applyBorder="1" applyAlignment="1">
      <alignment vertical="center"/>
    </xf>
    <xf numFmtId="41" fontId="15" fillId="0" borderId="2" xfId="0" applyNumberFormat="1" applyFont="1" applyBorder="1" applyAlignment="1">
      <alignment vertical="center"/>
    </xf>
    <xf numFmtId="0" fontId="15" fillId="0" borderId="2" xfId="0" applyFont="1" applyBorder="1" applyAlignment="1">
      <alignment vertical="center"/>
    </xf>
    <xf numFmtId="1" fontId="18" fillId="0" borderId="2" xfId="0" applyNumberFormat="1" applyFont="1" applyBorder="1" applyAlignment="1">
      <alignment horizontal="center" vertical="center"/>
    </xf>
    <xf numFmtId="41" fontId="20" fillId="0" borderId="2" xfId="0" applyNumberFormat="1" applyFont="1" applyBorder="1" applyAlignment="1">
      <alignment vertical="center"/>
    </xf>
    <xf numFmtId="41" fontId="18" fillId="0" borderId="2" xfId="0" applyNumberFormat="1" applyFont="1" applyBorder="1" applyAlignment="1">
      <alignment vertical="center"/>
    </xf>
    <xf numFmtId="0" fontId="18" fillId="0" borderId="2" xfId="0" applyFont="1" applyBorder="1" applyAlignment="1">
      <alignment vertical="center"/>
    </xf>
    <xf numFmtId="0" fontId="8" fillId="0" borderId="0" xfId="0" applyFont="1" applyAlignment="1">
      <alignment horizontal="justify" vertical="center" wrapText="1"/>
    </xf>
    <xf numFmtId="41" fontId="15" fillId="0" borderId="0" xfId="0" applyNumberFormat="1" applyFont="1" applyAlignment="1">
      <alignment horizontal="left" vertical="center"/>
    </xf>
    <xf numFmtId="41" fontId="15" fillId="0" borderId="15" xfId="0" applyNumberFormat="1" applyFont="1" applyBorder="1" applyAlignment="1">
      <alignment vertical="center"/>
    </xf>
    <xf numFmtId="1" fontId="19" fillId="0" borderId="0" xfId="0" applyNumberFormat="1" applyFont="1" applyAlignment="1">
      <alignment horizontal="center" vertical="center"/>
    </xf>
    <xf numFmtId="1" fontId="19" fillId="0" borderId="0" xfId="0" applyNumberFormat="1" applyFont="1" applyAlignment="1">
      <alignment horizontal="left" vertical="center"/>
    </xf>
    <xf numFmtId="0" fontId="19" fillId="0" borderId="0" xfId="0" applyFont="1" applyAlignment="1">
      <alignment vertical="center"/>
    </xf>
    <xf numFmtId="0" fontId="18" fillId="0" borderId="0" xfId="0" applyFont="1" applyAlignment="1">
      <alignment vertical="center"/>
    </xf>
    <xf numFmtId="1" fontId="21" fillId="0" borderId="0" xfId="0" applyNumberFormat="1" applyFont="1" applyAlignment="1">
      <alignment horizontal="center" vertical="center"/>
    </xf>
    <xf numFmtId="0" fontId="21" fillId="0" borderId="0" xfId="0" applyFont="1" applyAlignment="1">
      <alignment vertical="center"/>
    </xf>
    <xf numFmtId="169" fontId="15" fillId="0" borderId="0" xfId="0" applyNumberFormat="1" applyFont="1" applyAlignment="1">
      <alignment vertical="center"/>
    </xf>
    <xf numFmtId="1" fontId="21" fillId="0" borderId="0" xfId="0" applyNumberFormat="1" applyFont="1" applyAlignment="1">
      <alignment horizontal="left" vertical="center"/>
    </xf>
    <xf numFmtId="0" fontId="23" fillId="0" borderId="0" xfId="0" applyFont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27" fillId="0" borderId="0" xfId="0" applyFont="1"/>
    <xf numFmtId="0" fontId="28" fillId="2" borderId="0" xfId="0" applyFont="1" applyFill="1"/>
    <xf numFmtId="0" fontId="28" fillId="2" borderId="5" xfId="0" applyFont="1" applyFill="1" applyBorder="1" applyAlignment="1">
      <alignment horizontal="center" vertical="center" wrapText="1"/>
    </xf>
    <xf numFmtId="0" fontId="28" fillId="2" borderId="2" xfId="0" quotePrefix="1" applyFont="1" applyFill="1" applyBorder="1" applyAlignment="1">
      <alignment horizontal="center" vertical="center" wrapText="1"/>
    </xf>
    <xf numFmtId="166" fontId="28" fillId="2" borderId="2" xfId="0" applyNumberFormat="1" applyFont="1" applyFill="1" applyBorder="1" applyAlignment="1">
      <alignment horizontal="center" vertical="center" wrapText="1"/>
    </xf>
    <xf numFmtId="165" fontId="28" fillId="2" borderId="2" xfId="0" applyNumberFormat="1" applyFont="1" applyFill="1" applyBorder="1" applyAlignment="1">
      <alignment horizontal="left" vertical="center" wrapText="1"/>
    </xf>
    <xf numFmtId="0" fontId="28" fillId="0" borderId="2" xfId="0" applyFont="1" applyBorder="1" applyAlignment="1">
      <alignment horizontal="left" vertical="center"/>
    </xf>
    <xf numFmtId="170" fontId="28" fillId="2" borderId="0" xfId="0" applyNumberFormat="1" applyFont="1" applyFill="1"/>
    <xf numFmtId="0" fontId="27" fillId="0" borderId="0" xfId="0" applyFont="1" applyAlignment="1">
      <alignment horizontal="center"/>
    </xf>
    <xf numFmtId="0" fontId="27" fillId="0" borderId="0" xfId="0" applyFont="1" applyAlignment="1">
      <alignment horizontal="center" vertical="center"/>
    </xf>
    <xf numFmtId="166" fontId="27" fillId="0" borderId="0" xfId="0" applyNumberFormat="1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/>
    </xf>
    <xf numFmtId="0" fontId="0" fillId="0" borderId="2" xfId="0" applyBorder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4" fillId="5" borderId="21" xfId="0" applyFont="1" applyFill="1" applyBorder="1" applyAlignment="1">
      <alignment horizontal="center" vertical="center" wrapText="1"/>
    </xf>
    <xf numFmtId="166" fontId="24" fillId="5" borderId="20" xfId="0" applyNumberFormat="1" applyFont="1" applyFill="1" applyBorder="1" applyAlignment="1">
      <alignment horizontal="center" vertical="center" wrapText="1"/>
    </xf>
    <xf numFmtId="0" fontId="24" fillId="5" borderId="18" xfId="0" applyFont="1" applyFill="1" applyBorder="1" applyAlignment="1">
      <alignment horizontal="center" vertical="center" wrapText="1"/>
    </xf>
    <xf numFmtId="0" fontId="24" fillId="5" borderId="19" xfId="0" applyFont="1" applyFill="1" applyBorder="1" applyAlignment="1">
      <alignment horizontal="center" vertical="center" wrapText="1"/>
    </xf>
    <xf numFmtId="0" fontId="24" fillId="5" borderId="20" xfId="0" applyFont="1" applyFill="1" applyBorder="1" applyAlignment="1">
      <alignment horizontal="center" vertical="center" wrapText="1"/>
    </xf>
    <xf numFmtId="0" fontId="24" fillId="5" borderId="27" xfId="0" applyFont="1" applyFill="1" applyBorder="1" applyAlignment="1">
      <alignment horizontal="center" vertical="center" wrapText="1"/>
    </xf>
    <xf numFmtId="0" fontId="28" fillId="2" borderId="28" xfId="0" applyFont="1" applyFill="1" applyBorder="1" applyAlignment="1">
      <alignment horizontal="center" vertical="center" wrapText="1"/>
    </xf>
    <xf numFmtId="170" fontId="28" fillId="2" borderId="22" xfId="0" applyNumberFormat="1" applyFont="1" applyFill="1" applyBorder="1" applyAlignment="1">
      <alignment horizontal="left" vertical="center" wrapText="1"/>
    </xf>
    <xf numFmtId="166" fontId="28" fillId="5" borderId="31" xfId="0" applyNumberFormat="1" applyFont="1" applyFill="1" applyBorder="1" applyAlignment="1">
      <alignment horizontal="center" vertical="center" wrapText="1"/>
    </xf>
    <xf numFmtId="165" fontId="28" fillId="5" borderId="31" xfId="0" applyNumberFormat="1" applyFont="1" applyFill="1" applyBorder="1" applyAlignment="1">
      <alignment horizontal="left" vertical="center" wrapText="1"/>
    </xf>
    <xf numFmtId="0" fontId="5" fillId="0" borderId="34" xfId="0" applyFont="1" applyBorder="1"/>
    <xf numFmtId="0" fontId="28" fillId="2" borderId="0" xfId="0" quotePrefix="1" applyFont="1" applyFill="1" applyAlignment="1">
      <alignment horizontal="center" vertical="center" wrapText="1"/>
    </xf>
    <xf numFmtId="166" fontId="28" fillId="2" borderId="0" xfId="0" applyNumberFormat="1" applyFont="1" applyFill="1" applyAlignment="1">
      <alignment horizontal="center" vertical="center" wrapText="1"/>
    </xf>
    <xf numFmtId="165" fontId="28" fillId="2" borderId="0" xfId="0" applyNumberFormat="1" applyFont="1" applyFill="1" applyAlignment="1">
      <alignment horizontal="left" vertical="center" wrapText="1"/>
    </xf>
    <xf numFmtId="170" fontId="28" fillId="2" borderId="0" xfId="0" applyNumberFormat="1" applyFont="1" applyFill="1" applyAlignment="1">
      <alignment horizontal="left" vertical="center" wrapText="1"/>
    </xf>
    <xf numFmtId="0" fontId="28" fillId="0" borderId="0" xfId="0" applyFont="1" applyAlignment="1">
      <alignment horizontal="left" vertical="center"/>
    </xf>
    <xf numFmtId="0" fontId="0" fillId="0" borderId="35" xfId="0" applyBorder="1" applyAlignment="1">
      <alignment vertical="center"/>
    </xf>
    <xf numFmtId="0" fontId="0" fillId="0" borderId="39" xfId="0" applyBorder="1" applyAlignment="1">
      <alignment vertical="center"/>
    </xf>
    <xf numFmtId="0" fontId="1" fillId="0" borderId="35" xfId="0" applyFont="1" applyBorder="1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39" xfId="0" applyFont="1" applyBorder="1" applyAlignment="1">
      <alignment horizontal="left" vertical="center" wrapText="1"/>
    </xf>
    <xf numFmtId="0" fontId="2" fillId="0" borderId="39" xfId="0" applyFont="1" applyBorder="1" applyAlignment="1">
      <alignment vertical="center" wrapText="1"/>
    </xf>
    <xf numFmtId="0" fontId="2" fillId="0" borderId="39" xfId="0" applyFont="1" applyBorder="1" applyAlignment="1">
      <alignment vertical="center"/>
    </xf>
    <xf numFmtId="0" fontId="1" fillId="0" borderId="39" xfId="0" applyFont="1" applyBorder="1" applyAlignment="1">
      <alignment vertical="center"/>
    </xf>
    <xf numFmtId="0" fontId="1" fillId="0" borderId="39" xfId="0" applyFont="1" applyBorder="1" applyAlignment="1">
      <alignment horizontal="center" vertical="center"/>
    </xf>
    <xf numFmtId="0" fontId="10" fillId="0" borderId="39" xfId="0" applyFont="1" applyBorder="1" applyAlignment="1">
      <alignment vertical="center"/>
    </xf>
    <xf numFmtId="0" fontId="0" fillId="0" borderId="36" xfId="0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37" xfId="0" applyBorder="1" applyAlignment="1">
      <alignment vertical="center"/>
    </xf>
    <xf numFmtId="0" fontId="28" fillId="0" borderId="2" xfId="0" quotePrefix="1" applyFont="1" applyBorder="1" applyAlignment="1">
      <alignment horizontal="center" vertical="center"/>
    </xf>
    <xf numFmtId="0" fontId="30" fillId="0" borderId="2" xfId="1" applyFill="1" applyBorder="1" applyAlignment="1">
      <alignment vertical="center" wrapText="1"/>
    </xf>
    <xf numFmtId="0" fontId="10" fillId="0" borderId="0" xfId="0" applyFont="1" applyAlignment="1">
      <alignment horizontal="left" vertical="center"/>
    </xf>
    <xf numFmtId="0" fontId="28" fillId="0" borderId="2" xfId="0" quotePrefix="1" applyFont="1" applyBorder="1" applyAlignment="1">
      <alignment horizontal="center" vertical="center" wrapText="1"/>
    </xf>
    <xf numFmtId="0" fontId="24" fillId="5" borderId="40" xfId="0" applyFont="1" applyFill="1" applyBorder="1" applyAlignment="1">
      <alignment horizontal="center" vertical="center" wrapText="1"/>
    </xf>
    <xf numFmtId="0" fontId="24" fillId="5" borderId="41" xfId="0" applyFont="1" applyFill="1" applyBorder="1" applyAlignment="1">
      <alignment horizontal="center" vertical="center" wrapText="1"/>
    </xf>
    <xf numFmtId="170" fontId="0" fillId="0" borderId="0" xfId="0" applyNumberFormat="1"/>
    <xf numFmtId="0" fontId="28" fillId="5" borderId="43" xfId="0" quotePrefix="1" applyFont="1" applyFill="1" applyBorder="1" applyAlignment="1">
      <alignment horizontal="center" vertical="center" wrapText="1"/>
    </xf>
    <xf numFmtId="166" fontId="28" fillId="5" borderId="43" xfId="0" applyNumberFormat="1" applyFont="1" applyFill="1" applyBorder="1" applyAlignment="1">
      <alignment horizontal="center" vertical="center" wrapText="1"/>
    </xf>
    <xf numFmtId="165" fontId="28" fillId="5" borderId="43" xfId="0" applyNumberFormat="1" applyFont="1" applyFill="1" applyBorder="1" applyAlignment="1">
      <alignment horizontal="left" vertical="center" wrapText="1"/>
    </xf>
    <xf numFmtId="0" fontId="28" fillId="2" borderId="2" xfId="0" applyFont="1" applyFill="1" applyBorder="1" applyAlignment="1">
      <alignment horizontal="center" vertical="center" wrapText="1"/>
    </xf>
    <xf numFmtId="0" fontId="31" fillId="2" borderId="0" xfId="0" applyFont="1" applyFill="1" applyAlignment="1">
      <alignment horizontal="center" vertical="center" wrapText="1"/>
    </xf>
    <xf numFmtId="0" fontId="0" fillId="2" borderId="0" xfId="0" applyFill="1"/>
    <xf numFmtId="0" fontId="28" fillId="0" borderId="8" xfId="0" quotePrefix="1" applyFont="1" applyBorder="1" applyAlignment="1">
      <alignment horizontal="center" vertical="center"/>
    </xf>
    <xf numFmtId="0" fontId="28" fillId="0" borderId="8" xfId="0" quotePrefix="1" applyFont="1" applyBorder="1" applyAlignment="1">
      <alignment horizontal="center" vertical="center" wrapText="1"/>
    </xf>
    <xf numFmtId="0" fontId="32" fillId="0" borderId="0" xfId="0" quotePrefix="1" applyFont="1" applyAlignment="1">
      <alignment horizontal="center"/>
    </xf>
    <xf numFmtId="0" fontId="4" fillId="0" borderId="0" xfId="0" applyFont="1" applyAlignment="1">
      <alignment horizontal="left" vertical="center" wrapText="1"/>
    </xf>
    <xf numFmtId="170" fontId="28" fillId="0" borderId="0" xfId="0" applyNumberFormat="1" applyFont="1" applyAlignment="1">
      <alignment horizontal="left" vertical="center" wrapText="1"/>
    </xf>
    <xf numFmtId="167" fontId="0" fillId="0" borderId="0" xfId="2" applyFont="1"/>
    <xf numFmtId="167" fontId="0" fillId="0" borderId="0" xfId="0" applyNumberFormat="1"/>
    <xf numFmtId="0" fontId="28" fillId="2" borderId="0" xfId="0" applyFont="1" applyFill="1" applyAlignment="1">
      <alignment horizontal="center" vertical="center" wrapText="1"/>
    </xf>
    <xf numFmtId="0" fontId="29" fillId="0" borderId="0" xfId="0" applyFont="1" applyAlignment="1">
      <alignment vertical="center" wrapText="1"/>
    </xf>
    <xf numFmtId="0" fontId="28" fillId="0" borderId="0" xfId="0" quotePrefix="1" applyFont="1" applyAlignment="1">
      <alignment horizontal="center" vertical="center"/>
    </xf>
    <xf numFmtId="0" fontId="28" fillId="0" borderId="0" xfId="0" quotePrefix="1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166" fontId="28" fillId="0" borderId="0" xfId="0" applyNumberFormat="1" applyFont="1" applyAlignment="1">
      <alignment horizontal="center" vertical="center" wrapText="1"/>
    </xf>
    <xf numFmtId="165" fontId="28" fillId="0" borderId="0" xfId="0" applyNumberFormat="1" applyFont="1" applyAlignment="1">
      <alignment horizontal="left" vertical="center" wrapText="1"/>
    </xf>
    <xf numFmtId="0" fontId="28" fillId="0" borderId="0" xfId="0" applyFont="1"/>
    <xf numFmtId="170" fontId="28" fillId="0" borderId="0" xfId="0" applyNumberFormat="1" applyFont="1"/>
    <xf numFmtId="0" fontId="24" fillId="5" borderId="2" xfId="0" applyFont="1" applyFill="1" applyBorder="1" applyAlignment="1">
      <alignment horizontal="center" vertical="center" wrapText="1"/>
    </xf>
    <xf numFmtId="166" fontId="24" fillId="5" borderId="2" xfId="0" applyNumberFormat="1" applyFont="1" applyFill="1" applyBorder="1" applyAlignment="1">
      <alignment horizontal="center" vertical="center" wrapText="1"/>
    </xf>
    <xf numFmtId="0" fontId="38" fillId="0" borderId="0" xfId="0" applyFont="1"/>
    <xf numFmtId="0" fontId="38" fillId="5" borderId="47" xfId="0" quotePrefix="1" applyFont="1" applyFill="1" applyBorder="1" applyAlignment="1">
      <alignment horizontal="center" vertical="center" wrapText="1"/>
    </xf>
    <xf numFmtId="166" fontId="38" fillId="5" borderId="31" xfId="0" applyNumberFormat="1" applyFont="1" applyFill="1" applyBorder="1" applyAlignment="1">
      <alignment horizontal="center" vertical="center" wrapText="1"/>
    </xf>
    <xf numFmtId="165" fontId="38" fillId="5" borderId="32" xfId="0" applyNumberFormat="1" applyFont="1" applyFill="1" applyBorder="1" applyAlignment="1">
      <alignment horizontal="left" vertical="center" wrapText="1"/>
    </xf>
    <xf numFmtId="0" fontId="28" fillId="2" borderId="48" xfId="0" applyFont="1" applyFill="1" applyBorder="1" applyAlignment="1">
      <alignment horizontal="center" vertical="center" wrapText="1"/>
    </xf>
    <xf numFmtId="0" fontId="28" fillId="2" borderId="8" xfId="0" quotePrefix="1" applyFont="1" applyFill="1" applyBorder="1" applyAlignment="1">
      <alignment horizontal="center" vertical="center" wrapText="1"/>
    </xf>
    <xf numFmtId="166" fontId="28" fillId="2" borderId="8" xfId="0" applyNumberFormat="1" applyFont="1" applyFill="1" applyBorder="1" applyAlignment="1">
      <alignment horizontal="center" vertical="center" wrapText="1"/>
    </xf>
    <xf numFmtId="165" fontId="28" fillId="2" borderId="8" xfId="0" applyNumberFormat="1" applyFont="1" applyFill="1" applyBorder="1" applyAlignment="1">
      <alignment horizontal="left" vertical="center" wrapText="1"/>
    </xf>
    <xf numFmtId="0" fontId="24" fillId="5" borderId="49" xfId="0" applyFont="1" applyFill="1" applyBorder="1" applyAlignment="1">
      <alignment horizontal="center" vertical="center" wrapText="1"/>
    </xf>
    <xf numFmtId="166" fontId="24" fillId="5" borderId="19" xfId="0" applyNumberFormat="1" applyFont="1" applyFill="1" applyBorder="1" applyAlignment="1">
      <alignment horizontal="center" vertical="center" wrapText="1"/>
    </xf>
    <xf numFmtId="0" fontId="28" fillId="0" borderId="2" xfId="0" applyFont="1" applyBorder="1" applyAlignment="1">
      <alignment vertical="center" wrapText="1"/>
    </xf>
    <xf numFmtId="0" fontId="28" fillId="0" borderId="8" xfId="0" applyFont="1" applyBorder="1" applyAlignment="1">
      <alignment vertical="center" wrapText="1"/>
    </xf>
    <xf numFmtId="0" fontId="30" fillId="0" borderId="8" xfId="1" applyFill="1" applyBorder="1" applyAlignment="1">
      <alignment vertical="center" wrapText="1"/>
    </xf>
    <xf numFmtId="0" fontId="4" fillId="0" borderId="34" xfId="0" applyFont="1" applyBorder="1" applyAlignment="1">
      <alignment horizontal="left" vertical="center" wrapText="1"/>
    </xf>
    <xf numFmtId="0" fontId="31" fillId="2" borderId="0" xfId="0" applyFont="1" applyFill="1" applyAlignment="1">
      <alignment vertical="center" wrapText="1"/>
    </xf>
    <xf numFmtId="0" fontId="24" fillId="5" borderId="50" xfId="0" applyFont="1" applyFill="1" applyBorder="1" applyAlignment="1">
      <alignment horizontal="center" vertical="center" wrapText="1"/>
    </xf>
    <xf numFmtId="0" fontId="31" fillId="2" borderId="2" xfId="0" applyFont="1" applyFill="1" applyBorder="1" applyAlignment="1">
      <alignment horizontal="center" vertical="center" wrapText="1"/>
    </xf>
    <xf numFmtId="0" fontId="24" fillId="2" borderId="2" xfId="0" applyFont="1" applyFill="1" applyBorder="1" applyAlignment="1">
      <alignment horizontal="center" vertical="center" wrapText="1"/>
    </xf>
    <xf numFmtId="170" fontId="24" fillId="5" borderId="44" xfId="0" applyNumberFormat="1" applyFont="1" applyFill="1" applyBorder="1" applyAlignment="1">
      <alignment horizontal="left" vertical="center" wrapText="1"/>
    </xf>
    <xf numFmtId="170" fontId="24" fillId="5" borderId="32" xfId="0" applyNumberFormat="1" applyFont="1" applyFill="1" applyBorder="1" applyAlignment="1">
      <alignment horizontal="left" vertical="center" wrapText="1"/>
    </xf>
    <xf numFmtId="0" fontId="39" fillId="2" borderId="0" xfId="0" applyFont="1" applyFill="1" applyAlignment="1">
      <alignment horizontal="center" vertical="center" wrapText="1"/>
    </xf>
    <xf numFmtId="0" fontId="40" fillId="2" borderId="0" xfId="0" quotePrefix="1" applyFont="1" applyFill="1" applyAlignment="1">
      <alignment horizontal="center" vertical="center" wrapText="1"/>
    </xf>
    <xf numFmtId="166" fontId="40" fillId="2" borderId="0" xfId="0" applyNumberFormat="1" applyFont="1" applyFill="1" applyAlignment="1">
      <alignment horizontal="center" vertical="center" wrapText="1"/>
    </xf>
    <xf numFmtId="165" fontId="40" fillId="2" borderId="0" xfId="0" applyNumberFormat="1" applyFont="1" applyFill="1" applyAlignment="1">
      <alignment horizontal="left" vertical="center" wrapText="1"/>
    </xf>
    <xf numFmtId="170" fontId="41" fillId="2" borderId="0" xfId="0" applyNumberFormat="1" applyFont="1" applyFill="1" applyAlignment="1">
      <alignment horizontal="left" vertical="center" wrapText="1"/>
    </xf>
    <xf numFmtId="0" fontId="5" fillId="2" borderId="0" xfId="0" applyFont="1" applyFill="1" applyAlignment="1">
      <alignment vertical="center" wrapText="1"/>
    </xf>
    <xf numFmtId="0" fontId="5" fillId="0" borderId="0" xfId="0" applyFont="1"/>
    <xf numFmtId="0" fontId="0" fillId="5" borderId="2" xfId="0" applyFill="1" applyBorder="1" applyAlignment="1">
      <alignment horizontal="center"/>
    </xf>
    <xf numFmtId="0" fontId="43" fillId="0" borderId="2" xfId="0" applyFont="1" applyBorder="1" applyAlignment="1">
      <alignment vertical="top" wrapText="1"/>
    </xf>
    <xf numFmtId="164" fontId="43" fillId="0" borderId="2" xfId="0" applyNumberFormat="1" applyFont="1" applyBorder="1" applyAlignment="1">
      <alignment vertical="top" wrapText="1"/>
    </xf>
    <xf numFmtId="164" fontId="45" fillId="5" borderId="29" xfId="0" applyNumberFormat="1" applyFont="1" applyFill="1" applyBorder="1" applyAlignment="1">
      <alignment horizontal="left"/>
    </xf>
    <xf numFmtId="164" fontId="43" fillId="0" borderId="2" xfId="0" applyNumberFormat="1" applyFont="1" applyBorder="1" applyAlignment="1">
      <alignment horizontal="right" vertical="center" wrapText="1"/>
    </xf>
    <xf numFmtId="0" fontId="42" fillId="0" borderId="0" xfId="0" applyFont="1" applyAlignment="1">
      <alignment vertical="center" wrapText="1"/>
    </xf>
    <xf numFmtId="0" fontId="28" fillId="5" borderId="52" xfId="0" quotePrefix="1" applyFont="1" applyFill="1" applyBorder="1" applyAlignment="1">
      <alignment horizontal="center" vertical="center" wrapText="1"/>
    </xf>
    <xf numFmtId="166" fontId="28" fillId="5" borderId="52" xfId="0" applyNumberFormat="1" applyFont="1" applyFill="1" applyBorder="1" applyAlignment="1">
      <alignment horizontal="center" vertical="center" wrapText="1"/>
    </xf>
    <xf numFmtId="165" fontId="28" fillId="5" borderId="52" xfId="0" applyNumberFormat="1" applyFont="1" applyFill="1" applyBorder="1" applyAlignment="1">
      <alignment horizontal="left" vertical="center" wrapText="1"/>
    </xf>
    <xf numFmtId="0" fontId="28" fillId="2" borderId="54" xfId="0" applyFont="1" applyFill="1" applyBorder="1" applyAlignment="1">
      <alignment horizontal="center" vertical="center" wrapText="1"/>
    </xf>
    <xf numFmtId="170" fontId="28" fillId="2" borderId="55" xfId="0" applyNumberFormat="1" applyFont="1" applyFill="1" applyBorder="1" applyAlignment="1">
      <alignment horizontal="left" vertical="center" wrapText="1"/>
    </xf>
    <xf numFmtId="170" fontId="24" fillId="5" borderId="29" xfId="0" applyNumberFormat="1" applyFont="1" applyFill="1" applyBorder="1" applyAlignment="1">
      <alignment horizontal="left" vertical="center" wrapText="1"/>
    </xf>
    <xf numFmtId="0" fontId="37" fillId="0" borderId="53" xfId="0" applyFont="1" applyBorder="1" applyAlignment="1">
      <alignment horizontal="center" vertical="center" wrapText="1"/>
    </xf>
    <xf numFmtId="0" fontId="28" fillId="0" borderId="52" xfId="0" applyFont="1" applyBorder="1" applyAlignment="1">
      <alignment vertical="center" wrapText="1"/>
    </xf>
    <xf numFmtId="0" fontId="28" fillId="0" borderId="52" xfId="0" applyFont="1" applyBorder="1" applyAlignment="1">
      <alignment horizontal="center" vertical="center" wrapText="1"/>
    </xf>
    <xf numFmtId="0" fontId="28" fillId="0" borderId="52" xfId="0" quotePrefix="1" applyFont="1" applyBorder="1" applyAlignment="1">
      <alignment horizontal="center" vertical="center"/>
    </xf>
    <xf numFmtId="0" fontId="28" fillId="0" borderId="52" xfId="0" quotePrefix="1" applyFont="1" applyBorder="1" applyAlignment="1">
      <alignment horizontal="center" vertical="center" wrapText="1"/>
    </xf>
    <xf numFmtId="0" fontId="30" fillId="0" borderId="52" xfId="1" applyBorder="1"/>
    <xf numFmtId="166" fontId="28" fillId="0" borderId="52" xfId="0" applyNumberFormat="1" applyFont="1" applyBorder="1" applyAlignment="1">
      <alignment horizontal="center" vertical="center" wrapText="1"/>
    </xf>
    <xf numFmtId="165" fontId="28" fillId="0" borderId="52" xfId="0" applyNumberFormat="1" applyFont="1" applyBorder="1" applyAlignment="1">
      <alignment horizontal="left" vertical="center" wrapText="1"/>
    </xf>
    <xf numFmtId="170" fontId="28" fillId="0" borderId="29" xfId="0" applyNumberFormat="1" applyFont="1" applyBorder="1" applyAlignment="1">
      <alignment horizontal="left" vertical="center" wrapText="1"/>
    </xf>
    <xf numFmtId="170" fontId="24" fillId="5" borderId="46" xfId="0" applyNumberFormat="1" applyFont="1" applyFill="1" applyBorder="1" applyAlignment="1">
      <alignment horizontal="left" vertical="center" wrapText="1"/>
    </xf>
    <xf numFmtId="0" fontId="46" fillId="0" borderId="0" xfId="0" applyFont="1" applyAlignment="1">
      <alignment vertical="center"/>
    </xf>
    <xf numFmtId="0" fontId="44" fillId="5" borderId="51" xfId="0" applyFont="1" applyFill="1" applyBorder="1" applyAlignment="1">
      <alignment horizontal="center"/>
    </xf>
    <xf numFmtId="0" fontId="44" fillId="5" borderId="24" xfId="0" applyFont="1" applyFill="1" applyBorder="1" applyAlignment="1">
      <alignment horizontal="center"/>
    </xf>
    <xf numFmtId="0" fontId="44" fillId="5" borderId="45" xfId="0" applyFont="1" applyFill="1" applyBorder="1" applyAlignment="1">
      <alignment horizontal="center"/>
    </xf>
    <xf numFmtId="0" fontId="31" fillId="5" borderId="53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center" vertical="center" wrapText="1"/>
    </xf>
    <xf numFmtId="0" fontId="31" fillId="5" borderId="36" xfId="0" applyFont="1" applyFill="1" applyBorder="1" applyAlignment="1">
      <alignment horizontal="center" vertical="center" wrapText="1"/>
    </xf>
    <xf numFmtId="0" fontId="31" fillId="5" borderId="34" xfId="0" applyFont="1" applyFill="1" applyBorder="1" applyAlignment="1">
      <alignment horizontal="center" vertical="center" wrapText="1"/>
    </xf>
    <xf numFmtId="0" fontId="31" fillId="5" borderId="42" xfId="0" applyFont="1" applyFill="1" applyBorder="1" applyAlignment="1">
      <alignment horizontal="center" vertical="center" wrapText="1"/>
    </xf>
    <xf numFmtId="0" fontId="26" fillId="8" borderId="16" xfId="0" applyFont="1" applyFill="1" applyBorder="1" applyAlignment="1">
      <alignment horizontal="center" vertical="center"/>
    </xf>
    <xf numFmtId="0" fontId="26" fillId="8" borderId="17" xfId="0" applyFont="1" applyFill="1" applyBorder="1" applyAlignment="1">
      <alignment horizontal="center" vertical="center"/>
    </xf>
    <xf numFmtId="0" fontId="32" fillId="0" borderId="15" xfId="0" quotePrefix="1" applyFont="1" applyBorder="1" applyAlignment="1">
      <alignment horizontal="center"/>
    </xf>
    <xf numFmtId="0" fontId="31" fillId="5" borderId="23" xfId="0" applyFont="1" applyFill="1" applyBorder="1" applyAlignment="1">
      <alignment horizontal="center" vertical="center" wrapText="1"/>
    </xf>
    <xf numFmtId="0" fontId="31" fillId="5" borderId="24" xfId="0" applyFont="1" applyFill="1" applyBorder="1" applyAlignment="1">
      <alignment horizontal="center" vertical="center" wrapText="1"/>
    </xf>
    <xf numFmtId="0" fontId="31" fillId="5" borderId="45" xfId="0" applyFont="1" applyFill="1" applyBorder="1" applyAlignment="1">
      <alignment horizontal="center" vertical="center" wrapText="1"/>
    </xf>
    <xf numFmtId="0" fontId="31" fillId="5" borderId="2" xfId="0" applyFont="1" applyFill="1" applyBorder="1" applyAlignment="1">
      <alignment horizontal="center" vertical="center" wrapText="1"/>
    </xf>
    <xf numFmtId="0" fontId="31" fillId="5" borderId="30" xfId="0" applyFont="1" applyFill="1" applyBorder="1" applyAlignment="1">
      <alignment horizontal="center" vertical="center" wrapText="1"/>
    </xf>
    <xf numFmtId="0" fontId="31" fillId="5" borderId="33" xfId="0" applyFont="1" applyFill="1" applyBorder="1" applyAlignment="1">
      <alignment horizontal="center" vertical="center" wrapText="1"/>
    </xf>
    <xf numFmtId="0" fontId="32" fillId="0" borderId="0" xfId="0" quotePrefix="1" applyFont="1" applyAlignment="1">
      <alignment horizontal="center"/>
    </xf>
    <xf numFmtId="0" fontId="0" fillId="0" borderId="0" xfId="0" applyAlignment="1">
      <alignment horizontal="left" vertical="center"/>
    </xf>
    <xf numFmtId="168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quotePrefix="1" applyAlignment="1">
      <alignment horizontal="left" vertical="center" wrapText="1"/>
    </xf>
    <xf numFmtId="15" fontId="0" fillId="0" borderId="0" xfId="0" applyNumberFormat="1" applyAlignment="1">
      <alignment horizontal="left" vertical="center"/>
    </xf>
    <xf numFmtId="0" fontId="25" fillId="0" borderId="38" xfId="0" applyFont="1" applyBorder="1" applyAlignment="1">
      <alignment horizontal="center" vertical="center"/>
    </xf>
    <xf numFmtId="0" fontId="25" fillId="0" borderId="25" xfId="0" applyFont="1" applyBorder="1" applyAlignment="1">
      <alignment horizontal="center" vertical="center"/>
    </xf>
    <xf numFmtId="0" fontId="25" fillId="0" borderId="26" xfId="0" applyFont="1" applyBorder="1" applyAlignment="1">
      <alignment horizontal="center" vertical="center"/>
    </xf>
    <xf numFmtId="0" fontId="1" fillId="0" borderId="3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168" fontId="0" fillId="0" borderId="1" xfId="0" applyNumberFormat="1" applyBorder="1" applyAlignment="1">
      <alignment horizontal="center" vertical="center"/>
    </xf>
    <xf numFmtId="168" fontId="1" fillId="0" borderId="0" xfId="0" applyNumberFormat="1" applyFont="1" applyAlignment="1">
      <alignment horizontal="left" vertical="center"/>
    </xf>
    <xf numFmtId="0" fontId="0" fillId="0" borderId="0" xfId="0" applyAlignment="1">
      <alignment horizontal="center"/>
    </xf>
    <xf numFmtId="0" fontId="10" fillId="7" borderId="3" xfId="0" applyFont="1" applyFill="1" applyBorder="1" applyAlignment="1">
      <alignment horizontal="center" vertical="center" wrapText="1"/>
    </xf>
    <xf numFmtId="0" fontId="10" fillId="7" borderId="3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/>
    </xf>
    <xf numFmtId="0" fontId="10" fillId="7" borderId="12" xfId="0" applyFont="1" applyFill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 wrapText="1"/>
    </xf>
    <xf numFmtId="0" fontId="18" fillId="7" borderId="3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/>
    </xf>
    <xf numFmtId="0" fontId="18" fillId="7" borderId="12" xfId="0" applyFont="1" applyFill="1" applyBorder="1" applyAlignment="1">
      <alignment horizontal="center" vertical="center" wrapText="1"/>
    </xf>
    <xf numFmtId="0" fontId="17" fillId="7" borderId="3" xfId="0" applyFont="1" applyFill="1" applyBorder="1" applyAlignment="1">
      <alignment horizontal="right" vertical="center"/>
    </xf>
    <xf numFmtId="0" fontId="19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/>
    </xf>
    <xf numFmtId="0" fontId="20" fillId="0" borderId="3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right" vertical="center"/>
    </xf>
    <xf numFmtId="0" fontId="16" fillId="0" borderId="4" xfId="0" applyFont="1" applyBorder="1" applyAlignment="1">
      <alignment horizontal="left" vertical="center"/>
    </xf>
    <xf numFmtId="0" fontId="18" fillId="0" borderId="12" xfId="0" applyFont="1" applyBorder="1" applyAlignment="1">
      <alignment horizontal="center" vertical="center"/>
    </xf>
    <xf numFmtId="1" fontId="18" fillId="0" borderId="12" xfId="0" applyNumberFormat="1" applyFont="1" applyBorder="1" applyAlignment="1">
      <alignment horizontal="center" vertical="center" wrapText="1"/>
    </xf>
    <xf numFmtId="0" fontId="18" fillId="0" borderId="12" xfId="0" applyFont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8" fillId="0" borderId="2" xfId="0" applyFont="1" applyBorder="1" applyAlignment="1">
      <alignment horizontal="center" vertical="center" wrapText="1"/>
    </xf>
    <xf numFmtId="1" fontId="22" fillId="4" borderId="12" xfId="0" applyNumberFormat="1" applyFont="1" applyFill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20" fillId="0" borderId="2" xfId="0" applyFont="1" applyBorder="1" applyAlignment="1">
      <alignment horizontal="center" vertical="center" wrapText="1"/>
    </xf>
    <xf numFmtId="0" fontId="23" fillId="0" borderId="0" xfId="0" applyFont="1" applyAlignment="1">
      <alignment horizontal="left" vertical="center"/>
    </xf>
  </cellXfs>
  <cellStyles count="3">
    <cellStyle name="Currency" xfId="2" builtinId="4"/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  <pageSetUpPr fitToPage="1"/>
  </sheetPr>
  <dimension ref="A1:J54"/>
  <sheetViews>
    <sheetView tabSelected="1" topLeftCell="A7" zoomScaleNormal="100" workbookViewId="0">
      <selection activeCell="K20" sqref="K20"/>
    </sheetView>
  </sheetViews>
  <sheetFormatPr baseColWidth="10" defaultColWidth="9" defaultRowHeight="16" x14ac:dyDescent="0.2"/>
  <cols>
    <col min="1" max="1" width="4.33203125" style="42" customWidth="1"/>
    <col min="2" max="2" width="42.33203125" style="42" customWidth="1"/>
    <col min="3" max="3" width="1.6640625" style="42" customWidth="1"/>
    <col min="4" max="4" width="6" style="42" customWidth="1"/>
    <col min="5" max="6" width="9" style="42"/>
    <col min="7" max="7" width="25.1640625" style="42" customWidth="1"/>
    <col min="8" max="8" width="5.5" style="42" customWidth="1"/>
    <col min="9" max="9" width="13.6640625" style="42" customWidth="1"/>
    <col min="10" max="10" width="12.6640625" style="42" customWidth="1"/>
    <col min="11" max="16384" width="9" style="42"/>
  </cols>
  <sheetData>
    <row r="1" spans="1:10" ht="23" x14ac:dyDescent="0.2">
      <c r="A1" s="274" t="s">
        <v>24</v>
      </c>
      <c r="B1" s="275"/>
      <c r="C1" s="275"/>
      <c r="D1" s="275"/>
      <c r="E1" s="275"/>
      <c r="F1" s="275"/>
      <c r="G1" s="275"/>
      <c r="H1" s="275"/>
      <c r="I1" s="275"/>
      <c r="J1" s="276"/>
    </row>
    <row r="2" spans="1:10" x14ac:dyDescent="0.2">
      <c r="A2" s="155"/>
      <c r="J2" s="156"/>
    </row>
    <row r="3" spans="1:10" ht="15.5" customHeight="1" x14ac:dyDescent="0.2">
      <c r="A3" s="157" t="s">
        <v>25</v>
      </c>
      <c r="B3" s="58"/>
      <c r="J3" s="156"/>
    </row>
    <row r="4" spans="1:10" ht="15.5" customHeight="1" x14ac:dyDescent="0.2">
      <c r="A4" s="277"/>
      <c r="B4" s="278"/>
      <c r="C4" s="278"/>
      <c r="D4" s="278"/>
      <c r="E4" s="278"/>
      <c r="F4" s="278"/>
      <c r="G4" s="278"/>
      <c r="H4" s="278"/>
      <c r="I4" s="278"/>
      <c r="J4" s="156"/>
    </row>
    <row r="5" spans="1:10" ht="15" customHeight="1" x14ac:dyDescent="0.2">
      <c r="A5" s="157" t="s">
        <v>26</v>
      </c>
      <c r="B5" s="58" t="s">
        <v>27</v>
      </c>
      <c r="C5" s="42" t="s">
        <v>28</v>
      </c>
      <c r="D5" s="267" t="s">
        <v>261</v>
      </c>
      <c r="E5" s="267"/>
      <c r="F5" s="267"/>
      <c r="G5" s="267"/>
      <c r="H5" s="267"/>
      <c r="I5" s="267"/>
      <c r="J5" s="156"/>
    </row>
    <row r="6" spans="1:10" ht="15" customHeight="1" x14ac:dyDescent="0.2">
      <c r="A6" s="157" t="s">
        <v>29</v>
      </c>
      <c r="B6" s="58" t="s">
        <v>210</v>
      </c>
      <c r="C6" s="42" t="s">
        <v>28</v>
      </c>
      <c r="D6" s="267" t="s">
        <v>224</v>
      </c>
      <c r="E6" s="267"/>
      <c r="F6" s="267"/>
      <c r="G6" s="267"/>
      <c r="H6" s="267"/>
      <c r="I6" s="267"/>
      <c r="J6" s="156"/>
    </row>
    <row r="7" spans="1:10" ht="15" customHeight="1" x14ac:dyDescent="0.2">
      <c r="A7" s="157" t="s">
        <v>30</v>
      </c>
      <c r="B7" s="58" t="s">
        <v>211</v>
      </c>
      <c r="C7" s="42" t="s">
        <v>28</v>
      </c>
      <c r="D7" s="271" t="s">
        <v>225</v>
      </c>
      <c r="E7" s="271"/>
      <c r="F7" s="271"/>
      <c r="G7" s="271"/>
      <c r="H7" s="271"/>
      <c r="I7" s="271"/>
      <c r="J7" s="156"/>
    </row>
    <row r="8" spans="1:10" ht="15" customHeight="1" x14ac:dyDescent="0.2">
      <c r="A8" s="157"/>
      <c r="B8" s="58"/>
      <c r="D8" s="271"/>
      <c r="E8" s="271"/>
      <c r="F8" s="271"/>
      <c r="G8" s="271"/>
      <c r="H8" s="271"/>
      <c r="I8" s="271"/>
      <c r="J8" s="156"/>
    </row>
    <row r="9" spans="1:10" ht="15" customHeight="1" x14ac:dyDescent="0.2">
      <c r="A9" s="157" t="s">
        <v>31</v>
      </c>
      <c r="B9" s="58" t="s">
        <v>249</v>
      </c>
      <c r="C9" s="42" t="s">
        <v>28</v>
      </c>
      <c r="D9" s="267" t="s">
        <v>226</v>
      </c>
      <c r="E9" s="267"/>
      <c r="F9" s="267"/>
      <c r="G9" s="267"/>
      <c r="H9" s="267"/>
      <c r="I9" s="267"/>
      <c r="J9" s="156"/>
    </row>
    <row r="10" spans="1:10" ht="15" customHeight="1" x14ac:dyDescent="0.2">
      <c r="A10" s="157" t="s">
        <v>32</v>
      </c>
      <c r="B10" s="58" t="s">
        <v>248</v>
      </c>
      <c r="C10" s="42" t="s">
        <v>28</v>
      </c>
      <c r="D10" s="271" t="s">
        <v>227</v>
      </c>
      <c r="E10" s="271"/>
      <c r="F10" s="271"/>
      <c r="G10" s="271"/>
      <c r="H10" s="271"/>
      <c r="I10" s="271"/>
      <c r="J10" s="156"/>
    </row>
    <row r="11" spans="1:10" ht="15" customHeight="1" x14ac:dyDescent="0.2">
      <c r="A11" s="157" t="s">
        <v>33</v>
      </c>
      <c r="B11" s="58" t="s">
        <v>215</v>
      </c>
      <c r="C11" s="42" t="s">
        <v>28</v>
      </c>
      <c r="D11" s="267" t="s">
        <v>4</v>
      </c>
      <c r="E11" s="267"/>
      <c r="F11" s="267"/>
      <c r="G11" s="267"/>
      <c r="H11" s="267"/>
      <c r="I11" s="267"/>
      <c r="J11" s="159"/>
    </row>
    <row r="12" spans="1:10" ht="61.5" customHeight="1" x14ac:dyDescent="0.2">
      <c r="A12" s="157" t="s">
        <v>34</v>
      </c>
      <c r="B12" s="58" t="s">
        <v>212</v>
      </c>
      <c r="C12" s="42" t="s">
        <v>28</v>
      </c>
      <c r="D12" s="272" t="s">
        <v>271</v>
      </c>
      <c r="E12" s="271"/>
      <c r="F12" s="271"/>
      <c r="G12" s="271"/>
      <c r="H12" s="271"/>
      <c r="I12" s="271"/>
      <c r="J12" s="160"/>
    </row>
    <row r="13" spans="1:10" ht="15" customHeight="1" x14ac:dyDescent="0.2">
      <c r="A13" s="157" t="s">
        <v>36</v>
      </c>
      <c r="B13" s="58" t="s">
        <v>247</v>
      </c>
      <c r="C13" s="42" t="s">
        <v>28</v>
      </c>
      <c r="D13" s="267" t="s">
        <v>246</v>
      </c>
      <c r="E13" s="267"/>
      <c r="F13" s="267"/>
      <c r="G13" s="267"/>
      <c r="H13" s="267"/>
      <c r="I13" s="267"/>
      <c r="J13" s="159"/>
    </row>
    <row r="14" spans="1:10" ht="15" customHeight="1" x14ac:dyDescent="0.2">
      <c r="A14" s="157" t="s">
        <v>38</v>
      </c>
      <c r="B14" s="58" t="s">
        <v>35</v>
      </c>
      <c r="C14" s="42" t="s">
        <v>28</v>
      </c>
      <c r="D14" s="273">
        <v>46182</v>
      </c>
      <c r="E14" s="267"/>
      <c r="F14" s="267"/>
      <c r="G14" s="267"/>
      <c r="H14" s="267"/>
      <c r="I14" s="267"/>
      <c r="J14" s="161"/>
    </row>
    <row r="15" spans="1:10" ht="15" customHeight="1" x14ac:dyDescent="0.2">
      <c r="A15" s="157" t="s">
        <v>213</v>
      </c>
      <c r="B15" s="58" t="s">
        <v>37</v>
      </c>
      <c r="C15" s="42" t="s">
        <v>28</v>
      </c>
      <c r="D15" s="267" t="s">
        <v>272</v>
      </c>
      <c r="E15" s="267"/>
      <c r="F15" s="267"/>
      <c r="G15" s="267"/>
      <c r="H15" s="267"/>
      <c r="I15" s="267"/>
      <c r="J15" s="161"/>
    </row>
    <row r="16" spans="1:10" ht="15" customHeight="1" x14ac:dyDescent="0.2">
      <c r="A16" s="157"/>
      <c r="B16" s="58"/>
      <c r="D16" s="58" t="s">
        <v>217</v>
      </c>
      <c r="E16" s="270" t="str">
        <f>'Rincian Biaya'!B5</f>
        <v>Honorarium Narasumber/Pembahas</v>
      </c>
      <c r="F16" s="270"/>
      <c r="G16" s="270"/>
      <c r="H16" s="268">
        <f>'Rincian Biaya'!M8</f>
        <v>2000000</v>
      </c>
      <c r="I16" s="268"/>
      <c r="J16" s="161"/>
    </row>
    <row r="17" spans="1:10" ht="15" customHeight="1" x14ac:dyDescent="0.2">
      <c r="A17" s="157"/>
      <c r="B17" s="58"/>
      <c r="D17" s="58" t="s">
        <v>218</v>
      </c>
      <c r="E17" s="270" t="str">
        <f>'Rincian Biaya'!B10</f>
        <v>Honorarium Moderator</v>
      </c>
      <c r="F17" s="270"/>
      <c r="G17" s="270"/>
      <c r="H17" s="268">
        <f>'Rincian Biaya'!M13</f>
        <v>700000</v>
      </c>
      <c r="I17" s="268"/>
      <c r="J17" s="161"/>
    </row>
    <row r="18" spans="1:10" ht="15" customHeight="1" x14ac:dyDescent="0.2">
      <c r="A18" s="157"/>
      <c r="B18" s="58"/>
      <c r="D18" s="58" t="s">
        <v>219</v>
      </c>
      <c r="E18" s="269" t="str">
        <f>'Rincian Biaya'!B15</f>
        <v xml:space="preserve"> Honorarium Panitia</v>
      </c>
      <c r="F18" s="269"/>
      <c r="G18" s="269"/>
      <c r="H18" s="268">
        <f>'Rincian Biaya'!M24</f>
        <v>1175000</v>
      </c>
      <c r="I18" s="268"/>
      <c r="J18" s="161"/>
    </row>
    <row r="19" spans="1:10" ht="33.5" customHeight="1" x14ac:dyDescent="0.2">
      <c r="A19" s="157" t="s">
        <v>216</v>
      </c>
      <c r="B19" s="58" t="s">
        <v>39</v>
      </c>
      <c r="D19" s="58" t="s">
        <v>220</v>
      </c>
      <c r="E19" s="269" t="str">
        <f>'Rincian Biaya'!B26</f>
        <v>Transport Kegiatan Dalam Kota</v>
      </c>
      <c r="F19" s="269"/>
      <c r="G19" s="269"/>
      <c r="H19" s="280">
        <f>'Rincian Biaya'!M34</f>
        <v>1020000</v>
      </c>
      <c r="I19" s="280"/>
      <c r="J19" s="162"/>
    </row>
    <row r="20" spans="1:10" ht="28" customHeight="1" x14ac:dyDescent="0.2">
      <c r="A20" s="157"/>
      <c r="B20" s="58"/>
      <c r="D20" s="58" t="s">
        <v>221</v>
      </c>
      <c r="E20" s="58" t="str">
        <f>'Rincian Biaya'!B36</f>
        <v>Uang Saku/ Uang Harian Kegiatan Dalam Kota</v>
      </c>
      <c r="H20" s="268">
        <f>'Rincian Biaya'!M45</f>
        <v>910000</v>
      </c>
      <c r="I20" s="268"/>
      <c r="J20" s="162"/>
    </row>
    <row r="21" spans="1:10" ht="35.5" customHeight="1" x14ac:dyDescent="0.2">
      <c r="A21" s="157"/>
      <c r="B21" s="58"/>
      <c r="D21" s="58" t="s">
        <v>222</v>
      </c>
      <c r="E21" s="269" t="str">
        <f>'Rincian Biaya'!B48</f>
        <v>Transport Kegiatan Dalam Kota Survei Lokasi Acara Kegiatan</v>
      </c>
      <c r="F21" s="269"/>
      <c r="G21" s="269"/>
      <c r="H21" s="268">
        <f>'Rincian Biaya'!M52</f>
        <v>340000</v>
      </c>
      <c r="I21" s="268"/>
      <c r="J21" s="162"/>
    </row>
    <row r="22" spans="1:10" ht="28.5" customHeight="1" x14ac:dyDescent="0.2">
      <c r="A22" s="157"/>
      <c r="B22" s="58"/>
      <c r="D22" s="58" t="s">
        <v>223</v>
      </c>
      <c r="E22" s="269" t="str">
        <f>'Rincian Biaya'!B54</f>
        <v>Transport Kegiatan Dalam Kota Persiapan Akhir</v>
      </c>
      <c r="F22" s="269"/>
      <c r="G22" s="269"/>
      <c r="H22" s="268">
        <f>'Rincian Biaya'!M58</f>
        <v>340000</v>
      </c>
      <c r="I22" s="268"/>
      <c r="J22" s="162"/>
    </row>
    <row r="23" spans="1:10" ht="28.5" customHeight="1" x14ac:dyDescent="0.2">
      <c r="A23" s="157"/>
      <c r="B23" s="58"/>
      <c r="D23" s="58" t="s">
        <v>269</v>
      </c>
      <c r="E23" s="269" t="str">
        <f>'Rincian Biaya'!B62</f>
        <v>Belanja Pendukung Lainnya (Belanja Bahan)</v>
      </c>
      <c r="F23" s="269"/>
      <c r="G23" s="269"/>
      <c r="H23" s="268">
        <f>'Rincian Biaya'!F66</f>
        <v>24300000</v>
      </c>
      <c r="I23" s="268"/>
      <c r="J23" s="162"/>
    </row>
    <row r="24" spans="1:10" ht="28.5" customHeight="1" thickBot="1" x14ac:dyDescent="0.25">
      <c r="A24" s="157"/>
      <c r="B24" s="58"/>
      <c r="D24" s="58"/>
      <c r="E24" s="278" t="s">
        <v>40</v>
      </c>
      <c r="F24" s="278"/>
      <c r="G24" s="278"/>
      <c r="H24" s="279">
        <f>SUM(H16:I23)</f>
        <v>30785000</v>
      </c>
      <c r="I24" s="279"/>
      <c r="J24" s="156"/>
    </row>
    <row r="25" spans="1:10" ht="30.5" customHeight="1" thickTop="1" x14ac:dyDescent="0.2">
      <c r="A25" s="155"/>
      <c r="D25" s="58"/>
      <c r="E25" s="158"/>
      <c r="F25" s="158"/>
      <c r="G25" s="158"/>
      <c r="H25" s="158"/>
      <c r="I25" s="158"/>
      <c r="J25" s="156"/>
    </row>
    <row r="26" spans="1:10" ht="30" customHeight="1" x14ac:dyDescent="0.2">
      <c r="A26" s="157" t="s">
        <v>41</v>
      </c>
      <c r="B26" s="58"/>
      <c r="D26" s="58"/>
      <c r="F26" s="158"/>
      <c r="G26" s="158"/>
      <c r="H26" s="158"/>
      <c r="I26" s="158"/>
      <c r="J26" s="162"/>
    </row>
    <row r="27" spans="1:10" ht="16" customHeight="1" x14ac:dyDescent="0.2">
      <c r="A27" s="157" t="s">
        <v>26</v>
      </c>
      <c r="B27" s="58" t="s">
        <v>42</v>
      </c>
      <c r="C27" s="58"/>
      <c r="D27" s="58"/>
      <c r="E27" s="134"/>
      <c r="F27" s="158"/>
      <c r="G27" s="158"/>
      <c r="H27" s="158"/>
      <c r="I27" s="158"/>
      <c r="J27" s="156"/>
    </row>
    <row r="28" spans="1:10" ht="15.5" customHeight="1" x14ac:dyDescent="0.2">
      <c r="A28" s="157" t="s">
        <v>29</v>
      </c>
      <c r="B28" s="58" t="s">
        <v>43</v>
      </c>
      <c r="C28" s="58"/>
      <c r="D28" s="58"/>
      <c r="E28" s="134"/>
      <c r="F28" s="58"/>
      <c r="G28" s="58"/>
      <c r="H28" s="58"/>
      <c r="I28" s="58"/>
      <c r="J28" s="163"/>
    </row>
    <row r="29" spans="1:10" ht="15.5" customHeight="1" x14ac:dyDescent="0.2">
      <c r="A29" s="157" t="s">
        <v>30</v>
      </c>
      <c r="B29" s="58" t="s">
        <v>44</v>
      </c>
      <c r="C29" s="58"/>
      <c r="D29" s="58"/>
      <c r="E29" s="134"/>
      <c r="F29" s="58"/>
      <c r="G29" s="58"/>
      <c r="H29" s="58"/>
      <c r="I29" s="58"/>
      <c r="J29" s="163"/>
    </row>
    <row r="30" spans="1:10" ht="15.5" customHeight="1" x14ac:dyDescent="0.2">
      <c r="A30" s="157" t="s">
        <v>31</v>
      </c>
      <c r="B30" s="58" t="s">
        <v>46</v>
      </c>
      <c r="C30" s="58"/>
      <c r="D30" s="58"/>
      <c r="E30" s="134"/>
      <c r="F30" s="58"/>
      <c r="G30" s="58"/>
      <c r="H30" s="58"/>
      <c r="I30" s="58"/>
      <c r="J30" s="163"/>
    </row>
    <row r="31" spans="1:10" ht="15.5" customHeight="1" x14ac:dyDescent="0.2">
      <c r="A31" s="157" t="s">
        <v>45</v>
      </c>
      <c r="B31" s="58" t="s">
        <v>47</v>
      </c>
      <c r="C31" s="58"/>
      <c r="D31" s="58"/>
      <c r="E31" s="135"/>
      <c r="F31" s="58"/>
      <c r="G31" s="58"/>
      <c r="H31" s="58"/>
      <c r="I31" s="58"/>
      <c r="J31" s="163"/>
    </row>
    <row r="32" spans="1:10" ht="15.5" customHeight="1" x14ac:dyDescent="0.2">
      <c r="A32" s="157" t="s">
        <v>33</v>
      </c>
      <c r="B32" s="58" t="s">
        <v>48</v>
      </c>
      <c r="C32" s="58"/>
      <c r="D32" s="58"/>
      <c r="E32" s="135"/>
      <c r="F32" s="58"/>
      <c r="G32" s="58"/>
      <c r="H32" s="58"/>
      <c r="I32" s="58"/>
      <c r="J32" s="163"/>
    </row>
    <row r="33" spans="1:10" ht="15.5" customHeight="1" x14ac:dyDescent="0.2">
      <c r="A33" s="157" t="s">
        <v>34</v>
      </c>
      <c r="B33" s="58" t="s">
        <v>49</v>
      </c>
      <c r="C33" s="58"/>
      <c r="D33" s="58"/>
      <c r="E33" s="135"/>
      <c r="F33" s="58"/>
      <c r="G33" s="58"/>
      <c r="H33" s="58"/>
      <c r="I33" s="58"/>
      <c r="J33" s="163"/>
    </row>
    <row r="34" spans="1:10" ht="15.5" customHeight="1" x14ac:dyDescent="0.2">
      <c r="A34" s="157" t="s">
        <v>36</v>
      </c>
      <c r="B34" s="58" t="s">
        <v>50</v>
      </c>
      <c r="C34" s="58"/>
      <c r="E34" s="135"/>
      <c r="J34" s="162"/>
    </row>
    <row r="35" spans="1:10" ht="15.5" customHeight="1" x14ac:dyDescent="0.2">
      <c r="A35" s="157"/>
      <c r="B35" s="133" t="s">
        <v>51</v>
      </c>
      <c r="C35" s="58"/>
      <c r="E35" s="135"/>
      <c r="J35" s="162"/>
    </row>
    <row r="36" spans="1:10" ht="15.5" customHeight="1" x14ac:dyDescent="0.2">
      <c r="A36" s="157"/>
      <c r="B36" s="133" t="s">
        <v>51</v>
      </c>
      <c r="C36" s="58"/>
      <c r="E36" s="135"/>
      <c r="J36" s="162"/>
    </row>
    <row r="37" spans="1:10" ht="15.5" customHeight="1" x14ac:dyDescent="0.2">
      <c r="A37" s="155"/>
      <c r="B37" s="133" t="s">
        <v>51</v>
      </c>
      <c r="C37" s="58"/>
      <c r="E37" s="136"/>
      <c r="J37" s="162"/>
    </row>
    <row r="38" spans="1:10" ht="15.5" customHeight="1" x14ac:dyDescent="0.2">
      <c r="A38" s="155"/>
      <c r="C38" s="58"/>
      <c r="F38" s="40"/>
      <c r="J38" s="162"/>
    </row>
    <row r="39" spans="1:10" ht="15.5" customHeight="1" x14ac:dyDescent="0.2">
      <c r="A39" s="155"/>
      <c r="H39" s="42" t="s">
        <v>281</v>
      </c>
      <c r="J39" s="162"/>
    </row>
    <row r="40" spans="1:10" ht="15.5" customHeight="1" x14ac:dyDescent="0.2">
      <c r="A40" s="155"/>
      <c r="B40" s="248" t="s">
        <v>53</v>
      </c>
      <c r="J40" s="156"/>
    </row>
    <row r="41" spans="1:10" x14ac:dyDescent="0.2">
      <c r="A41" s="155"/>
      <c r="H41" s="40" t="s">
        <v>214</v>
      </c>
      <c r="I41" s="40"/>
      <c r="J41" s="156"/>
    </row>
    <row r="42" spans="1:10" x14ac:dyDescent="0.2">
      <c r="A42" s="155"/>
      <c r="D42" s="40"/>
      <c r="E42" s="40"/>
      <c r="F42" s="40"/>
      <c r="G42" s="40"/>
      <c r="J42" s="156"/>
    </row>
    <row r="43" spans="1:10" x14ac:dyDescent="0.2">
      <c r="A43" s="155"/>
      <c r="J43" s="164"/>
    </row>
    <row r="44" spans="1:10" x14ac:dyDescent="0.2">
      <c r="A44" s="155"/>
      <c r="B44" s="42" t="s">
        <v>1</v>
      </c>
      <c r="J44" s="156"/>
    </row>
    <row r="45" spans="1:10" x14ac:dyDescent="0.2">
      <c r="A45" s="155"/>
      <c r="B45" s="248" t="s">
        <v>270</v>
      </c>
      <c r="H45" s="41" t="s">
        <v>254</v>
      </c>
      <c r="I45" s="41"/>
      <c r="J45" s="156"/>
    </row>
    <row r="46" spans="1:10" x14ac:dyDescent="0.2">
      <c r="A46" s="155"/>
      <c r="C46" s="40"/>
      <c r="D46" s="138"/>
      <c r="E46" s="138"/>
      <c r="F46" s="138"/>
      <c r="G46" s="138"/>
      <c r="H46" s="170" t="s">
        <v>255</v>
      </c>
      <c r="I46" s="170"/>
      <c r="J46" s="156"/>
    </row>
    <row r="47" spans="1:10" ht="15.5" customHeight="1" thickBot="1" x14ac:dyDescent="0.25">
      <c r="A47" s="165"/>
      <c r="B47" s="166"/>
      <c r="C47" s="166"/>
      <c r="D47" s="212"/>
      <c r="E47" s="212"/>
      <c r="F47" s="212"/>
      <c r="G47" s="212"/>
      <c r="H47" s="212"/>
      <c r="I47" s="212"/>
      <c r="J47" s="167"/>
    </row>
    <row r="48" spans="1:10" ht="15.5" customHeight="1" x14ac:dyDescent="0.2">
      <c r="D48" s="184"/>
      <c r="E48" s="184"/>
      <c r="F48" s="184"/>
      <c r="G48" s="184"/>
      <c r="H48" s="184"/>
      <c r="I48" s="184"/>
    </row>
    <row r="49" spans="2:10" x14ac:dyDescent="0.2">
      <c r="B49" s="137"/>
      <c r="C49" s="138"/>
      <c r="D49" s="184"/>
      <c r="E49" s="184"/>
      <c r="F49" s="184"/>
      <c r="G49" s="184"/>
      <c r="H49" s="184"/>
      <c r="I49" s="184"/>
      <c r="J49" s="138"/>
    </row>
    <row r="50" spans="2:10" x14ac:dyDescent="0.2">
      <c r="B50" s="184"/>
      <c r="C50" s="184"/>
      <c r="D50" s="184"/>
      <c r="E50" s="184"/>
      <c r="F50" s="184"/>
      <c r="G50" s="184"/>
      <c r="H50" s="184"/>
      <c r="I50" s="184"/>
      <c r="J50" s="184"/>
    </row>
    <row r="51" spans="2:10" x14ac:dyDescent="0.2">
      <c r="B51" s="184"/>
      <c r="C51" s="184"/>
      <c r="D51" s="184"/>
      <c r="E51" s="184"/>
      <c r="F51" s="184"/>
      <c r="G51" s="184"/>
      <c r="H51" s="184"/>
      <c r="I51" s="184"/>
      <c r="J51" s="184"/>
    </row>
    <row r="52" spans="2:10" x14ac:dyDescent="0.2">
      <c r="B52" s="184"/>
      <c r="C52" s="184"/>
      <c r="J52" s="184"/>
    </row>
    <row r="53" spans="2:10" x14ac:dyDescent="0.2">
      <c r="B53" s="184"/>
      <c r="C53" s="184"/>
      <c r="J53" s="184"/>
    </row>
    <row r="54" spans="2:10" x14ac:dyDescent="0.2">
      <c r="B54" s="184"/>
      <c r="C54" s="184"/>
      <c r="J54" s="184"/>
    </row>
  </sheetData>
  <mergeCells count="29">
    <mergeCell ref="E24:G24"/>
    <mergeCell ref="H24:I24"/>
    <mergeCell ref="E23:G23"/>
    <mergeCell ref="H23:I23"/>
    <mergeCell ref="E19:G19"/>
    <mergeCell ref="E22:G22"/>
    <mergeCell ref="H22:I22"/>
    <mergeCell ref="H20:I20"/>
    <mergeCell ref="H19:I19"/>
    <mergeCell ref="E21:G21"/>
    <mergeCell ref="H21:I21"/>
    <mergeCell ref="A1:J1"/>
    <mergeCell ref="D6:I6"/>
    <mergeCell ref="D5:I5"/>
    <mergeCell ref="D9:I9"/>
    <mergeCell ref="A4:I4"/>
    <mergeCell ref="D7:I8"/>
    <mergeCell ref="D10:I10"/>
    <mergeCell ref="D11:I11"/>
    <mergeCell ref="D12:I12"/>
    <mergeCell ref="D13:I13"/>
    <mergeCell ref="D14:I14"/>
    <mergeCell ref="D15:I15"/>
    <mergeCell ref="H16:I16"/>
    <mergeCell ref="E18:G18"/>
    <mergeCell ref="H18:I18"/>
    <mergeCell ref="H17:I17"/>
    <mergeCell ref="E17:G17"/>
    <mergeCell ref="E16:G16"/>
  </mergeCells>
  <phoneticPr fontId="35" type="noConversion"/>
  <pageMargins left="0.70866141732283472" right="0.70866141732283472" top="0.74803149606299213" bottom="0.74803149606299213" header="0.31496062992125984" footer="0.31496062992125984"/>
  <pageSetup scale="65" fitToHeight="0" orientation="portrait" useFirstPageNumber="1" horizontalDpi="360" verticalDpi="360"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F2E9E5BB-EA0C-4733-B834-F4F8806AE5AE}">
          <x14:formula1>
            <xm:f>#REF!</xm:f>
          </x14:formula1>
          <xm:sqref>D6:I6</xm:sqref>
        </x14:dataValidation>
        <x14:dataValidation type="list" allowBlank="1" showInputMessage="1" showErrorMessage="1" xr:uid="{6FC5AC9C-370C-4ADC-834F-82D18CB530B9}">
          <x14:formula1>
            <xm:f>#REF!</xm:f>
          </x14:formula1>
          <xm:sqref>D7</xm:sqref>
        </x14:dataValidation>
        <x14:dataValidation type="list" allowBlank="1" showInputMessage="1" showErrorMessage="1" xr:uid="{FB3C639F-D8D3-4B31-85F7-D35A7A1871AC}">
          <x14:formula1>
            <xm:f>#REF!</xm:f>
          </x14:formula1>
          <xm:sqref>D9:I9</xm:sqref>
        </x14:dataValidation>
        <x14:dataValidation type="list" allowBlank="1" showInputMessage="1" showErrorMessage="1" xr:uid="{43F96322-C905-4F01-B8AC-D9131C0C6A32}">
          <x14:formula1>
            <xm:f>#REF!</xm:f>
          </x14:formula1>
          <xm:sqref>D10:I10</xm:sqref>
        </x14:dataValidation>
        <x14:dataValidation type="list" allowBlank="1" showInputMessage="1" showErrorMessage="1" xr:uid="{5BE38D73-A111-475E-8644-C4F4AF882AFE}">
          <x14:formula1>
            <xm:f>#REF!</xm:f>
          </x14:formula1>
          <xm:sqref>H45</xm:sqref>
        </x14:dataValidation>
        <x14:dataValidation type="list" allowBlank="1" showInputMessage="1" showErrorMessage="1" xr:uid="{F819706B-61A9-492A-A5E3-8AFE66ED6667}">
          <x14:formula1>
            <xm:f>#REF!</xm:f>
          </x14:formula1>
          <xm:sqref>D13:I13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Q75"/>
  <sheetViews>
    <sheetView topLeftCell="A46" zoomScale="80" zoomScaleNormal="80" workbookViewId="0">
      <selection activeCell="I62" sqref="I62"/>
    </sheetView>
  </sheetViews>
  <sheetFormatPr baseColWidth="10" defaultColWidth="8.83203125" defaultRowHeight="16" x14ac:dyDescent="0.2"/>
  <cols>
    <col min="1" max="1" width="3.83203125" customWidth="1"/>
    <col min="2" max="2" width="26" customWidth="1"/>
    <col min="3" max="3" width="16.6640625" customWidth="1"/>
    <col min="4" max="4" width="19.1640625" customWidth="1"/>
    <col min="5" max="5" width="19.33203125" customWidth="1"/>
    <col min="6" max="6" width="18.1640625" style="1" customWidth="1"/>
    <col min="7" max="7" width="24.1640625" customWidth="1"/>
    <col min="8" max="8" width="14.6640625" customWidth="1"/>
    <col min="9" max="9" width="14" customWidth="1"/>
    <col min="10" max="10" width="5" style="120" customWidth="1"/>
    <col min="11" max="11" width="10.6640625" style="132" customWidth="1"/>
    <col min="12" max="12" width="12.83203125" customWidth="1"/>
    <col min="13" max="13" width="14" customWidth="1"/>
    <col min="14" max="14" width="0.6640625" customWidth="1"/>
    <col min="15" max="15" width="8" customWidth="1"/>
    <col min="16" max="16" width="14.6640625" customWidth="1"/>
    <col min="17" max="17" width="16.6640625" bestFit="1" customWidth="1"/>
  </cols>
  <sheetData>
    <row r="1" spans="1:16" s="121" customFormat="1" ht="29.25" customHeight="1" x14ac:dyDescent="0.25">
      <c r="A1" s="257" t="s">
        <v>228</v>
      </c>
      <c r="B1" s="258"/>
      <c r="C1" s="258"/>
      <c r="D1" s="258"/>
      <c r="E1" s="258"/>
      <c r="F1" s="258"/>
      <c r="G1" s="258"/>
      <c r="H1" s="258"/>
      <c r="I1" s="258"/>
      <c r="J1" s="258"/>
      <c r="K1" s="258"/>
      <c r="L1" s="258"/>
      <c r="M1" s="258"/>
    </row>
    <row r="2" spans="1:16" s="121" customFormat="1" ht="19" x14ac:dyDescent="0.25">
      <c r="A2" s="119"/>
      <c r="B2" s="259" t="s">
        <v>274</v>
      </c>
      <c r="C2" s="259"/>
      <c r="D2" s="259"/>
      <c r="E2" s="259"/>
      <c r="F2" s="259"/>
      <c r="G2" s="259"/>
      <c r="H2" s="259"/>
      <c r="I2" s="259"/>
      <c r="J2" s="259"/>
      <c r="K2" s="259"/>
      <c r="L2" s="259"/>
      <c r="M2" s="259"/>
    </row>
    <row r="3" spans="1:16" s="121" customFormat="1" ht="19" x14ac:dyDescent="0.25">
      <c r="A3" s="119"/>
      <c r="B3" s="266" t="s">
        <v>273</v>
      </c>
      <c r="C3" s="266"/>
      <c r="D3" s="266"/>
      <c r="E3" s="266"/>
      <c r="F3" s="266"/>
      <c r="G3" s="266"/>
      <c r="H3" s="266"/>
      <c r="I3" s="266"/>
      <c r="J3" s="266"/>
      <c r="K3" s="266"/>
      <c r="L3" s="266"/>
      <c r="M3" s="266"/>
    </row>
    <row r="4" spans="1:16" s="121" customFormat="1" ht="19" x14ac:dyDescent="0.25">
      <c r="A4" s="119"/>
      <c r="B4" s="183"/>
      <c r="C4" s="183"/>
      <c r="D4" s="183"/>
      <c r="E4" s="183"/>
      <c r="F4" s="183"/>
      <c r="G4" s="183"/>
      <c r="H4" s="183"/>
      <c r="I4" s="183"/>
      <c r="J4" s="183"/>
      <c r="K4" s="183"/>
      <c r="L4" s="183"/>
      <c r="M4" s="183"/>
    </row>
    <row r="5" spans="1:16" s="122" customFormat="1" ht="20" customHeight="1" thickBot="1" x14ac:dyDescent="0.3">
      <c r="A5" s="149" t="s">
        <v>257</v>
      </c>
      <c r="B5" s="149" t="s">
        <v>256</v>
      </c>
      <c r="C5" s="149"/>
      <c r="D5" s="149"/>
      <c r="E5" s="149"/>
      <c r="F5" s="149"/>
      <c r="G5" s="149"/>
      <c r="H5" s="149"/>
      <c r="I5" s="149"/>
      <c r="J5" s="149"/>
      <c r="K5" s="149"/>
      <c r="L5" s="149"/>
      <c r="M5" s="149"/>
    </row>
    <row r="6" spans="1:16" s="122" customFormat="1" ht="37.5" customHeight="1" x14ac:dyDescent="0.2">
      <c r="A6" s="141" t="s">
        <v>54</v>
      </c>
      <c r="B6" s="142" t="s">
        <v>244</v>
      </c>
      <c r="C6" s="143" t="s">
        <v>229</v>
      </c>
      <c r="D6" s="143" t="s">
        <v>55</v>
      </c>
      <c r="E6" s="143" t="s">
        <v>56</v>
      </c>
      <c r="F6" s="143" t="s">
        <v>230</v>
      </c>
      <c r="G6" s="143" t="s">
        <v>231</v>
      </c>
      <c r="H6" s="143" t="s">
        <v>232</v>
      </c>
      <c r="I6" s="143" t="s">
        <v>233</v>
      </c>
      <c r="J6" s="139" t="s">
        <v>234</v>
      </c>
      <c r="K6" s="140" t="s">
        <v>57</v>
      </c>
      <c r="L6" s="139" t="s">
        <v>235</v>
      </c>
      <c r="M6" s="144" t="s">
        <v>243</v>
      </c>
    </row>
    <row r="7" spans="1:16" s="122" customFormat="1" ht="50" customHeight="1" x14ac:dyDescent="0.2">
      <c r="A7" s="145">
        <v>1</v>
      </c>
      <c r="B7" s="209" t="s">
        <v>275</v>
      </c>
      <c r="C7" s="123" t="s">
        <v>237</v>
      </c>
      <c r="D7" s="168" t="e">
        <f>_xlfn.IFNA(VLOOKUP(B7,#REF!,3,FALSE),"")</f>
        <v>#REF!</v>
      </c>
      <c r="E7" s="168" t="e">
        <f>_xlfn.IFNA(VLOOKUP(B7,#REF!,4,FALSE),"")</f>
        <v>#REF!</v>
      </c>
      <c r="F7" s="168" t="e">
        <f>_xlfn.IFNA(VLOOKUP(B7,#REF!,10,FALSE),"")</f>
        <v>#REF!</v>
      </c>
      <c r="G7" s="171" t="e">
        <f>_xlfn.IFNA(VLOOKUP(B7,#REF!,9,FALSE),"")</f>
        <v>#REF!</v>
      </c>
      <c r="H7" s="168" t="e">
        <f>_xlfn.IFNA(VLOOKUP(B7,#REF!,11,FALSE),"")</f>
        <v>#REF!</v>
      </c>
      <c r="I7" s="169"/>
      <c r="J7" s="124">
        <v>2</v>
      </c>
      <c r="K7" s="125" t="s">
        <v>59</v>
      </c>
      <c r="L7" s="126">
        <v>1000000</v>
      </c>
      <c r="M7" s="146">
        <f>J7*L7</f>
        <v>2000000</v>
      </c>
    </row>
    <row r="8" spans="1:16" s="122" customFormat="1" ht="25" customHeight="1" thickBot="1" x14ac:dyDescent="0.25">
      <c r="A8" s="254" t="s">
        <v>175</v>
      </c>
      <c r="B8" s="255"/>
      <c r="C8" s="255"/>
      <c r="D8" s="255"/>
      <c r="E8" s="255"/>
      <c r="F8" s="255"/>
      <c r="G8" s="255"/>
      <c r="H8" s="255"/>
      <c r="I8" s="256"/>
      <c r="J8" s="175"/>
      <c r="K8" s="176"/>
      <c r="L8" s="177"/>
      <c r="M8" s="217">
        <f>SUM(M7:M7)</f>
        <v>2000000</v>
      </c>
      <c r="P8" s="128"/>
    </row>
    <row r="9" spans="1:16" s="195" customFormat="1" ht="36" customHeight="1" x14ac:dyDescent="0.2">
      <c r="A9" s="192"/>
      <c r="B9" s="192"/>
      <c r="C9" s="192"/>
      <c r="D9" s="192"/>
      <c r="E9" s="192"/>
      <c r="F9" s="192"/>
      <c r="G9" s="192"/>
      <c r="H9" s="192"/>
      <c r="I9" s="192"/>
      <c r="J9" s="191"/>
      <c r="K9" s="193"/>
      <c r="L9" s="194"/>
      <c r="M9" s="185"/>
      <c r="P9" s="196"/>
    </row>
    <row r="10" spans="1:16" s="195" customFormat="1" ht="18.5" customHeight="1" x14ac:dyDescent="0.2">
      <c r="A10" s="231" t="s">
        <v>252</v>
      </c>
      <c r="B10" s="231" t="s">
        <v>268</v>
      </c>
      <c r="C10" s="231"/>
      <c r="D10" s="231"/>
      <c r="E10" s="231"/>
      <c r="F10" s="231"/>
      <c r="G10" s="231"/>
      <c r="H10" s="192"/>
      <c r="I10" s="192"/>
      <c r="J10" s="191"/>
      <c r="K10" s="193"/>
      <c r="L10" s="194"/>
      <c r="M10" s="185"/>
      <c r="P10" s="196"/>
    </row>
    <row r="11" spans="1:16" s="195" customFormat="1" ht="34" x14ac:dyDescent="0.2">
      <c r="A11" s="197" t="s">
        <v>54</v>
      </c>
      <c r="B11" s="197" t="s">
        <v>244</v>
      </c>
      <c r="C11" s="197" t="s">
        <v>229</v>
      </c>
      <c r="D11" s="197" t="s">
        <v>55</v>
      </c>
      <c r="E11" s="197" t="s">
        <v>56</v>
      </c>
      <c r="F11" s="197" t="s">
        <v>230</v>
      </c>
      <c r="G11" s="197" t="s">
        <v>231</v>
      </c>
      <c r="H11" s="197" t="s">
        <v>232</v>
      </c>
      <c r="I11" s="197" t="s">
        <v>233</v>
      </c>
      <c r="J11" s="197" t="s">
        <v>234</v>
      </c>
      <c r="K11" s="198" t="s">
        <v>57</v>
      </c>
      <c r="L11" s="197" t="s">
        <v>235</v>
      </c>
      <c r="M11" s="197" t="s">
        <v>243</v>
      </c>
      <c r="P11" s="196"/>
    </row>
    <row r="12" spans="1:16" s="195" customFormat="1" ht="50" customHeight="1" thickBot="1" x14ac:dyDescent="0.25">
      <c r="A12" s="238">
        <v>1</v>
      </c>
      <c r="B12" s="239" t="s">
        <v>276</v>
      </c>
      <c r="C12" s="240" t="s">
        <v>242</v>
      </c>
      <c r="D12" s="241" t="e">
        <f>_xlfn.IFNA(VLOOKUP(B12,#REF!,3,FALSE),"")</f>
        <v>#REF!</v>
      </c>
      <c r="E12" s="241" t="e">
        <f>_xlfn.IFNA(VLOOKUP(B12,#REF!,4,FALSE),"")</f>
        <v>#REF!</v>
      </c>
      <c r="F12" s="241" t="e">
        <f>_xlfn.IFNA(VLOOKUP(B12,#REF!,10,FALSE),"")</f>
        <v>#REF!</v>
      </c>
      <c r="G12" s="242" t="e">
        <f>_xlfn.IFNA(VLOOKUP(B12,#REF!,9,FALSE),"")</f>
        <v>#REF!</v>
      </c>
      <c r="H12" s="241" t="e">
        <f>_xlfn.IFNA(VLOOKUP(B12,#REF!,11,FALSE),"")</f>
        <v>#REF!</v>
      </c>
      <c r="I12" s="243"/>
      <c r="J12" s="242">
        <v>1</v>
      </c>
      <c r="K12" s="244" t="s">
        <v>59</v>
      </c>
      <c r="L12" s="245">
        <v>700000</v>
      </c>
      <c r="M12" s="246">
        <f>J12*L12</f>
        <v>700000</v>
      </c>
      <c r="N12" s="199"/>
      <c r="P12" s="196"/>
    </row>
    <row r="13" spans="1:16" s="195" customFormat="1" ht="25" customHeight="1" thickBot="1" x14ac:dyDescent="0.25">
      <c r="A13" s="264" t="s">
        <v>175</v>
      </c>
      <c r="B13" s="265"/>
      <c r="C13" s="265"/>
      <c r="D13" s="265"/>
      <c r="E13" s="265"/>
      <c r="F13" s="265"/>
      <c r="G13" s="265"/>
      <c r="H13" s="265"/>
      <c r="I13" s="265"/>
      <c r="J13" s="200"/>
      <c r="K13" s="201"/>
      <c r="L13" s="202"/>
      <c r="M13" s="247">
        <f>SUM(M12:M12)</f>
        <v>700000</v>
      </c>
      <c r="N13" s="199"/>
      <c r="P13" s="196"/>
    </row>
    <row r="14" spans="1:16" s="122" customFormat="1" ht="24" customHeight="1" x14ac:dyDescent="0.2">
      <c r="A14" s="179"/>
      <c r="B14" s="179"/>
      <c r="C14" s="179"/>
      <c r="D14" s="179"/>
      <c r="E14" s="179"/>
      <c r="F14" s="179"/>
      <c r="G14" s="179"/>
      <c r="H14" s="179"/>
      <c r="I14" s="179"/>
      <c r="J14" s="150"/>
      <c r="K14" s="151"/>
      <c r="L14" s="152"/>
      <c r="M14" s="153"/>
    </row>
    <row r="15" spans="1:16" s="122" customFormat="1" ht="21" thickBot="1" x14ac:dyDescent="0.25">
      <c r="A15" s="224" t="s">
        <v>262</v>
      </c>
      <c r="B15" s="224" t="s">
        <v>258</v>
      </c>
      <c r="C15" s="224"/>
      <c r="D15" s="213"/>
      <c r="E15" s="213"/>
      <c r="F15" s="179"/>
      <c r="G15" s="179"/>
      <c r="H15" s="179"/>
      <c r="I15" s="179"/>
      <c r="J15" s="150"/>
      <c r="K15" s="151"/>
      <c r="L15" s="152"/>
      <c r="M15" s="153"/>
    </row>
    <row r="16" spans="1:16" s="122" customFormat="1" ht="34" x14ac:dyDescent="0.2">
      <c r="A16" s="172" t="s">
        <v>54</v>
      </c>
      <c r="B16" s="143" t="s">
        <v>244</v>
      </c>
      <c r="C16" s="143" t="s">
        <v>229</v>
      </c>
      <c r="D16" s="143" t="s">
        <v>55</v>
      </c>
      <c r="E16" s="143" t="s">
        <v>56</v>
      </c>
      <c r="F16" s="143" t="s">
        <v>230</v>
      </c>
      <c r="G16" s="143" t="s">
        <v>231</v>
      </c>
      <c r="H16" s="143" t="s">
        <v>232</v>
      </c>
      <c r="I16" s="143" t="s">
        <v>233</v>
      </c>
      <c r="J16" s="139" t="s">
        <v>234</v>
      </c>
      <c r="K16" s="140" t="s">
        <v>57</v>
      </c>
      <c r="L16" s="139" t="s">
        <v>235</v>
      </c>
      <c r="M16" s="214" t="s">
        <v>243</v>
      </c>
    </row>
    <row r="17" spans="1:16" s="122" customFormat="1" ht="50" customHeight="1" x14ac:dyDescent="0.2">
      <c r="A17" s="235">
        <v>1</v>
      </c>
      <c r="B17" s="209" t="s">
        <v>277</v>
      </c>
      <c r="C17" s="178" t="s">
        <v>238</v>
      </c>
      <c r="D17" s="168" t="e">
        <f>_xlfn.IFNA(VLOOKUP(B17,#REF!,3,FALSE),"")</f>
        <v>#REF!</v>
      </c>
      <c r="E17" s="168" t="e">
        <f>_xlfn.IFNA(VLOOKUP(B17,#REF!,4,FALSE),"")</f>
        <v>#REF!</v>
      </c>
      <c r="F17" s="168" t="e">
        <f>_xlfn.IFNA(VLOOKUP(B17,#REF!,10,FALSE),"")</f>
        <v>#REF!</v>
      </c>
      <c r="G17" s="171" t="e">
        <f>_xlfn.IFNA(VLOOKUP(B17,#REF!,9,FALSE),"")</f>
        <v>#REF!</v>
      </c>
      <c r="H17" s="168" t="e">
        <f>_xlfn.IFNA(VLOOKUP(B17,#REF!,11,FALSE),"")</f>
        <v>#REF!</v>
      </c>
      <c r="I17" s="216"/>
      <c r="J17" s="124">
        <v>1</v>
      </c>
      <c r="K17" s="125" t="s">
        <v>60</v>
      </c>
      <c r="L17" s="126">
        <v>225000</v>
      </c>
      <c r="M17" s="236">
        <f>J17*L17</f>
        <v>225000</v>
      </c>
    </row>
    <row r="18" spans="1:16" s="122" customFormat="1" ht="50" customHeight="1" x14ac:dyDescent="0.2">
      <c r="A18" s="235">
        <v>2</v>
      </c>
      <c r="B18" s="209" t="s">
        <v>15</v>
      </c>
      <c r="C18" s="178" t="s">
        <v>239</v>
      </c>
      <c r="D18" s="168" t="e">
        <f>_xlfn.IFNA(VLOOKUP(B18,#REF!,3,FALSE),"")</f>
        <v>#REF!</v>
      </c>
      <c r="E18" s="168" t="e">
        <f>_xlfn.IFNA(VLOOKUP(B18,#REF!,4,FALSE),"")</f>
        <v>#REF!</v>
      </c>
      <c r="F18" s="168" t="e">
        <f>_xlfn.IFNA(VLOOKUP(B18,#REF!,10,FALSE),"")</f>
        <v>#REF!</v>
      </c>
      <c r="G18" s="171" t="e">
        <f>_xlfn.IFNA(VLOOKUP(B18,#REF!,9,FALSE),"")</f>
        <v>#REF!</v>
      </c>
      <c r="H18" s="168" t="e">
        <f>_xlfn.IFNA(VLOOKUP(B18,#REF!,11,FALSE),"")</f>
        <v>#REF!</v>
      </c>
      <c r="I18" s="215"/>
      <c r="J18" s="124">
        <v>1</v>
      </c>
      <c r="K18" s="125" t="s">
        <v>60</v>
      </c>
      <c r="L18" s="126">
        <v>200000</v>
      </c>
      <c r="M18" s="236">
        <f>J18*L18</f>
        <v>200000</v>
      </c>
    </row>
    <row r="19" spans="1:16" s="122" customFormat="1" ht="50" customHeight="1" x14ac:dyDescent="0.2">
      <c r="A19" s="235">
        <v>3</v>
      </c>
      <c r="B19" s="209" t="s">
        <v>16</v>
      </c>
      <c r="C19" s="178" t="s">
        <v>240</v>
      </c>
      <c r="D19" s="168" t="e">
        <f>_xlfn.IFNA(VLOOKUP(B19,#REF!,3,FALSE),"")</f>
        <v>#REF!</v>
      </c>
      <c r="E19" s="168" t="e">
        <f>_xlfn.IFNA(VLOOKUP(B19,#REF!,4,FALSE),"")</f>
        <v>#REF!</v>
      </c>
      <c r="F19" s="168" t="e">
        <f>_xlfn.IFNA(VLOOKUP(B19,#REF!,10,FALSE),"")</f>
        <v>#REF!</v>
      </c>
      <c r="G19" s="171" t="e">
        <f>_xlfn.IFNA(VLOOKUP(B19,#REF!,9,FALSE),"")</f>
        <v>#REF!</v>
      </c>
      <c r="H19" s="168" t="e">
        <f>_xlfn.IFNA(VLOOKUP(B19,#REF!,11,FALSE),"")</f>
        <v>#REF!</v>
      </c>
      <c r="I19" s="215"/>
      <c r="J19" s="124">
        <v>1</v>
      </c>
      <c r="K19" s="125" t="s">
        <v>60</v>
      </c>
      <c r="L19" s="126">
        <v>150000</v>
      </c>
      <c r="M19" s="236">
        <f t="shared" ref="M19:M23" si="0">J19*L19</f>
        <v>150000</v>
      </c>
    </row>
    <row r="20" spans="1:16" s="122" customFormat="1" ht="50" customHeight="1" x14ac:dyDescent="0.2">
      <c r="A20" s="235">
        <v>4</v>
      </c>
      <c r="B20" s="209" t="s">
        <v>9</v>
      </c>
      <c r="C20" s="178" t="s">
        <v>14</v>
      </c>
      <c r="D20" s="168" t="e">
        <f>_xlfn.IFNA(VLOOKUP(B20,#REF!,3,FALSE),"")</f>
        <v>#REF!</v>
      </c>
      <c r="E20" s="168" t="e">
        <f>_xlfn.IFNA(VLOOKUP(B20,#REF!,4,FALSE),"")</f>
        <v>#REF!</v>
      </c>
      <c r="F20" s="168" t="e">
        <f>_xlfn.IFNA(VLOOKUP(B20,#REF!,10,FALSE),"")</f>
        <v>#REF!</v>
      </c>
      <c r="G20" s="171" t="e">
        <f>_xlfn.IFNA(VLOOKUP(B20,#REF!,9,FALSE),"")</f>
        <v>#REF!</v>
      </c>
      <c r="H20" s="168" t="e">
        <f>_xlfn.IFNA(VLOOKUP(B20,#REF!,11,FALSE),"")</f>
        <v>#REF!</v>
      </c>
      <c r="I20" s="215"/>
      <c r="J20" s="124">
        <v>1</v>
      </c>
      <c r="K20" s="125" t="s">
        <v>60</v>
      </c>
      <c r="L20" s="126">
        <v>150000</v>
      </c>
      <c r="M20" s="236">
        <f t="shared" si="0"/>
        <v>150000</v>
      </c>
    </row>
    <row r="21" spans="1:16" s="122" customFormat="1" ht="50" customHeight="1" x14ac:dyDescent="0.2">
      <c r="A21" s="235">
        <v>5</v>
      </c>
      <c r="B21" s="209" t="s">
        <v>253</v>
      </c>
      <c r="C21" s="178" t="s">
        <v>241</v>
      </c>
      <c r="D21" s="168" t="e">
        <f>_xlfn.IFNA(VLOOKUP(B21,#REF!,3,FALSE),"")</f>
        <v>#REF!</v>
      </c>
      <c r="E21" s="168" t="e">
        <f>_xlfn.IFNA(VLOOKUP(B21,#REF!,4,FALSE),"")</f>
        <v>#REF!</v>
      </c>
      <c r="F21" s="168" t="e">
        <f>_xlfn.IFNA(VLOOKUP(B21,#REF!,10,FALSE),"")</f>
        <v>#REF!</v>
      </c>
      <c r="G21" s="171" t="e">
        <f>_xlfn.IFNA(VLOOKUP(B21,#REF!,9,FALSE),"")</f>
        <v>#REF!</v>
      </c>
      <c r="H21" s="168" t="e">
        <f>_xlfn.IFNA(VLOOKUP(B21,#REF!,11,FALSE),"")</f>
        <v>#REF!</v>
      </c>
      <c r="I21" s="215"/>
      <c r="J21" s="124">
        <v>1</v>
      </c>
      <c r="K21" s="125" t="s">
        <v>60</v>
      </c>
      <c r="L21" s="126">
        <v>150000</v>
      </c>
      <c r="M21" s="236">
        <f t="shared" si="0"/>
        <v>150000</v>
      </c>
    </row>
    <row r="22" spans="1:16" s="122" customFormat="1" ht="50" customHeight="1" x14ac:dyDescent="0.2">
      <c r="A22" s="235">
        <v>6</v>
      </c>
      <c r="B22" s="209" t="s">
        <v>282</v>
      </c>
      <c r="C22" s="178" t="s">
        <v>241</v>
      </c>
      <c r="D22" s="168" t="e">
        <f>_xlfn.IFNA(VLOOKUP(B22,#REF!,3,FALSE),"")</f>
        <v>#REF!</v>
      </c>
      <c r="E22" s="168" t="e">
        <f>_xlfn.IFNA(VLOOKUP(B22,#REF!,4,FALSE),"")</f>
        <v>#REF!</v>
      </c>
      <c r="F22" s="168" t="e">
        <f>_xlfn.IFNA(VLOOKUP(B22,#REF!,10,FALSE),"")</f>
        <v>#REF!</v>
      </c>
      <c r="G22" s="171" t="e">
        <f>_xlfn.IFNA(VLOOKUP(B22,#REF!,9,FALSE),"")</f>
        <v>#REF!</v>
      </c>
      <c r="H22" s="168" t="e">
        <f>_xlfn.IFNA(VLOOKUP(B22,#REF!,11,FALSE),"")</f>
        <v>#REF!</v>
      </c>
      <c r="I22" s="215"/>
      <c r="J22" s="124">
        <v>1</v>
      </c>
      <c r="K22" s="125" t="s">
        <v>60</v>
      </c>
      <c r="L22" s="126">
        <v>150000</v>
      </c>
      <c r="M22" s="236">
        <f t="shared" si="0"/>
        <v>150000</v>
      </c>
    </row>
    <row r="23" spans="1:16" s="122" customFormat="1" ht="50" customHeight="1" x14ac:dyDescent="0.2">
      <c r="A23" s="235">
        <v>7</v>
      </c>
      <c r="B23" s="209" t="s">
        <v>10</v>
      </c>
      <c r="C23" s="178" t="s">
        <v>241</v>
      </c>
      <c r="D23" s="168" t="e">
        <f>_xlfn.IFNA(VLOOKUP(B23,#REF!,3,FALSE),"")</f>
        <v>#REF!</v>
      </c>
      <c r="E23" s="168" t="e">
        <f>_xlfn.IFNA(VLOOKUP(B23,#REF!,4,FALSE),"")</f>
        <v>#REF!</v>
      </c>
      <c r="F23" s="168" t="e">
        <f>_xlfn.IFNA(VLOOKUP(B23,#REF!,10,FALSE),"")</f>
        <v>#REF!</v>
      </c>
      <c r="G23" s="171" t="e">
        <f>_xlfn.IFNA(VLOOKUP(B23,#REF!,9,FALSE),"")</f>
        <v>#REF!</v>
      </c>
      <c r="H23" s="168" t="e">
        <f>_xlfn.IFNA(VLOOKUP(B23,#REF!,11,FALSE),"")</f>
        <v>#REF!</v>
      </c>
      <c r="I23" s="215"/>
      <c r="J23" s="124">
        <v>1</v>
      </c>
      <c r="K23" s="125" t="s">
        <v>60</v>
      </c>
      <c r="L23" s="126">
        <v>150000</v>
      </c>
      <c r="M23" s="236">
        <f t="shared" si="0"/>
        <v>150000</v>
      </c>
    </row>
    <row r="24" spans="1:16" s="122" customFormat="1" ht="25" customHeight="1" thickBot="1" x14ac:dyDescent="0.25">
      <c r="A24" s="252" t="s">
        <v>175</v>
      </c>
      <c r="B24" s="253"/>
      <c r="C24" s="253"/>
      <c r="D24" s="253"/>
      <c r="E24" s="253"/>
      <c r="F24" s="253"/>
      <c r="G24" s="253"/>
      <c r="H24" s="253"/>
      <c r="I24" s="253"/>
      <c r="J24" s="232"/>
      <c r="K24" s="233"/>
      <c r="L24" s="234"/>
      <c r="M24" s="237">
        <f>SUM(M17:M23)</f>
        <v>1175000</v>
      </c>
    </row>
    <row r="25" spans="1:16" s="122" customFormat="1" ht="27" customHeight="1" x14ac:dyDescent="0.2">
      <c r="A25" s="179"/>
      <c r="B25" s="179"/>
      <c r="C25" s="179"/>
      <c r="D25" s="179"/>
      <c r="E25" s="179"/>
      <c r="F25" s="179"/>
      <c r="G25" s="179"/>
      <c r="H25" s="179"/>
      <c r="I25" s="179"/>
      <c r="J25" s="150"/>
      <c r="K25" s="151"/>
      <c r="L25" s="152"/>
      <c r="M25" s="153"/>
    </row>
    <row r="26" spans="1:16" ht="20" thickBot="1" x14ac:dyDescent="0.3">
      <c r="A26" s="149" t="s">
        <v>259</v>
      </c>
      <c r="B26" s="225" t="s">
        <v>278</v>
      </c>
      <c r="C26" s="121"/>
      <c r="D26" s="121"/>
      <c r="E26" s="121"/>
      <c r="F26" s="129"/>
      <c r="G26" s="121"/>
      <c r="H26" s="121"/>
      <c r="I26" s="121"/>
      <c r="J26" s="130"/>
      <c r="K26" s="131"/>
      <c r="L26" s="121"/>
      <c r="M26" s="121"/>
    </row>
    <row r="27" spans="1:16" ht="34" x14ac:dyDescent="0.2">
      <c r="A27" s="141" t="s">
        <v>54</v>
      </c>
      <c r="B27" s="142" t="s">
        <v>244</v>
      </c>
      <c r="C27" s="143" t="s">
        <v>229</v>
      </c>
      <c r="D27" s="143" t="s">
        <v>55</v>
      </c>
      <c r="E27" s="143" t="s">
        <v>56</v>
      </c>
      <c r="F27" s="143" t="s">
        <v>230</v>
      </c>
      <c r="G27" s="143" t="s">
        <v>231</v>
      </c>
      <c r="H27" s="143" t="s">
        <v>232</v>
      </c>
      <c r="I27" s="143" t="s">
        <v>233</v>
      </c>
      <c r="J27" s="139" t="s">
        <v>234</v>
      </c>
      <c r="K27" s="140" t="s">
        <v>57</v>
      </c>
      <c r="L27" s="139" t="s">
        <v>235</v>
      </c>
      <c r="M27" s="144" t="s">
        <v>243</v>
      </c>
    </row>
    <row r="28" spans="1:16" ht="50" customHeight="1" x14ac:dyDescent="0.2">
      <c r="A28" s="145">
        <v>1</v>
      </c>
      <c r="B28" s="209" t="s">
        <v>15</v>
      </c>
      <c r="C28" s="178" t="s">
        <v>239</v>
      </c>
      <c r="D28" s="168" t="e">
        <f>_xlfn.IFNA(VLOOKUP(B28,#REF!,3,FALSE),"")</f>
        <v>#REF!</v>
      </c>
      <c r="E28" s="168" t="e">
        <f>_xlfn.IFNA(VLOOKUP(B28,#REF!,4,FALSE),"")</f>
        <v>#REF!</v>
      </c>
      <c r="F28" s="168" t="e">
        <f>_xlfn.IFNA(VLOOKUP(B28,#REF!,10,FALSE),"")</f>
        <v>#REF!</v>
      </c>
      <c r="G28" s="171" t="e">
        <f>_xlfn.IFNA(VLOOKUP(B28,#REF!,9,FALSE),"")</f>
        <v>#REF!</v>
      </c>
      <c r="H28" s="168" t="e">
        <f>_xlfn.IFNA(VLOOKUP(B28,#REF!,11,FALSE),"")</f>
        <v>#REF!</v>
      </c>
      <c r="I28" s="169"/>
      <c r="J28" s="124">
        <v>1</v>
      </c>
      <c r="K28" s="125" t="s">
        <v>236</v>
      </c>
      <c r="L28" s="126">
        <v>170000</v>
      </c>
      <c r="M28" s="146">
        <f t="shared" ref="M28:M33" si="1">J28*L28</f>
        <v>170000</v>
      </c>
    </row>
    <row r="29" spans="1:16" ht="50" customHeight="1" x14ac:dyDescent="0.2">
      <c r="A29" s="145">
        <v>2</v>
      </c>
      <c r="B29" s="209" t="s">
        <v>16</v>
      </c>
      <c r="C29" s="178" t="s">
        <v>240</v>
      </c>
      <c r="D29" s="168" t="e">
        <f>_xlfn.IFNA(VLOOKUP(B29,#REF!,3,FALSE),"")</f>
        <v>#REF!</v>
      </c>
      <c r="E29" s="168" t="e">
        <f>_xlfn.IFNA(VLOOKUP(B29,#REF!,4,FALSE),"")</f>
        <v>#REF!</v>
      </c>
      <c r="F29" s="168" t="e">
        <f>_xlfn.IFNA(VLOOKUP(B29,#REF!,10,FALSE),"")</f>
        <v>#REF!</v>
      </c>
      <c r="G29" s="171" t="e">
        <f>_xlfn.IFNA(VLOOKUP(B29,#REF!,9,FALSE),"")</f>
        <v>#REF!</v>
      </c>
      <c r="H29" s="168" t="e">
        <f>_xlfn.IFNA(VLOOKUP(B29,#REF!,11,FALSE),"")</f>
        <v>#REF!</v>
      </c>
      <c r="I29" s="127"/>
      <c r="J29" s="124">
        <v>1</v>
      </c>
      <c r="K29" s="125" t="s">
        <v>236</v>
      </c>
      <c r="L29" s="126">
        <v>170000</v>
      </c>
      <c r="M29" s="146">
        <f t="shared" si="1"/>
        <v>170000</v>
      </c>
      <c r="P29" s="174"/>
    </row>
    <row r="30" spans="1:16" ht="50" customHeight="1" x14ac:dyDescent="0.2">
      <c r="A30" s="145">
        <v>3</v>
      </c>
      <c r="B30" s="209" t="s">
        <v>9</v>
      </c>
      <c r="C30" s="178" t="s">
        <v>14</v>
      </c>
      <c r="D30" s="168" t="e">
        <f>_xlfn.IFNA(VLOOKUP(B30,#REF!,3,FALSE),"")</f>
        <v>#REF!</v>
      </c>
      <c r="E30" s="168" t="e">
        <f>_xlfn.IFNA(VLOOKUP(B30,#REF!,4,FALSE),"")</f>
        <v>#REF!</v>
      </c>
      <c r="F30" s="168" t="e">
        <f>_xlfn.IFNA(VLOOKUP(B30,#REF!,10,FALSE),"")</f>
        <v>#REF!</v>
      </c>
      <c r="G30" s="171" t="e">
        <f>_xlfn.IFNA(VLOOKUP(B30,#REF!,9,FALSE),"")</f>
        <v>#REF!</v>
      </c>
      <c r="H30" s="168" t="e">
        <f>_xlfn.IFNA(VLOOKUP(B30,#REF!,11,FALSE),"")</f>
        <v>#REF!</v>
      </c>
      <c r="I30" s="127"/>
      <c r="J30" s="124">
        <v>1</v>
      </c>
      <c r="K30" s="125" t="s">
        <v>236</v>
      </c>
      <c r="L30" s="126">
        <v>170000</v>
      </c>
      <c r="M30" s="146">
        <f t="shared" si="1"/>
        <v>170000</v>
      </c>
      <c r="P30" s="174"/>
    </row>
    <row r="31" spans="1:16" ht="50" customHeight="1" x14ac:dyDescent="0.2">
      <c r="A31" s="145">
        <v>4</v>
      </c>
      <c r="B31" s="209" t="s">
        <v>253</v>
      </c>
      <c r="C31" s="178" t="s">
        <v>241</v>
      </c>
      <c r="D31" s="168" t="e">
        <f>_xlfn.IFNA(VLOOKUP(B31,#REF!,3,FALSE),"")</f>
        <v>#REF!</v>
      </c>
      <c r="E31" s="168" t="e">
        <f>_xlfn.IFNA(VLOOKUP(B31,#REF!,4,FALSE),"")</f>
        <v>#REF!</v>
      </c>
      <c r="F31" s="168" t="e">
        <f>_xlfn.IFNA(VLOOKUP(B31,#REF!,10,FALSE),"")</f>
        <v>#REF!</v>
      </c>
      <c r="G31" s="171" t="e">
        <f>_xlfn.IFNA(VLOOKUP(B31,#REF!,9,FALSE),"")</f>
        <v>#REF!</v>
      </c>
      <c r="H31" s="168" t="e">
        <f>_xlfn.IFNA(VLOOKUP(B31,#REF!,11,FALSE),"")</f>
        <v>#REF!</v>
      </c>
      <c r="I31" s="127"/>
      <c r="J31" s="124">
        <v>1</v>
      </c>
      <c r="K31" s="125" t="s">
        <v>236</v>
      </c>
      <c r="L31" s="126">
        <v>170000</v>
      </c>
      <c r="M31" s="146">
        <f t="shared" si="1"/>
        <v>170000</v>
      </c>
      <c r="P31" s="174"/>
    </row>
    <row r="32" spans="1:16" ht="50" customHeight="1" x14ac:dyDescent="0.2">
      <c r="A32" s="145">
        <v>5</v>
      </c>
      <c r="B32" s="209" t="s">
        <v>282</v>
      </c>
      <c r="C32" s="178" t="s">
        <v>241</v>
      </c>
      <c r="D32" s="168" t="e">
        <f>_xlfn.IFNA(VLOOKUP(B32,#REF!,3,FALSE),"")</f>
        <v>#REF!</v>
      </c>
      <c r="E32" s="168" t="e">
        <f>_xlfn.IFNA(VLOOKUP(B32,#REF!,4,FALSE),"")</f>
        <v>#REF!</v>
      </c>
      <c r="F32" s="168" t="e">
        <f>_xlfn.IFNA(VLOOKUP(B32,#REF!,10,FALSE),"")</f>
        <v>#REF!</v>
      </c>
      <c r="G32" s="171" t="e">
        <f>_xlfn.IFNA(VLOOKUP(B32,#REF!,9,FALSE),"")</f>
        <v>#REF!</v>
      </c>
      <c r="H32" s="168" t="e">
        <f>_xlfn.IFNA(VLOOKUP(B32,#REF!,11,FALSE),"")</f>
        <v>#REF!</v>
      </c>
      <c r="I32" s="127"/>
      <c r="J32" s="124">
        <v>1</v>
      </c>
      <c r="K32" s="125" t="s">
        <v>236</v>
      </c>
      <c r="L32" s="126">
        <v>170000</v>
      </c>
      <c r="M32" s="146">
        <f t="shared" si="1"/>
        <v>170000</v>
      </c>
      <c r="P32" s="174"/>
    </row>
    <row r="33" spans="1:16" ht="50" customHeight="1" x14ac:dyDescent="0.2">
      <c r="A33" s="145">
        <v>6</v>
      </c>
      <c r="B33" s="209" t="s">
        <v>10</v>
      </c>
      <c r="C33" s="123" t="s">
        <v>241</v>
      </c>
      <c r="D33" s="168" t="e">
        <f>_xlfn.IFNA(VLOOKUP(B33,#REF!,3,FALSE),"")</f>
        <v>#REF!</v>
      </c>
      <c r="E33" s="168" t="e">
        <f>_xlfn.IFNA(VLOOKUP(B33,#REF!,4,FALSE),"")</f>
        <v>#REF!</v>
      </c>
      <c r="F33" s="168" t="e">
        <f>_xlfn.IFNA(VLOOKUP(B33,#REF!,10,FALSE),"")</f>
        <v>#REF!</v>
      </c>
      <c r="G33" s="171" t="e">
        <f>_xlfn.IFNA(VLOOKUP(B33,#REF!,9,FALSE),"")</f>
        <v>#REF!</v>
      </c>
      <c r="H33" s="168" t="e">
        <f>_xlfn.IFNA(VLOOKUP(B33,#REF!,11,FALSE),"")</f>
        <v>#REF!</v>
      </c>
      <c r="I33" s="127"/>
      <c r="J33" s="124">
        <v>1</v>
      </c>
      <c r="K33" s="125" t="s">
        <v>236</v>
      </c>
      <c r="L33" s="126">
        <v>170000</v>
      </c>
      <c r="M33" s="146">
        <f t="shared" si="1"/>
        <v>170000</v>
      </c>
      <c r="P33" s="174"/>
    </row>
    <row r="34" spans="1:16" ht="25" customHeight="1" thickBot="1" x14ac:dyDescent="0.25">
      <c r="A34" s="263" t="s">
        <v>175</v>
      </c>
      <c r="B34" s="263"/>
      <c r="C34" s="263"/>
      <c r="D34" s="263"/>
      <c r="E34" s="263"/>
      <c r="F34" s="263"/>
      <c r="G34" s="263"/>
      <c r="H34" s="263"/>
      <c r="I34" s="263"/>
      <c r="J34" s="175"/>
      <c r="K34" s="176"/>
      <c r="L34" s="177"/>
      <c r="M34" s="217">
        <f>SUM(M28:M33)</f>
        <v>1020000</v>
      </c>
    </row>
    <row r="35" spans="1:16" s="180" customFormat="1" ht="21.75" customHeight="1" x14ac:dyDescent="0.2">
      <c r="A35" s="179"/>
      <c r="B35" s="179"/>
      <c r="C35" s="179"/>
      <c r="D35" s="179"/>
      <c r="E35" s="179"/>
      <c r="F35" s="179"/>
      <c r="G35" s="179"/>
      <c r="H35" s="179"/>
      <c r="I35" s="179"/>
      <c r="J35" s="150"/>
      <c r="K35" s="151"/>
      <c r="L35" s="152"/>
      <c r="M35" s="153"/>
    </row>
    <row r="36" spans="1:16" ht="27" customHeight="1" thickBot="1" x14ac:dyDescent="0.3">
      <c r="A36" s="149" t="s">
        <v>260</v>
      </c>
      <c r="B36" s="225" t="s">
        <v>279</v>
      </c>
      <c r="C36" s="121"/>
      <c r="D36" s="121"/>
      <c r="E36" s="121"/>
      <c r="F36" s="129"/>
      <c r="G36" s="121"/>
      <c r="H36" s="121"/>
      <c r="I36" s="121"/>
      <c r="J36" s="130"/>
      <c r="K36" s="131"/>
      <c r="L36" s="121"/>
      <c r="M36" s="121"/>
    </row>
    <row r="37" spans="1:16" ht="34" x14ac:dyDescent="0.2">
      <c r="A37" s="141" t="s">
        <v>54</v>
      </c>
      <c r="B37" s="142" t="s">
        <v>244</v>
      </c>
      <c r="C37" s="143" t="s">
        <v>229</v>
      </c>
      <c r="D37" s="143" t="s">
        <v>55</v>
      </c>
      <c r="E37" s="143" t="s">
        <v>56</v>
      </c>
      <c r="F37" s="143" t="s">
        <v>230</v>
      </c>
      <c r="G37" s="143" t="s">
        <v>231</v>
      </c>
      <c r="H37" s="143" t="s">
        <v>232</v>
      </c>
      <c r="I37" s="143" t="s">
        <v>233</v>
      </c>
      <c r="J37" s="139" t="s">
        <v>234</v>
      </c>
      <c r="K37" s="140" t="s">
        <v>57</v>
      </c>
      <c r="L37" s="139" t="s">
        <v>235</v>
      </c>
      <c r="M37" s="144" t="s">
        <v>243</v>
      </c>
    </row>
    <row r="38" spans="1:16" ht="50" customHeight="1" x14ac:dyDescent="0.2">
      <c r="A38" s="145">
        <v>1</v>
      </c>
      <c r="B38" s="209" t="s">
        <v>277</v>
      </c>
      <c r="C38" s="178" t="s">
        <v>238</v>
      </c>
      <c r="D38" s="168" t="e">
        <f>_xlfn.IFNA(VLOOKUP(B38,#REF!,3,FALSE),"")</f>
        <v>#REF!</v>
      </c>
      <c r="E38" s="168" t="e">
        <f>_xlfn.IFNA(VLOOKUP(B38,#REF!,4,FALSE),"")</f>
        <v>#REF!</v>
      </c>
      <c r="F38" s="168" t="e">
        <f>_xlfn.IFNA(VLOOKUP(B38,#REF!,10,FALSE),"")</f>
        <v>#REF!</v>
      </c>
      <c r="G38" s="171" t="e">
        <f>_xlfn.IFNA(VLOOKUP(B38,#REF!,9,FALSE),"")</f>
        <v>#REF!</v>
      </c>
      <c r="H38" s="168" t="e">
        <f>_xlfn.IFNA(VLOOKUP(B38,#REF!,11,FALSE),"")</f>
        <v>#REF!</v>
      </c>
      <c r="I38" s="169"/>
      <c r="J38" s="124">
        <v>1</v>
      </c>
      <c r="K38" s="125" t="s">
        <v>236</v>
      </c>
      <c r="L38" s="126">
        <v>130000</v>
      </c>
      <c r="M38" s="146">
        <f>J38*L38</f>
        <v>130000</v>
      </c>
    </row>
    <row r="39" spans="1:16" ht="50" customHeight="1" x14ac:dyDescent="0.2">
      <c r="A39" s="145">
        <v>2</v>
      </c>
      <c r="B39" s="209" t="s">
        <v>15</v>
      </c>
      <c r="C39" s="178" t="s">
        <v>239</v>
      </c>
      <c r="D39" s="168" t="e">
        <f>_xlfn.IFNA(VLOOKUP(B39,#REF!,3,FALSE),"")</f>
        <v>#REF!</v>
      </c>
      <c r="E39" s="168" t="e">
        <f>_xlfn.IFNA(VLOOKUP(B39,#REF!,4,FALSE),"")</f>
        <v>#REF!</v>
      </c>
      <c r="F39" s="168" t="e">
        <f>_xlfn.IFNA(VLOOKUP(B39,#REF!,10,FALSE),"")</f>
        <v>#REF!</v>
      </c>
      <c r="G39" s="171" t="e">
        <f>_xlfn.IFNA(VLOOKUP(B39,#REF!,9,FALSE),"")</f>
        <v>#REF!</v>
      </c>
      <c r="H39" s="168" t="e">
        <f>_xlfn.IFNA(VLOOKUP(B39,#REF!,11,FALSE),"")</f>
        <v>#REF!</v>
      </c>
      <c r="I39" s="169"/>
      <c r="J39" s="124">
        <v>1</v>
      </c>
      <c r="K39" s="125" t="s">
        <v>236</v>
      </c>
      <c r="L39" s="126">
        <v>130000</v>
      </c>
      <c r="M39" s="146">
        <f t="shared" ref="M39:M44" si="2">J39*L39</f>
        <v>130000</v>
      </c>
    </row>
    <row r="40" spans="1:16" ht="50" customHeight="1" x14ac:dyDescent="0.2">
      <c r="A40" s="145">
        <v>3</v>
      </c>
      <c r="B40" s="209" t="s">
        <v>16</v>
      </c>
      <c r="C40" s="178" t="s">
        <v>240</v>
      </c>
      <c r="D40" s="168" t="e">
        <f>_xlfn.IFNA(VLOOKUP(B40,#REF!,3,FALSE),"")</f>
        <v>#REF!</v>
      </c>
      <c r="E40" s="168" t="e">
        <f>_xlfn.IFNA(VLOOKUP(B40,#REF!,4,FALSE),"")</f>
        <v>#REF!</v>
      </c>
      <c r="F40" s="168" t="e">
        <f>_xlfn.IFNA(VLOOKUP(B40,#REF!,10,FALSE),"")</f>
        <v>#REF!</v>
      </c>
      <c r="G40" s="171" t="e">
        <f>_xlfn.IFNA(VLOOKUP(B40,#REF!,9,FALSE),"")</f>
        <v>#REF!</v>
      </c>
      <c r="H40" s="168" t="e">
        <f>_xlfn.IFNA(VLOOKUP(B40,#REF!,11,FALSE),"")</f>
        <v>#REF!</v>
      </c>
      <c r="I40" s="169"/>
      <c r="J40" s="124">
        <v>1</v>
      </c>
      <c r="K40" s="125" t="s">
        <v>236</v>
      </c>
      <c r="L40" s="126">
        <v>130000</v>
      </c>
      <c r="M40" s="146">
        <f t="shared" si="2"/>
        <v>130000</v>
      </c>
    </row>
    <row r="41" spans="1:16" ht="50" customHeight="1" x14ac:dyDescent="0.2">
      <c r="A41" s="145">
        <v>4</v>
      </c>
      <c r="B41" s="209" t="s">
        <v>9</v>
      </c>
      <c r="C41" s="178" t="s">
        <v>14</v>
      </c>
      <c r="D41" s="168" t="e">
        <f>_xlfn.IFNA(VLOOKUP(B41,#REF!,3,FALSE),"")</f>
        <v>#REF!</v>
      </c>
      <c r="E41" s="168" t="e">
        <f>_xlfn.IFNA(VLOOKUP(B41,#REF!,4,FALSE),"")</f>
        <v>#REF!</v>
      </c>
      <c r="F41" s="168" t="e">
        <f>_xlfn.IFNA(VLOOKUP(B41,#REF!,10,FALSE),"")</f>
        <v>#REF!</v>
      </c>
      <c r="G41" s="171" t="e">
        <f>_xlfn.IFNA(VLOOKUP(B41,#REF!,9,FALSE),"")</f>
        <v>#REF!</v>
      </c>
      <c r="H41" s="168" t="e">
        <f>_xlfn.IFNA(VLOOKUP(B41,#REF!,11,FALSE),"")</f>
        <v>#REF!</v>
      </c>
      <c r="I41" s="169"/>
      <c r="J41" s="124">
        <v>1</v>
      </c>
      <c r="K41" s="125" t="s">
        <v>236</v>
      </c>
      <c r="L41" s="126">
        <v>130000</v>
      </c>
      <c r="M41" s="146">
        <f t="shared" si="2"/>
        <v>130000</v>
      </c>
    </row>
    <row r="42" spans="1:16" ht="50" customHeight="1" x14ac:dyDescent="0.2">
      <c r="A42" s="145">
        <v>5</v>
      </c>
      <c r="B42" s="209" t="s">
        <v>253</v>
      </c>
      <c r="C42" s="178" t="s">
        <v>241</v>
      </c>
      <c r="D42" s="168" t="e">
        <f>_xlfn.IFNA(VLOOKUP(B42,#REF!,3,FALSE),"")</f>
        <v>#REF!</v>
      </c>
      <c r="E42" s="168" t="e">
        <f>_xlfn.IFNA(VLOOKUP(B42,#REF!,4,FALSE),"")</f>
        <v>#REF!</v>
      </c>
      <c r="F42" s="168" t="e">
        <f>_xlfn.IFNA(VLOOKUP(B42,#REF!,10,FALSE),"")</f>
        <v>#REF!</v>
      </c>
      <c r="G42" s="171" t="e">
        <f>_xlfn.IFNA(VLOOKUP(B42,#REF!,9,FALSE),"")</f>
        <v>#REF!</v>
      </c>
      <c r="H42" s="168" t="e">
        <f>_xlfn.IFNA(VLOOKUP(B42,#REF!,11,FALSE),"")</f>
        <v>#REF!</v>
      </c>
      <c r="I42" s="169"/>
      <c r="J42" s="124">
        <v>1</v>
      </c>
      <c r="K42" s="125" t="s">
        <v>236</v>
      </c>
      <c r="L42" s="126">
        <v>130000</v>
      </c>
      <c r="M42" s="146">
        <f t="shared" si="2"/>
        <v>130000</v>
      </c>
    </row>
    <row r="43" spans="1:16" ht="50" customHeight="1" x14ac:dyDescent="0.2">
      <c r="A43" s="145">
        <v>6</v>
      </c>
      <c r="B43" s="209" t="s">
        <v>282</v>
      </c>
      <c r="C43" s="178" t="s">
        <v>241</v>
      </c>
      <c r="D43" s="168" t="e">
        <f>_xlfn.IFNA(VLOOKUP(B43,#REF!,3,FALSE),"")</f>
        <v>#REF!</v>
      </c>
      <c r="E43" s="168" t="e">
        <f>_xlfn.IFNA(VLOOKUP(B43,#REF!,4,FALSE),"")</f>
        <v>#REF!</v>
      </c>
      <c r="F43" s="168" t="e">
        <f>_xlfn.IFNA(VLOOKUP(B43,#REF!,10,FALSE),"")</f>
        <v>#REF!</v>
      </c>
      <c r="G43" s="171" t="e">
        <f>_xlfn.IFNA(VLOOKUP(B43,#REF!,9,FALSE),"")</f>
        <v>#REF!</v>
      </c>
      <c r="H43" s="168" t="e">
        <f>_xlfn.IFNA(VLOOKUP(B43,#REF!,11,FALSE),"")</f>
        <v>#REF!</v>
      </c>
      <c r="I43" s="169"/>
      <c r="J43" s="124">
        <v>1</v>
      </c>
      <c r="K43" s="125" t="s">
        <v>236</v>
      </c>
      <c r="L43" s="126">
        <v>130000</v>
      </c>
      <c r="M43" s="146">
        <f t="shared" si="2"/>
        <v>130000</v>
      </c>
    </row>
    <row r="44" spans="1:16" ht="50" customHeight="1" thickBot="1" x14ac:dyDescent="0.25">
      <c r="A44" s="145">
        <v>7</v>
      </c>
      <c r="B44" s="209" t="s">
        <v>10</v>
      </c>
      <c r="C44" s="178" t="s">
        <v>241</v>
      </c>
      <c r="D44" s="168" t="e">
        <f>_xlfn.IFNA(VLOOKUP(B44,#REF!,3,FALSE),"")</f>
        <v>#REF!</v>
      </c>
      <c r="E44" s="168" t="e">
        <f>_xlfn.IFNA(VLOOKUP(B44,#REF!,4,FALSE),"")</f>
        <v>#REF!</v>
      </c>
      <c r="F44" s="168" t="e">
        <f>_xlfn.IFNA(VLOOKUP(B44,#REF!,10,FALSE),"")</f>
        <v>#REF!</v>
      </c>
      <c r="G44" s="171" t="e">
        <f>_xlfn.IFNA(VLOOKUP(B44,#REF!,9,FALSE),"")</f>
        <v>#REF!</v>
      </c>
      <c r="H44" s="168" t="e">
        <f>_xlfn.IFNA(VLOOKUP(B44,#REF!,11,FALSE),"")</f>
        <v>#REF!</v>
      </c>
      <c r="I44" s="169"/>
      <c r="J44" s="124">
        <v>1</v>
      </c>
      <c r="K44" s="125" t="s">
        <v>236</v>
      </c>
      <c r="L44" s="126">
        <v>130000</v>
      </c>
      <c r="M44" s="146">
        <f t="shared" si="2"/>
        <v>130000</v>
      </c>
    </row>
    <row r="45" spans="1:16" ht="25" customHeight="1" thickBot="1" x14ac:dyDescent="0.25">
      <c r="A45" s="263" t="s">
        <v>175</v>
      </c>
      <c r="B45" s="263"/>
      <c r="C45" s="263"/>
      <c r="D45" s="263"/>
      <c r="E45" s="263"/>
      <c r="F45" s="263"/>
      <c r="G45" s="263"/>
      <c r="H45" s="263"/>
      <c r="I45" s="263"/>
      <c r="J45" s="175"/>
      <c r="K45" s="147"/>
      <c r="L45" s="148"/>
      <c r="M45" s="218">
        <f>SUM(M38:M44)</f>
        <v>910000</v>
      </c>
    </row>
    <row r="46" spans="1:16" ht="6" customHeight="1" x14ac:dyDescent="0.2">
      <c r="A46" s="219"/>
      <c r="B46" s="219"/>
      <c r="C46" s="219"/>
      <c r="D46" s="219"/>
      <c r="E46" s="219"/>
      <c r="F46" s="219"/>
      <c r="G46" s="219"/>
      <c r="H46" s="219"/>
      <c r="I46" s="219"/>
      <c r="J46" s="220"/>
      <c r="K46" s="221"/>
      <c r="L46" s="222"/>
      <c r="M46" s="223"/>
    </row>
    <row r="47" spans="1:16" ht="21.75" customHeight="1" x14ac:dyDescent="0.2"/>
    <row r="48" spans="1:16" ht="20" thickBot="1" x14ac:dyDescent="0.3">
      <c r="A48" s="149" t="s">
        <v>263</v>
      </c>
      <c r="B48" s="225" t="s">
        <v>283</v>
      </c>
      <c r="C48" s="121"/>
      <c r="D48" s="121"/>
      <c r="E48" s="121"/>
      <c r="F48" s="129"/>
      <c r="G48" s="121"/>
      <c r="H48" s="121"/>
      <c r="I48" s="121"/>
      <c r="J48" s="130"/>
      <c r="K48" s="131"/>
      <c r="L48" s="121"/>
      <c r="M48" s="121"/>
    </row>
    <row r="49" spans="1:17" ht="35" thickTop="1" x14ac:dyDescent="0.2">
      <c r="A49" s="141" t="s">
        <v>54</v>
      </c>
      <c r="B49" s="197" t="s">
        <v>244</v>
      </c>
      <c r="C49" s="142" t="s">
        <v>229</v>
      </c>
      <c r="D49" s="142" t="s">
        <v>55</v>
      </c>
      <c r="E49" s="142" t="s">
        <v>56</v>
      </c>
      <c r="F49" s="142" t="s">
        <v>230</v>
      </c>
      <c r="G49" s="142" t="s">
        <v>231</v>
      </c>
      <c r="H49" s="142" t="s">
        <v>232</v>
      </c>
      <c r="I49" s="142" t="s">
        <v>233</v>
      </c>
      <c r="J49" s="207" t="s">
        <v>234</v>
      </c>
      <c r="K49" s="208" t="s">
        <v>57</v>
      </c>
      <c r="L49" s="207" t="s">
        <v>235</v>
      </c>
      <c r="M49" s="173" t="s">
        <v>243</v>
      </c>
    </row>
    <row r="50" spans="1:17" ht="50" customHeight="1" x14ac:dyDescent="0.2">
      <c r="A50" s="203">
        <v>1</v>
      </c>
      <c r="B50" s="210" t="s">
        <v>15</v>
      </c>
      <c r="C50" s="123" t="s">
        <v>239</v>
      </c>
      <c r="D50" s="181" t="e">
        <f>_xlfn.IFNA(VLOOKUP(B50,#REF!,3,FALSE),"")</f>
        <v>#REF!</v>
      </c>
      <c r="E50" s="181" t="e">
        <f>_xlfn.IFNA(VLOOKUP(B50,#REF!,4,FALSE),"")</f>
        <v>#REF!</v>
      </c>
      <c r="F50" s="181" t="e">
        <f>_xlfn.IFNA(VLOOKUP(B50,#REF!,10,FALSE),"")</f>
        <v>#REF!</v>
      </c>
      <c r="G50" s="182" t="e">
        <f>_xlfn.IFNA(VLOOKUP(B50,#REF!,9,FALSE),"")</f>
        <v>#REF!</v>
      </c>
      <c r="H50" s="181" t="e">
        <f>_xlfn.IFNA(VLOOKUP(B50,#REF!,11,FALSE),"")</f>
        <v>#REF!</v>
      </c>
      <c r="I50" s="211"/>
      <c r="J50" s="204">
        <v>1</v>
      </c>
      <c r="K50" s="205" t="s">
        <v>236</v>
      </c>
      <c r="L50" s="206">
        <v>170000</v>
      </c>
      <c r="M50" s="146">
        <f>J50*L50</f>
        <v>170000</v>
      </c>
    </row>
    <row r="51" spans="1:17" ht="50" customHeight="1" x14ac:dyDescent="0.2">
      <c r="A51" s="145">
        <v>2</v>
      </c>
      <c r="B51" s="209" t="s">
        <v>253</v>
      </c>
      <c r="C51" s="123" t="s">
        <v>241</v>
      </c>
      <c r="D51" s="168" t="e">
        <f>_xlfn.IFNA(VLOOKUP(B51,#REF!,3,FALSE),"")</f>
        <v>#REF!</v>
      </c>
      <c r="E51" s="168" t="e">
        <f>_xlfn.IFNA(VLOOKUP(B51,#REF!,4,FALSE),"")</f>
        <v>#REF!</v>
      </c>
      <c r="F51" s="168" t="e">
        <f>_xlfn.IFNA(VLOOKUP(B51,#REF!,10,FALSE),"")</f>
        <v>#REF!</v>
      </c>
      <c r="G51" s="171" t="e">
        <f>_xlfn.IFNA(VLOOKUP(B51,#REF!,9,FALSE),"")</f>
        <v>#REF!</v>
      </c>
      <c r="H51" s="168" t="e">
        <f>_xlfn.IFNA(VLOOKUP(B51,#REF!,11,FALSE),"")</f>
        <v>#REF!</v>
      </c>
      <c r="I51" s="127"/>
      <c r="J51" s="124">
        <v>1</v>
      </c>
      <c r="K51" s="125" t="s">
        <v>236</v>
      </c>
      <c r="L51" s="206">
        <v>170000</v>
      </c>
      <c r="M51" s="146">
        <f>J51*L51</f>
        <v>170000</v>
      </c>
    </row>
    <row r="52" spans="1:17" ht="25" customHeight="1" thickBot="1" x14ac:dyDescent="0.25">
      <c r="A52" s="260" t="s">
        <v>175</v>
      </c>
      <c r="B52" s="261"/>
      <c r="C52" s="261"/>
      <c r="D52" s="261"/>
      <c r="E52" s="261"/>
      <c r="F52" s="261"/>
      <c r="G52" s="261"/>
      <c r="H52" s="261"/>
      <c r="I52" s="262"/>
      <c r="J52" s="175"/>
      <c r="K52" s="176"/>
      <c r="L52" s="177"/>
      <c r="M52" s="217">
        <f>SUM(M50:M51)</f>
        <v>340000</v>
      </c>
    </row>
    <row r="53" spans="1:17" s="180" customFormat="1" ht="16" customHeight="1" x14ac:dyDescent="0.2">
      <c r="A53" s="179"/>
      <c r="B53" s="179"/>
      <c r="C53" s="179"/>
      <c r="D53" s="179"/>
      <c r="E53" s="179"/>
      <c r="F53" s="179"/>
      <c r="G53" s="179"/>
      <c r="H53" s="179"/>
      <c r="I53" s="179"/>
      <c r="J53" s="150"/>
      <c r="K53" s="151"/>
      <c r="L53" s="152"/>
      <c r="M53" s="153"/>
    </row>
    <row r="54" spans="1:17" s="180" customFormat="1" ht="20" thickBot="1" x14ac:dyDescent="0.3">
      <c r="A54" s="149" t="s">
        <v>264</v>
      </c>
      <c r="B54" s="225" t="s">
        <v>284</v>
      </c>
      <c r="C54" s="121"/>
      <c r="D54" s="121"/>
      <c r="E54" s="121"/>
      <c r="F54" s="129"/>
      <c r="G54" s="121"/>
      <c r="H54" s="121"/>
      <c r="I54" s="121"/>
      <c r="J54" s="130"/>
      <c r="K54" s="131"/>
      <c r="L54" s="121"/>
      <c r="M54" s="121"/>
    </row>
    <row r="55" spans="1:17" s="180" customFormat="1" ht="32.25" customHeight="1" thickTop="1" x14ac:dyDescent="0.2">
      <c r="A55" s="141" t="s">
        <v>54</v>
      </c>
      <c r="B55" s="197" t="s">
        <v>244</v>
      </c>
      <c r="C55" s="142" t="s">
        <v>229</v>
      </c>
      <c r="D55" s="142" t="s">
        <v>55</v>
      </c>
      <c r="E55" s="142" t="s">
        <v>56</v>
      </c>
      <c r="F55" s="142" t="s">
        <v>230</v>
      </c>
      <c r="G55" s="142" t="s">
        <v>231</v>
      </c>
      <c r="H55" s="142" t="s">
        <v>232</v>
      </c>
      <c r="I55" s="142" t="s">
        <v>233</v>
      </c>
      <c r="J55" s="207" t="s">
        <v>234</v>
      </c>
      <c r="K55" s="208" t="s">
        <v>57</v>
      </c>
      <c r="L55" s="207" t="s">
        <v>235</v>
      </c>
      <c r="M55" s="173" t="s">
        <v>243</v>
      </c>
    </row>
    <row r="56" spans="1:17" s="180" customFormat="1" ht="50" customHeight="1" x14ac:dyDescent="0.2">
      <c r="A56" s="203">
        <v>1</v>
      </c>
      <c r="B56" s="210" t="s">
        <v>16</v>
      </c>
      <c r="C56" s="123" t="s">
        <v>240</v>
      </c>
      <c r="D56" s="181" t="e">
        <f>_xlfn.IFNA(VLOOKUP(B56,#REF!,3,FALSE),"")</f>
        <v>#REF!</v>
      </c>
      <c r="E56" s="181" t="e">
        <f>_xlfn.IFNA(VLOOKUP(B56,#REF!,4,FALSE),"")</f>
        <v>#REF!</v>
      </c>
      <c r="F56" s="181" t="e">
        <f>_xlfn.IFNA(VLOOKUP(B56,#REF!,10,FALSE),"")</f>
        <v>#REF!</v>
      </c>
      <c r="G56" s="182" t="e">
        <f>_xlfn.IFNA(VLOOKUP(B56,#REF!,9,FALSE),"")</f>
        <v>#REF!</v>
      </c>
      <c r="H56" s="181" t="e">
        <f>_xlfn.IFNA(VLOOKUP(B56,#REF!,11,FALSE),"")</f>
        <v>#REF!</v>
      </c>
      <c r="I56" s="211"/>
      <c r="J56" s="204">
        <v>1</v>
      </c>
      <c r="K56" s="205" t="s">
        <v>236</v>
      </c>
      <c r="L56" s="206">
        <v>170000</v>
      </c>
      <c r="M56" s="146">
        <f>J56*L56</f>
        <v>170000</v>
      </c>
    </row>
    <row r="57" spans="1:17" s="180" customFormat="1" ht="50" customHeight="1" x14ac:dyDescent="0.2">
      <c r="A57" s="145">
        <v>2</v>
      </c>
      <c r="B57" s="209" t="s">
        <v>9</v>
      </c>
      <c r="C57" s="123" t="s">
        <v>14</v>
      </c>
      <c r="D57" s="168" t="e">
        <f>_xlfn.IFNA(VLOOKUP(B57,#REF!,3,FALSE),"")</f>
        <v>#REF!</v>
      </c>
      <c r="E57" s="168" t="e">
        <f>_xlfn.IFNA(VLOOKUP(B57,#REF!,4,FALSE),"")</f>
        <v>#REF!</v>
      </c>
      <c r="F57" s="168" t="e">
        <f>_xlfn.IFNA(VLOOKUP(B57,#REF!,10,FALSE),"")</f>
        <v>#REF!</v>
      </c>
      <c r="G57" s="171" t="e">
        <f>_xlfn.IFNA(VLOOKUP(B57,#REF!,9,FALSE),"")</f>
        <v>#REF!</v>
      </c>
      <c r="H57" s="168" t="e">
        <f>_xlfn.IFNA(VLOOKUP(B57,#REF!,11,FALSE),"")</f>
        <v>#REF!</v>
      </c>
      <c r="I57" s="127"/>
      <c r="J57" s="124">
        <v>1</v>
      </c>
      <c r="K57" s="125" t="s">
        <v>236</v>
      </c>
      <c r="L57" s="206">
        <v>170000</v>
      </c>
      <c r="M57" s="146">
        <f>J57*L57</f>
        <v>170000</v>
      </c>
    </row>
    <row r="58" spans="1:17" s="180" customFormat="1" ht="25" customHeight="1" thickBot="1" x14ac:dyDescent="0.25">
      <c r="A58" s="260" t="s">
        <v>175</v>
      </c>
      <c r="B58" s="261"/>
      <c r="C58" s="261"/>
      <c r="D58" s="261"/>
      <c r="E58" s="261"/>
      <c r="F58" s="261"/>
      <c r="G58" s="261"/>
      <c r="H58" s="261"/>
      <c r="I58" s="262"/>
      <c r="J58" s="175"/>
      <c r="K58" s="176"/>
      <c r="L58" s="177"/>
      <c r="M58" s="217">
        <f>SUM(M56:M57)</f>
        <v>340000</v>
      </c>
    </row>
    <row r="59" spans="1:17" s="180" customFormat="1" x14ac:dyDescent="0.2">
      <c r="A59" s="179"/>
      <c r="B59" s="179"/>
      <c r="C59" s="179"/>
      <c r="D59" s="179"/>
      <c r="E59" s="179"/>
      <c r="F59" s="179"/>
      <c r="G59" s="179"/>
      <c r="H59" s="179"/>
      <c r="I59" s="179"/>
      <c r="J59" s="150"/>
      <c r="K59" s="151"/>
      <c r="L59" s="152"/>
      <c r="M59" s="153"/>
    </row>
    <row r="60" spans="1:17" ht="7.5" customHeight="1" x14ac:dyDescent="0.2">
      <c r="A60" s="188"/>
      <c r="B60" s="189"/>
      <c r="C60" s="188"/>
      <c r="D60" s="190"/>
      <c r="E60" s="190"/>
      <c r="F60" s="190"/>
      <c r="G60" s="191"/>
      <c r="H60" s="190"/>
      <c r="I60" s="154"/>
      <c r="J60" s="150"/>
      <c r="K60" s="151"/>
      <c r="L60" s="152"/>
      <c r="M60" s="153"/>
    </row>
    <row r="61" spans="1:17" x14ac:dyDescent="0.2">
      <c r="Q61" s="174"/>
    </row>
    <row r="62" spans="1:17" x14ac:dyDescent="0.2">
      <c r="A62" t="s">
        <v>280</v>
      </c>
      <c r="B62" t="s">
        <v>265</v>
      </c>
    </row>
    <row r="63" spans="1:17" ht="32" customHeight="1" x14ac:dyDescent="0.2">
      <c r="A63" s="226" t="s">
        <v>54</v>
      </c>
      <c r="B63" s="226" t="s">
        <v>245</v>
      </c>
      <c r="C63" s="226" t="s">
        <v>234</v>
      </c>
      <c r="D63" s="226" t="s">
        <v>266</v>
      </c>
      <c r="E63" s="226" t="s">
        <v>235</v>
      </c>
      <c r="F63" s="226" t="s">
        <v>243</v>
      </c>
    </row>
    <row r="64" spans="1:17" ht="50" customHeight="1" x14ac:dyDescent="0.2">
      <c r="A64" s="227">
        <v>1</v>
      </c>
      <c r="B64" s="227" t="s">
        <v>251</v>
      </c>
      <c r="C64" s="227">
        <v>300</v>
      </c>
      <c r="D64" s="227" t="s">
        <v>267</v>
      </c>
      <c r="E64" s="228">
        <v>57000</v>
      </c>
      <c r="F64" s="230">
        <f>C64*E64</f>
        <v>17100000</v>
      </c>
      <c r="H64" s="174"/>
    </row>
    <row r="65" spans="1:9" ht="50" customHeight="1" x14ac:dyDescent="0.2">
      <c r="A65" s="227">
        <v>2</v>
      </c>
      <c r="B65" s="227" t="s">
        <v>250</v>
      </c>
      <c r="C65" s="227">
        <v>300</v>
      </c>
      <c r="D65" s="227" t="s">
        <v>267</v>
      </c>
      <c r="E65" s="228">
        <v>24000</v>
      </c>
      <c r="F65" s="230">
        <f>C65*E65</f>
        <v>7200000</v>
      </c>
    </row>
    <row r="66" spans="1:9" ht="20" thickBot="1" x14ac:dyDescent="0.3">
      <c r="A66" s="249" t="s">
        <v>175</v>
      </c>
      <c r="B66" s="250"/>
      <c r="C66" s="250"/>
      <c r="D66" s="250"/>
      <c r="E66" s="251"/>
      <c r="F66" s="229">
        <f>SUM(F64:F65)</f>
        <v>24300000</v>
      </c>
      <c r="I66" s="186"/>
    </row>
    <row r="69" spans="1:9" x14ac:dyDescent="0.2">
      <c r="I69" s="187"/>
    </row>
    <row r="75" spans="1:9" x14ac:dyDescent="0.2">
      <c r="H75" s="186"/>
    </row>
  </sheetData>
  <mergeCells count="11">
    <mergeCell ref="A66:E66"/>
    <mergeCell ref="A24:I24"/>
    <mergeCell ref="A8:I8"/>
    <mergeCell ref="A1:M1"/>
    <mergeCell ref="B2:M2"/>
    <mergeCell ref="A52:I52"/>
    <mergeCell ref="A34:I34"/>
    <mergeCell ref="A45:I45"/>
    <mergeCell ref="A13:I13"/>
    <mergeCell ref="B3:M3"/>
    <mergeCell ref="A58:I58"/>
  </mergeCells>
  <pageMargins left="0.43307086614173229" right="0.35433070866141736" top="0.74803149606299213" bottom="0.74803149606299213" header="0.31496062992125984" footer="0.31496062992125984"/>
  <pageSetup scale="60" fitToHeight="0" orientation="landscape" useFirstPageNumber="1" horizontalDpi="360" verticalDpi="36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F7D5BBFD-630D-408A-BB88-16A273EE465C}">
          <x14:formula1>
            <xm:f>#REF!</xm:f>
          </x14:formula1>
          <xm:sqref>C60 C7 C17:C23 C28:C33 C50:C51 C56:C57 C38:C44</xm:sqref>
        </x14:dataValidation>
        <x14:dataValidation type="list" allowBlank="1" showInputMessage="1" showErrorMessage="1" xr:uid="{D56B2F79-BB30-4171-814D-7BF4ACA8AC23}">
          <x14:formula1>
            <xm:f>#REF!</xm:f>
          </x14:formula1>
          <xm:sqref>B60 B7 B17:B23 B50:B51 B56:B57 B12 B28:B33 B38:B44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A1:R25"/>
  <sheetViews>
    <sheetView zoomScaleNormal="100" workbookViewId="0">
      <selection activeCell="L22" sqref="L22"/>
    </sheetView>
  </sheetViews>
  <sheetFormatPr baseColWidth="10" defaultColWidth="8.83203125" defaultRowHeight="15.5" customHeight="1" x14ac:dyDescent="0.2"/>
  <cols>
    <col min="1" max="1" width="4.33203125" customWidth="1"/>
    <col min="2" max="2" width="16.6640625" customWidth="1"/>
    <col min="3" max="3" width="19.6640625" customWidth="1"/>
    <col min="4" max="4" width="18" customWidth="1"/>
    <col min="5" max="5" width="8.1640625" customWidth="1"/>
    <col min="6" max="6" width="12" customWidth="1"/>
    <col min="7" max="7" width="6" customWidth="1"/>
    <col min="8" max="8" width="11.1640625" customWidth="1"/>
    <col min="9" max="9" width="12.6640625" customWidth="1"/>
    <col min="10" max="10" width="7.1640625" customWidth="1"/>
    <col min="11" max="11" width="10.6640625" customWidth="1"/>
    <col min="12" max="12" width="12.1640625" customWidth="1"/>
    <col min="13" max="13" width="10.6640625" customWidth="1"/>
    <col min="14" max="14" width="3.6640625" customWidth="1"/>
    <col min="15" max="17" width="9.1640625" customWidth="1"/>
    <col min="18" max="18" width="75.6640625" customWidth="1"/>
    <col min="19" max="19" width="9.1640625" customWidth="1"/>
  </cols>
  <sheetData>
    <row r="1" spans="1:18" ht="15" customHeight="1" x14ac:dyDescent="0.2">
      <c r="A1" s="4" t="s">
        <v>61</v>
      </c>
    </row>
    <row r="2" spans="1:18" ht="17.25" customHeight="1" x14ac:dyDescent="0.2">
      <c r="A2" s="5" t="s">
        <v>62</v>
      </c>
      <c r="Q2" s="6" t="s">
        <v>63</v>
      </c>
      <c r="R2" s="7"/>
    </row>
    <row r="3" spans="1:18" ht="16" x14ac:dyDescent="0.2">
      <c r="A3" s="8" t="s">
        <v>64</v>
      </c>
      <c r="B3" s="9"/>
      <c r="C3" s="9"/>
      <c r="D3" s="9"/>
      <c r="Q3" s="10" t="s">
        <v>65</v>
      </c>
      <c r="R3" s="11"/>
    </row>
    <row r="4" spans="1:18" ht="16" x14ac:dyDescent="0.2">
      <c r="A4" s="281" t="s">
        <v>66</v>
      </c>
      <c r="B4" s="281"/>
      <c r="C4" s="281"/>
      <c r="D4" s="281"/>
      <c r="E4" s="281"/>
      <c r="F4" s="281"/>
      <c r="G4" s="281"/>
      <c r="H4" s="281"/>
      <c r="I4" s="281"/>
      <c r="J4" s="281"/>
      <c r="K4" s="281"/>
      <c r="L4" s="281"/>
      <c r="M4" s="281"/>
      <c r="Q4" s="10" t="s">
        <v>67</v>
      </c>
      <c r="R4" s="11"/>
    </row>
    <row r="5" spans="1:18" ht="16" x14ac:dyDescent="0.2">
      <c r="A5" s="281" t="s">
        <v>68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Q5" s="10" t="s">
        <v>69</v>
      </c>
      <c r="R5" s="11"/>
    </row>
    <row r="6" spans="1:18" ht="16" x14ac:dyDescent="0.2">
      <c r="A6" s="281" t="s">
        <v>70</v>
      </c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Q6" s="12" t="s">
        <v>4</v>
      </c>
      <c r="R6" s="11" t="s">
        <v>71</v>
      </c>
    </row>
    <row r="7" spans="1:18" ht="16" x14ac:dyDescent="0.2">
      <c r="A7" s="281" t="s">
        <v>72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Q7" s="13" t="s">
        <v>4</v>
      </c>
      <c r="R7" s="11" t="s">
        <v>73</v>
      </c>
    </row>
    <row r="8" spans="1:18" ht="16" x14ac:dyDescent="0.2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Q8" s="13" t="s">
        <v>4</v>
      </c>
      <c r="R8" s="11" t="s">
        <v>74</v>
      </c>
    </row>
    <row r="9" spans="1:18" s="14" customFormat="1" ht="18.75" customHeight="1" x14ac:dyDescent="0.2">
      <c r="A9" s="284" t="s">
        <v>75</v>
      </c>
      <c r="B9" s="284" t="s">
        <v>76</v>
      </c>
      <c r="C9" s="284" t="s">
        <v>55</v>
      </c>
      <c r="D9" s="284" t="s">
        <v>56</v>
      </c>
      <c r="E9" s="285" t="s">
        <v>77</v>
      </c>
      <c r="F9" s="285" t="s">
        <v>78</v>
      </c>
      <c r="G9" s="282" t="s">
        <v>58</v>
      </c>
      <c r="H9" s="282"/>
      <c r="I9" s="282"/>
      <c r="J9" s="283" t="s">
        <v>79</v>
      </c>
      <c r="K9" s="283"/>
      <c r="L9" s="285" t="s">
        <v>80</v>
      </c>
      <c r="M9" s="285" t="s">
        <v>81</v>
      </c>
      <c r="Q9" s="13" t="s">
        <v>4</v>
      </c>
      <c r="R9" s="11" t="s">
        <v>82</v>
      </c>
    </row>
    <row r="10" spans="1:18" s="14" customFormat="1" ht="28.5" customHeight="1" x14ac:dyDescent="0.2">
      <c r="A10" s="284"/>
      <c r="B10" s="284"/>
      <c r="C10" s="284"/>
      <c r="D10" s="284"/>
      <c r="E10" s="285"/>
      <c r="F10" s="285"/>
      <c r="G10" s="16" t="s">
        <v>83</v>
      </c>
      <c r="H10" s="17" t="s">
        <v>84</v>
      </c>
      <c r="I10" s="16" t="s">
        <v>85</v>
      </c>
      <c r="J10" s="16" t="s">
        <v>86</v>
      </c>
      <c r="K10" s="17" t="s">
        <v>87</v>
      </c>
      <c r="L10" s="285"/>
      <c r="M10" s="285"/>
      <c r="Q10" s="18" t="s">
        <v>4</v>
      </c>
      <c r="R10" s="19" t="s">
        <v>88</v>
      </c>
    </row>
    <row r="11" spans="1:18" s="14" customFormat="1" ht="15" customHeight="1" x14ac:dyDescent="0.2">
      <c r="A11" s="17" t="s">
        <v>89</v>
      </c>
      <c r="B11" s="17" t="s">
        <v>90</v>
      </c>
      <c r="C11" s="17" t="s">
        <v>91</v>
      </c>
      <c r="D11" s="17" t="s">
        <v>92</v>
      </c>
      <c r="E11" s="16" t="s">
        <v>93</v>
      </c>
      <c r="F11" s="16" t="s">
        <v>94</v>
      </c>
      <c r="G11" s="17" t="s">
        <v>95</v>
      </c>
      <c r="H11" s="17" t="s">
        <v>96</v>
      </c>
      <c r="I11" s="17" t="s">
        <v>97</v>
      </c>
      <c r="J11" s="17" t="s">
        <v>98</v>
      </c>
      <c r="K11" s="17" t="s">
        <v>99</v>
      </c>
      <c r="L11" s="17" t="s">
        <v>100</v>
      </c>
      <c r="M11" s="17" t="s">
        <v>101</v>
      </c>
    </row>
    <row r="12" spans="1:18" s="20" customFormat="1" ht="25" customHeight="1" x14ac:dyDescent="0.2">
      <c r="A12" s="21">
        <v>1</v>
      </c>
      <c r="B12" s="22"/>
      <c r="C12" s="23"/>
      <c r="D12" s="24"/>
      <c r="E12" s="25"/>
      <c r="F12" s="25"/>
      <c r="G12" s="26"/>
      <c r="H12" s="27"/>
      <c r="I12" s="27"/>
      <c r="J12" s="28"/>
      <c r="K12" s="27"/>
      <c r="L12" s="27"/>
      <c r="M12" s="29"/>
    </row>
    <row r="13" spans="1:18" s="20" customFormat="1" ht="25" customHeight="1" x14ac:dyDescent="0.2">
      <c r="A13" s="17"/>
      <c r="B13" s="17" t="s">
        <v>102</v>
      </c>
      <c r="C13" s="17"/>
      <c r="D13" s="17"/>
      <c r="E13" s="17"/>
      <c r="F13" s="17"/>
      <c r="G13" s="30">
        <v>0</v>
      </c>
      <c r="H13" s="31"/>
      <c r="I13" s="31">
        <v>0</v>
      </c>
      <c r="J13" s="31">
        <v>0</v>
      </c>
      <c r="K13" s="31">
        <v>0</v>
      </c>
      <c r="L13" s="31">
        <v>0</v>
      </c>
      <c r="M13" s="17"/>
    </row>
    <row r="14" spans="1:18" s="32" customFormat="1" ht="25" customHeight="1" x14ac:dyDescent="0.2">
      <c r="A14" s="33" t="s">
        <v>103</v>
      </c>
      <c r="B14" s="33" t="s">
        <v>103</v>
      </c>
      <c r="C14" s="34"/>
      <c r="D14" s="35" t="e">
        <v>#NAME?</v>
      </c>
      <c r="E14" s="35"/>
      <c r="F14" s="35"/>
      <c r="G14" s="35"/>
      <c r="H14" s="35"/>
      <c r="I14" s="35"/>
      <c r="J14" s="35"/>
      <c r="K14" s="35"/>
      <c r="L14" s="35"/>
      <c r="M14" s="36"/>
    </row>
    <row r="15" spans="1:18" ht="25" customHeight="1" x14ac:dyDescent="0.2"/>
    <row r="16" spans="1:18" ht="25" customHeight="1" x14ac:dyDescent="0.2">
      <c r="A16" s="37" t="s">
        <v>104</v>
      </c>
    </row>
    <row r="17" spans="1:12" ht="25" customHeight="1" x14ac:dyDescent="0.2">
      <c r="K17" s="38" t="s">
        <v>52</v>
      </c>
      <c r="L17" s="38"/>
    </row>
    <row r="18" spans="1:12" ht="25" customHeight="1" x14ac:dyDescent="0.2">
      <c r="A18" s="39" t="s">
        <v>105</v>
      </c>
      <c r="D18" s="2"/>
      <c r="E18" s="3" t="s">
        <v>106</v>
      </c>
      <c r="G18" s="2"/>
      <c r="H18" s="2"/>
      <c r="I18" s="2"/>
      <c r="J18" s="2"/>
      <c r="K18" s="39"/>
      <c r="L18" s="39"/>
    </row>
    <row r="19" spans="1:12" ht="25" customHeight="1" x14ac:dyDescent="0.2">
      <c r="A19" s="39" t="s">
        <v>107</v>
      </c>
      <c r="D19" s="2"/>
      <c r="E19" s="3" t="s">
        <v>108</v>
      </c>
      <c r="G19" s="2"/>
      <c r="H19" s="2"/>
      <c r="I19" s="2"/>
      <c r="J19" s="2"/>
      <c r="K19" s="32" t="s">
        <v>109</v>
      </c>
      <c r="L19" s="32"/>
    </row>
    <row r="20" spans="1:12" ht="25" customHeight="1" x14ac:dyDescent="0.2">
      <c r="A20" s="39" t="s">
        <v>53</v>
      </c>
      <c r="D20" s="2"/>
      <c r="E20" s="3"/>
      <c r="G20" s="2"/>
      <c r="H20" s="2"/>
      <c r="I20" s="2"/>
      <c r="J20" s="2"/>
      <c r="K20" s="32"/>
      <c r="L20" s="32"/>
    </row>
    <row r="21" spans="1:12" ht="25" customHeight="1" x14ac:dyDescent="0.2">
      <c r="D21" s="2"/>
      <c r="E21" s="3"/>
      <c r="G21" s="2"/>
      <c r="H21" s="2"/>
      <c r="I21" s="2"/>
      <c r="J21" s="2"/>
      <c r="K21" s="32"/>
      <c r="L21" s="32"/>
    </row>
    <row r="22" spans="1:12" ht="16" x14ac:dyDescent="0.2">
      <c r="D22" s="2"/>
      <c r="E22" s="3"/>
      <c r="G22" s="2"/>
      <c r="H22" s="2"/>
      <c r="I22" s="2"/>
      <c r="J22" s="2"/>
      <c r="K22" s="32"/>
      <c r="L22" s="32"/>
    </row>
    <row r="23" spans="1:12" ht="16" x14ac:dyDescent="0.2">
      <c r="A23" s="40" t="s">
        <v>8</v>
      </c>
      <c r="B23" s="39"/>
      <c r="D23" s="2"/>
      <c r="E23" s="41" t="s">
        <v>5</v>
      </c>
      <c r="G23" s="41"/>
      <c r="H23" s="2"/>
      <c r="I23" s="2"/>
      <c r="J23" s="2"/>
      <c r="K23" s="41" t="s">
        <v>110</v>
      </c>
      <c r="L23" s="41"/>
    </row>
    <row r="24" spans="1:12" ht="16" x14ac:dyDescent="0.2">
      <c r="A24" s="40" t="s">
        <v>111</v>
      </c>
      <c r="B24" s="39"/>
      <c r="D24" s="2"/>
      <c r="E24" s="42" t="s">
        <v>112</v>
      </c>
      <c r="G24" s="42"/>
      <c r="H24" s="2"/>
      <c r="I24" s="2"/>
      <c r="J24" s="2"/>
      <c r="K24" s="42" t="s">
        <v>113</v>
      </c>
      <c r="L24" s="42"/>
    </row>
    <row r="25" spans="1:12" ht="16" x14ac:dyDescent="0.2">
      <c r="D25" s="2"/>
      <c r="E25" s="2"/>
      <c r="F25" s="2"/>
      <c r="G25" s="2"/>
      <c r="H25" s="2"/>
      <c r="I25" s="2"/>
    </row>
  </sheetData>
  <mergeCells count="14">
    <mergeCell ref="A4:M4"/>
    <mergeCell ref="A5:M5"/>
    <mergeCell ref="A6:M6"/>
    <mergeCell ref="A7:M7"/>
    <mergeCell ref="G9:I9"/>
    <mergeCell ref="J9:K9"/>
    <mergeCell ref="A9:A10"/>
    <mergeCell ref="B9:B10"/>
    <mergeCell ref="C9:C10"/>
    <mergeCell ref="D9:D10"/>
    <mergeCell ref="E9:E10"/>
    <mergeCell ref="F9:F10"/>
    <mergeCell ref="L9:L10"/>
    <mergeCell ref="M9:M10"/>
  </mergeCells>
  <pageMargins left="0.16" right="0.25" top="0.34055118099999998" bottom="0.143700787" header="0.31496062992126" footer="0.31496062992126"/>
  <pageSetup scale="85" orientation="landscape" useFirstPageNumber="1" horizontalDpi="120" verticalDpi="7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Q28"/>
  <sheetViews>
    <sheetView zoomScaleNormal="100" workbookViewId="0">
      <selection activeCell="Q9" sqref="Q9"/>
    </sheetView>
  </sheetViews>
  <sheetFormatPr baseColWidth="10" defaultColWidth="9.1640625" defaultRowHeight="15.5" customHeight="1" x14ac:dyDescent="0.2"/>
  <cols>
    <col min="1" max="1" width="4.1640625" style="39" customWidth="1"/>
    <col min="2" max="2" width="20.1640625" style="39" customWidth="1"/>
    <col min="3" max="3" width="19.1640625" style="39" customWidth="1"/>
    <col min="4" max="4" width="18.6640625" style="39" customWidth="1"/>
    <col min="5" max="5" width="8.1640625" style="39" customWidth="1"/>
    <col min="6" max="6" width="6" style="39" customWidth="1"/>
    <col min="7" max="7" width="11.1640625" style="39" customWidth="1"/>
    <col min="8" max="8" width="11.6640625" style="39" customWidth="1"/>
    <col min="9" max="9" width="6.1640625" style="39" customWidth="1"/>
    <col min="10" max="10" width="11.6640625" style="39" customWidth="1"/>
    <col min="11" max="11" width="12.1640625" style="39" customWidth="1"/>
    <col min="12" max="12" width="14.6640625" style="39" customWidth="1"/>
    <col min="13" max="13" width="3.6640625" style="39" customWidth="1"/>
    <col min="14" max="16" width="9.1640625" style="39" customWidth="1"/>
    <col min="17" max="17" width="76.83203125" style="39" customWidth="1"/>
    <col min="18" max="18" width="9.1640625" style="39" customWidth="1"/>
    <col min="19" max="16384" width="9.1640625" style="39"/>
  </cols>
  <sheetData>
    <row r="1" spans="1:17" ht="16" x14ac:dyDescent="0.2">
      <c r="A1" s="4" t="s">
        <v>61</v>
      </c>
    </row>
    <row r="2" spans="1:17" ht="17.25" customHeight="1" x14ac:dyDescent="0.2">
      <c r="A2" s="5" t="s">
        <v>62</v>
      </c>
      <c r="P2" s="43" t="s">
        <v>63</v>
      </c>
      <c r="Q2" s="44"/>
    </row>
    <row r="3" spans="1:17" ht="16" x14ac:dyDescent="0.2">
      <c r="A3" s="8" t="s">
        <v>64</v>
      </c>
      <c r="B3" s="8"/>
      <c r="C3" s="8"/>
      <c r="D3" s="8"/>
      <c r="P3" s="45" t="s">
        <v>114</v>
      </c>
      <c r="Q3" s="44"/>
    </row>
    <row r="4" spans="1:17" ht="16" x14ac:dyDescent="0.2">
      <c r="P4" s="45" t="s">
        <v>115</v>
      </c>
      <c r="Q4" s="44"/>
    </row>
    <row r="5" spans="1:17" ht="16" x14ac:dyDescent="0.2">
      <c r="A5" s="281" t="s">
        <v>116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  <c r="L5" s="281"/>
      <c r="M5" s="281"/>
      <c r="N5" s="42"/>
      <c r="O5" s="42"/>
      <c r="P5" s="45" t="s">
        <v>69</v>
      </c>
      <c r="Q5" s="44"/>
    </row>
    <row r="6" spans="1:17" ht="16" x14ac:dyDescent="0.2">
      <c r="A6" s="281" t="s">
        <v>68</v>
      </c>
      <c r="B6" s="281"/>
      <c r="C6" s="281"/>
      <c r="D6" s="281"/>
      <c r="E6" s="281"/>
      <c r="F6" s="281"/>
      <c r="G6" s="281"/>
      <c r="H6" s="281"/>
      <c r="I6" s="281"/>
      <c r="J6" s="281"/>
      <c r="K6" s="281"/>
      <c r="L6" s="281"/>
      <c r="M6" s="281"/>
      <c r="N6" s="42"/>
      <c r="O6" s="42"/>
      <c r="P6" s="46" t="s">
        <v>4</v>
      </c>
      <c r="Q6" s="44" t="s">
        <v>71</v>
      </c>
    </row>
    <row r="7" spans="1:17" ht="16" x14ac:dyDescent="0.2">
      <c r="A7" s="281" t="s">
        <v>70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  <c r="L7" s="281"/>
      <c r="M7" s="281"/>
      <c r="N7" s="42"/>
      <c r="O7" s="42"/>
      <c r="P7" s="47" t="s">
        <v>4</v>
      </c>
      <c r="Q7" s="44" t="s">
        <v>73</v>
      </c>
    </row>
    <row r="8" spans="1:17" ht="16" x14ac:dyDescent="0.2">
      <c r="A8" s="281" t="s">
        <v>72</v>
      </c>
      <c r="B8" s="281"/>
      <c r="C8" s="281"/>
      <c r="D8" s="281"/>
      <c r="E8" s="281"/>
      <c r="F8" s="281"/>
      <c r="G8" s="281"/>
      <c r="H8" s="281"/>
      <c r="I8" s="281"/>
      <c r="J8" s="281"/>
      <c r="K8" s="281"/>
      <c r="L8" s="281"/>
      <c r="M8" s="281"/>
      <c r="N8" s="42"/>
      <c r="O8" s="42"/>
      <c r="P8" s="47" t="s">
        <v>4</v>
      </c>
      <c r="Q8" s="44" t="s">
        <v>74</v>
      </c>
    </row>
    <row r="9" spans="1:17" ht="15.75" customHeight="1" x14ac:dyDescent="0.2">
      <c r="A9" s="48"/>
      <c r="B9" s="48"/>
      <c r="C9" s="48"/>
      <c r="D9" s="48"/>
      <c r="E9" s="48"/>
      <c r="F9" s="48"/>
      <c r="G9" s="48"/>
      <c r="H9" s="48"/>
      <c r="I9" s="48"/>
      <c r="P9" s="47" t="s">
        <v>4</v>
      </c>
      <c r="Q9" s="11" t="s">
        <v>82</v>
      </c>
    </row>
    <row r="10" spans="1:17" s="20" customFormat="1" ht="21" customHeight="1" x14ac:dyDescent="0.2">
      <c r="A10" s="288" t="s">
        <v>75</v>
      </c>
      <c r="B10" s="288" t="s">
        <v>76</v>
      </c>
      <c r="C10" s="288" t="s">
        <v>55</v>
      </c>
      <c r="D10" s="288" t="s">
        <v>56</v>
      </c>
      <c r="E10" s="289" t="s">
        <v>117</v>
      </c>
      <c r="F10" s="286" t="s">
        <v>58</v>
      </c>
      <c r="G10" s="286"/>
      <c r="H10" s="286"/>
      <c r="I10" s="287" t="s">
        <v>79</v>
      </c>
      <c r="J10" s="287"/>
      <c r="K10" s="289" t="s">
        <v>80</v>
      </c>
      <c r="L10" s="288" t="s">
        <v>81</v>
      </c>
      <c r="P10" s="47" t="s">
        <v>4</v>
      </c>
      <c r="Q10" s="19" t="s">
        <v>88</v>
      </c>
    </row>
    <row r="11" spans="1:17" s="20" customFormat="1" ht="30.75" customHeight="1" x14ac:dyDescent="0.2">
      <c r="A11" s="288"/>
      <c r="B11" s="288"/>
      <c r="C11" s="288"/>
      <c r="D11" s="288"/>
      <c r="E11" s="289"/>
      <c r="F11" s="49" t="s">
        <v>118</v>
      </c>
      <c r="G11" s="50" t="s">
        <v>119</v>
      </c>
      <c r="H11" s="49" t="s">
        <v>85</v>
      </c>
      <c r="I11" s="49" t="s">
        <v>120</v>
      </c>
      <c r="J11" s="50" t="s">
        <v>87</v>
      </c>
      <c r="K11" s="289"/>
      <c r="L11" s="288"/>
    </row>
    <row r="12" spans="1:17" s="20" customFormat="1" ht="15" customHeight="1" x14ac:dyDescent="0.2">
      <c r="A12" s="50" t="s">
        <v>89</v>
      </c>
      <c r="B12" s="50" t="s">
        <v>90</v>
      </c>
      <c r="C12" s="50" t="s">
        <v>91</v>
      </c>
      <c r="D12" s="49" t="s">
        <v>92</v>
      </c>
      <c r="E12" s="50" t="s">
        <v>93</v>
      </c>
      <c r="F12" s="50" t="s">
        <v>94</v>
      </c>
      <c r="G12" s="50" t="s">
        <v>95</v>
      </c>
      <c r="H12" s="50" t="s">
        <v>121</v>
      </c>
      <c r="I12" s="50" t="s">
        <v>122</v>
      </c>
      <c r="J12" s="50" t="s">
        <v>123</v>
      </c>
      <c r="K12" s="50" t="s">
        <v>124</v>
      </c>
      <c r="L12" s="50" t="s">
        <v>125</v>
      </c>
    </row>
    <row r="13" spans="1:17" s="20" customFormat="1" ht="30" customHeight="1" x14ac:dyDescent="0.2">
      <c r="A13" s="21">
        <v>1</v>
      </c>
      <c r="B13" s="23"/>
      <c r="C13" s="23" t="e">
        <f>VLOOKUP(B13,#REF!,3,0)</f>
        <v>#REF!</v>
      </c>
      <c r="D13" s="24" t="e">
        <f>VLOOKUP(B13,#REF!,4,0)</f>
        <v>#REF!</v>
      </c>
      <c r="E13" s="25" t="e">
        <f>VLOOKUP(B13,#REF!,5,0)</f>
        <v>#REF!</v>
      </c>
      <c r="F13" s="26"/>
      <c r="G13" s="27"/>
      <c r="H13" s="27">
        <f>G13*F13</f>
        <v>0</v>
      </c>
      <c r="I13" s="28">
        <v>0</v>
      </c>
      <c r="J13" s="27">
        <f>H13*I13</f>
        <v>0</v>
      </c>
      <c r="K13" s="27">
        <f>H13-J13</f>
        <v>0</v>
      </c>
      <c r="L13" s="24" t="str">
        <f>A13&amp;"…...……..…"</f>
        <v>1…...……..…</v>
      </c>
    </row>
    <row r="14" spans="1:17" s="20" customFormat="1" ht="30" customHeight="1" x14ac:dyDescent="0.2">
      <c r="A14" s="50"/>
      <c r="B14" s="50" t="s">
        <v>102</v>
      </c>
      <c r="C14" s="50"/>
      <c r="D14" s="50"/>
      <c r="E14" s="50"/>
      <c r="F14" s="51">
        <v>0</v>
      </c>
      <c r="G14" s="52"/>
      <c r="H14" s="52">
        <v>0</v>
      </c>
      <c r="I14" s="52">
        <v>0</v>
      </c>
      <c r="J14" s="52">
        <v>0</v>
      </c>
      <c r="K14" s="52">
        <v>0</v>
      </c>
      <c r="L14" s="50"/>
    </row>
    <row r="15" spans="1:17" s="32" customFormat="1" ht="30" customHeight="1" x14ac:dyDescent="0.2">
      <c r="A15" s="53" t="s">
        <v>103</v>
      </c>
      <c r="B15" s="53" t="s">
        <v>103</v>
      </c>
      <c r="C15" s="54" t="e">
        <v>#NAME?</v>
      </c>
      <c r="D15" s="55"/>
      <c r="E15" s="55"/>
      <c r="F15" s="55"/>
      <c r="G15" s="55"/>
      <c r="H15" s="55"/>
      <c r="I15" s="55"/>
      <c r="J15" s="55"/>
      <c r="K15" s="55"/>
      <c r="L15" s="56"/>
    </row>
    <row r="16" spans="1:17" ht="30" customHeight="1" x14ac:dyDescent="0.2"/>
    <row r="17" spans="1:12" ht="16" x14ac:dyDescent="0.2">
      <c r="A17" s="57" t="s">
        <v>104</v>
      </c>
    </row>
    <row r="18" spans="1:12" ht="16" x14ac:dyDescent="0.2">
      <c r="K18" s="38" t="s">
        <v>52</v>
      </c>
      <c r="L18" s="38"/>
    </row>
    <row r="19" spans="1:12" ht="16" x14ac:dyDescent="0.2">
      <c r="A19" s="39" t="s">
        <v>105</v>
      </c>
      <c r="C19" s="58"/>
      <c r="D19" s="58"/>
      <c r="E19" s="38" t="s">
        <v>106</v>
      </c>
      <c r="F19" s="58"/>
      <c r="G19" s="58"/>
      <c r="H19" s="58"/>
      <c r="I19" s="58"/>
      <c r="J19" s="58"/>
    </row>
    <row r="20" spans="1:12" ht="16" x14ac:dyDescent="0.2">
      <c r="A20" s="39" t="s">
        <v>107</v>
      </c>
      <c r="C20" s="58"/>
      <c r="D20" s="58"/>
      <c r="E20" s="38" t="s">
        <v>108</v>
      </c>
      <c r="F20" s="58"/>
      <c r="G20" s="58"/>
      <c r="H20" s="58"/>
      <c r="I20" s="58"/>
      <c r="J20" s="58"/>
      <c r="K20" s="32" t="s">
        <v>109</v>
      </c>
      <c r="L20" s="32"/>
    </row>
    <row r="21" spans="1:12" ht="16" x14ac:dyDescent="0.2">
      <c r="A21" s="39" t="s">
        <v>53</v>
      </c>
      <c r="C21" s="58"/>
      <c r="D21" s="58"/>
      <c r="E21" s="38"/>
      <c r="F21" s="58"/>
      <c r="G21" s="58"/>
      <c r="H21" s="58"/>
      <c r="I21" s="58"/>
      <c r="J21" s="58"/>
      <c r="K21" s="32"/>
      <c r="L21" s="32"/>
    </row>
    <row r="22" spans="1:12" ht="16" x14ac:dyDescent="0.2">
      <c r="C22" s="58"/>
      <c r="D22" s="58"/>
      <c r="E22" s="38"/>
      <c r="F22" s="58"/>
      <c r="G22" s="58"/>
      <c r="H22" s="58"/>
      <c r="I22" s="58"/>
      <c r="J22" s="58"/>
      <c r="K22" s="32"/>
      <c r="L22" s="32"/>
    </row>
    <row r="23" spans="1:12" ht="16" x14ac:dyDescent="0.2">
      <c r="C23" s="58"/>
      <c r="D23" s="58"/>
      <c r="E23" s="38"/>
      <c r="F23" s="58"/>
      <c r="G23" s="58"/>
      <c r="H23" s="58"/>
      <c r="I23" s="58"/>
      <c r="J23" s="58"/>
      <c r="K23" s="32"/>
      <c r="L23" s="32"/>
    </row>
    <row r="24" spans="1:12" ht="16" x14ac:dyDescent="0.2">
      <c r="C24" s="58"/>
      <c r="D24" s="58"/>
      <c r="E24" s="38"/>
      <c r="F24" s="58"/>
      <c r="G24" s="58"/>
      <c r="H24" s="58"/>
      <c r="I24" s="58"/>
      <c r="J24" s="58"/>
      <c r="K24" s="32"/>
      <c r="L24" s="32"/>
    </row>
    <row r="25" spans="1:12" ht="16" x14ac:dyDescent="0.2">
      <c r="A25" s="40" t="s">
        <v>8</v>
      </c>
      <c r="C25" s="58"/>
      <c r="D25" s="58"/>
      <c r="E25" s="41" t="s">
        <v>5</v>
      </c>
      <c r="F25" s="41"/>
      <c r="G25" s="58"/>
      <c r="H25" s="58"/>
      <c r="I25" s="58"/>
      <c r="J25" s="58"/>
      <c r="K25" s="41" t="s">
        <v>110</v>
      </c>
      <c r="L25" s="41"/>
    </row>
    <row r="26" spans="1:12" ht="16" x14ac:dyDescent="0.2">
      <c r="A26" s="40" t="s">
        <v>111</v>
      </c>
      <c r="C26" s="58"/>
      <c r="D26" s="58"/>
      <c r="E26" s="42" t="s">
        <v>112</v>
      </c>
      <c r="F26" s="42"/>
      <c r="G26" s="58"/>
      <c r="H26" s="58"/>
      <c r="I26" s="58"/>
      <c r="J26" s="58"/>
      <c r="K26" s="42" t="s">
        <v>113</v>
      </c>
      <c r="L26" s="42"/>
    </row>
    <row r="27" spans="1:12" ht="16" x14ac:dyDescent="0.2">
      <c r="D27" s="59"/>
      <c r="E27" s="59"/>
      <c r="F27" s="59"/>
      <c r="G27" s="59"/>
      <c r="H27" s="59"/>
      <c r="I27" s="58"/>
    </row>
    <row r="28" spans="1:12" ht="16" x14ac:dyDescent="0.2">
      <c r="D28" s="58"/>
      <c r="E28" s="58"/>
      <c r="F28" s="58"/>
      <c r="G28" s="58"/>
      <c r="H28" s="58"/>
      <c r="I28" s="58"/>
    </row>
  </sheetData>
  <mergeCells count="13">
    <mergeCell ref="A5:M5"/>
    <mergeCell ref="A6:M6"/>
    <mergeCell ref="A7:M7"/>
    <mergeCell ref="A8:M8"/>
    <mergeCell ref="F10:H10"/>
    <mergeCell ref="I10:J10"/>
    <mergeCell ref="A10:A11"/>
    <mergeCell ref="B10:B11"/>
    <mergeCell ref="C10:C11"/>
    <mergeCell ref="D10:D11"/>
    <mergeCell ref="E10:E11"/>
    <mergeCell ref="K10:K11"/>
    <mergeCell ref="L10:L11"/>
  </mergeCells>
  <pageMargins left="0.47" right="0.67" top="0.59055118110236204" bottom="0.39370078740157499" header="0.31496062992126" footer="0.31496062992126"/>
  <pageSetup scale="85" orientation="landscape" useFirstPageNumber="1" horizontalDpi="120" verticalDpi="7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A1:K30"/>
  <sheetViews>
    <sheetView zoomScaleNormal="100" workbookViewId="0">
      <selection activeCell="F14" sqref="F14"/>
    </sheetView>
  </sheetViews>
  <sheetFormatPr baseColWidth="10" defaultColWidth="9.1640625" defaultRowHeight="14" customHeight="1" x14ac:dyDescent="0.15"/>
  <cols>
    <col min="1" max="1" width="5.1640625" style="60" customWidth="1"/>
    <col min="2" max="2" width="28.1640625" style="60" customWidth="1"/>
    <col min="3" max="3" width="16" style="60" customWidth="1"/>
    <col min="4" max="4" width="8.1640625" style="60" customWidth="1"/>
    <col min="5" max="5" width="6" style="60" customWidth="1"/>
    <col min="6" max="6" width="11.1640625" style="60" customWidth="1"/>
    <col min="7" max="7" width="11.6640625" style="60" customWidth="1"/>
    <col min="8" max="8" width="6.1640625" style="60" customWidth="1"/>
    <col min="9" max="9" width="10.6640625" style="60" customWidth="1"/>
    <col min="10" max="10" width="12.1640625" style="60" customWidth="1"/>
    <col min="11" max="11" width="20.1640625" style="60" customWidth="1"/>
    <col min="12" max="12" width="3.6640625" style="60" customWidth="1"/>
    <col min="13" max="13" width="9.1640625" style="60" customWidth="1"/>
    <col min="14" max="16384" width="9.1640625" style="60"/>
  </cols>
  <sheetData>
    <row r="1" spans="1:11" ht="14" customHeight="1" x14ac:dyDescent="0.15">
      <c r="A1" s="61" t="s">
        <v>61</v>
      </c>
    </row>
    <row r="2" spans="1:11" ht="14" customHeight="1" x14ac:dyDescent="0.15">
      <c r="A2" s="62" t="s">
        <v>126</v>
      </c>
    </row>
    <row r="3" spans="1:11" ht="14" customHeight="1" x14ac:dyDescent="0.15">
      <c r="A3" s="63" t="s">
        <v>127</v>
      </c>
      <c r="B3" s="64"/>
      <c r="C3" s="64"/>
    </row>
    <row r="5" spans="1:11" ht="15" customHeight="1" x14ac:dyDescent="0.2">
      <c r="A5" s="281" t="s">
        <v>128</v>
      </c>
      <c r="B5" s="281"/>
      <c r="C5" s="281"/>
      <c r="D5" s="281"/>
      <c r="E5" s="281"/>
      <c r="F5" s="281"/>
      <c r="G5" s="281"/>
      <c r="H5" s="281"/>
      <c r="I5" s="281"/>
      <c r="J5" s="281"/>
      <c r="K5" s="281"/>
    </row>
    <row r="6" spans="1:11" ht="15" customHeight="1" x14ac:dyDescent="0.2">
      <c r="A6" s="281" t="s">
        <v>129</v>
      </c>
      <c r="B6" s="281"/>
      <c r="C6" s="281"/>
      <c r="D6" s="281"/>
      <c r="E6" s="281"/>
      <c r="F6" s="281"/>
      <c r="G6" s="281"/>
      <c r="H6" s="281"/>
      <c r="I6" s="281"/>
      <c r="J6" s="281"/>
      <c r="K6" s="281"/>
    </row>
    <row r="7" spans="1:11" ht="15" customHeight="1" x14ac:dyDescent="0.2">
      <c r="A7" s="281" t="s">
        <v>130</v>
      </c>
      <c r="B7" s="281"/>
      <c r="C7" s="281"/>
      <c r="D7" s="281"/>
      <c r="E7" s="281"/>
      <c r="F7" s="281"/>
      <c r="G7" s="281"/>
      <c r="H7" s="281"/>
      <c r="I7" s="281"/>
      <c r="J7" s="281"/>
      <c r="K7" s="281"/>
    </row>
    <row r="8" spans="1:11" ht="15" customHeight="1" x14ac:dyDescent="0.2">
      <c r="A8" s="281" t="s">
        <v>131</v>
      </c>
      <c r="B8" s="281"/>
      <c r="C8" s="281"/>
      <c r="D8" s="281"/>
      <c r="E8" s="281"/>
      <c r="F8" s="281"/>
      <c r="G8" s="281"/>
      <c r="H8" s="281"/>
      <c r="I8" s="281"/>
      <c r="J8" s="281"/>
      <c r="K8" s="281"/>
    </row>
    <row r="9" spans="1:11" ht="15" customHeight="1" x14ac:dyDescent="0.2">
      <c r="A9" s="65"/>
      <c r="B9" s="65"/>
      <c r="C9" s="65"/>
      <c r="D9" s="65"/>
      <c r="E9" s="65"/>
      <c r="F9" s="65"/>
      <c r="G9" s="65"/>
      <c r="H9" s="65"/>
    </row>
    <row r="10" spans="1:11" s="66" customFormat="1" ht="35" customHeight="1" x14ac:dyDescent="0.15">
      <c r="A10" s="292" t="s">
        <v>75</v>
      </c>
      <c r="B10" s="292" t="s">
        <v>76</v>
      </c>
      <c r="C10" s="292" t="s">
        <v>56</v>
      </c>
      <c r="D10" s="293" t="s">
        <v>77</v>
      </c>
      <c r="E10" s="290" t="s">
        <v>58</v>
      </c>
      <c r="F10" s="290"/>
      <c r="G10" s="290"/>
      <c r="H10" s="291" t="s">
        <v>79</v>
      </c>
      <c r="I10" s="291"/>
      <c r="J10" s="293" t="s">
        <v>80</v>
      </c>
      <c r="K10" s="292" t="s">
        <v>81</v>
      </c>
    </row>
    <row r="11" spans="1:11" s="66" customFormat="1" ht="30.75" customHeight="1" x14ac:dyDescent="0.15">
      <c r="A11" s="292"/>
      <c r="B11" s="292"/>
      <c r="C11" s="292"/>
      <c r="D11" s="293"/>
      <c r="E11" s="67" t="s">
        <v>132</v>
      </c>
      <c r="F11" s="68" t="s">
        <v>133</v>
      </c>
      <c r="G11" s="67" t="s">
        <v>85</v>
      </c>
      <c r="H11" s="67" t="s">
        <v>86</v>
      </c>
      <c r="I11" s="68" t="s">
        <v>87</v>
      </c>
      <c r="J11" s="293"/>
      <c r="K11" s="292"/>
    </row>
    <row r="12" spans="1:11" s="66" customFormat="1" ht="15" customHeight="1" x14ac:dyDescent="0.15">
      <c r="A12" s="68" t="s">
        <v>89</v>
      </c>
      <c r="B12" s="68" t="s">
        <v>90</v>
      </c>
      <c r="C12" s="68" t="s">
        <v>91</v>
      </c>
      <c r="D12" s="67" t="s">
        <v>92</v>
      </c>
      <c r="E12" s="68" t="s">
        <v>93</v>
      </c>
      <c r="F12" s="68" t="s">
        <v>94</v>
      </c>
      <c r="G12" s="68" t="s">
        <v>134</v>
      </c>
      <c r="H12" s="68" t="s">
        <v>96</v>
      </c>
      <c r="I12" s="68" t="s">
        <v>97</v>
      </c>
      <c r="J12" s="68" t="s">
        <v>135</v>
      </c>
      <c r="K12" s="68" t="s">
        <v>98</v>
      </c>
    </row>
    <row r="13" spans="1:11" s="69" customFormat="1" ht="45" customHeight="1" x14ac:dyDescent="0.15">
      <c r="A13" s="70">
        <v>1</v>
      </c>
      <c r="B13" s="71" t="s">
        <v>136</v>
      </c>
      <c r="C13" s="72" t="s">
        <v>137</v>
      </c>
      <c r="D13" s="73" t="s">
        <v>138</v>
      </c>
      <c r="E13" s="74">
        <v>2</v>
      </c>
      <c r="F13" s="75">
        <v>1000000</v>
      </c>
      <c r="G13" s="75">
        <f>F13*E13</f>
        <v>2000000</v>
      </c>
      <c r="H13" s="76">
        <v>0.15</v>
      </c>
      <c r="I13" s="75">
        <f>G13*H13</f>
        <v>300000</v>
      </c>
      <c r="J13" s="75">
        <f>G13-I13</f>
        <v>1700000</v>
      </c>
      <c r="K13" s="77" t="str">
        <f>A13&amp;"…………...……..…"</f>
        <v>1…………...……..…</v>
      </c>
    </row>
    <row r="14" spans="1:11" s="69" customFormat="1" ht="45" customHeight="1" x14ac:dyDescent="0.15">
      <c r="A14" s="70">
        <v>2</v>
      </c>
      <c r="B14" s="71" t="s">
        <v>139</v>
      </c>
      <c r="C14" s="78" t="s">
        <v>4</v>
      </c>
      <c r="D14" s="73" t="s">
        <v>138</v>
      </c>
      <c r="E14" s="74">
        <v>2</v>
      </c>
      <c r="F14" s="75">
        <v>1000000</v>
      </c>
      <c r="G14" s="75">
        <f>F14*E14</f>
        <v>2000000</v>
      </c>
      <c r="H14" s="76">
        <v>0.18</v>
      </c>
      <c r="I14" s="75">
        <f>G14*H14</f>
        <v>360000</v>
      </c>
      <c r="J14" s="75">
        <f>G14-I14</f>
        <v>1640000</v>
      </c>
      <c r="K14" s="77" t="str">
        <f>A14&amp;"…………...……..…"</f>
        <v>2…………...……..…</v>
      </c>
    </row>
    <row r="15" spans="1:11" s="69" customFormat="1" ht="45" customHeight="1" x14ac:dyDescent="0.15">
      <c r="A15" s="70">
        <v>3</v>
      </c>
      <c r="B15" s="71" t="s">
        <v>140</v>
      </c>
      <c r="C15" s="72" t="s">
        <v>141</v>
      </c>
      <c r="D15" s="73" t="s">
        <v>142</v>
      </c>
      <c r="E15" s="74">
        <v>2</v>
      </c>
      <c r="F15" s="75">
        <v>1000000</v>
      </c>
      <c r="G15" s="75">
        <f>F15*E15</f>
        <v>2000000</v>
      </c>
      <c r="H15" s="76">
        <v>0.05</v>
      </c>
      <c r="I15" s="75">
        <f>G15*H15</f>
        <v>100000</v>
      </c>
      <c r="J15" s="75">
        <f>G15-I15</f>
        <v>1900000</v>
      </c>
      <c r="K15" s="77" t="str">
        <f>A15&amp;"…………...……..…"</f>
        <v>3…………...……..…</v>
      </c>
    </row>
    <row r="16" spans="1:11" s="69" customFormat="1" ht="45" customHeight="1" x14ac:dyDescent="0.15">
      <c r="A16" s="70">
        <v>4</v>
      </c>
      <c r="B16" s="71" t="s">
        <v>143</v>
      </c>
      <c r="C16" s="78" t="s">
        <v>4</v>
      </c>
      <c r="D16" s="73" t="s">
        <v>142</v>
      </c>
      <c r="E16" s="74">
        <v>2</v>
      </c>
      <c r="F16" s="75">
        <v>1000000</v>
      </c>
      <c r="G16" s="75">
        <f>F16*E16</f>
        <v>2000000</v>
      </c>
      <c r="H16" s="76">
        <v>0.06</v>
      </c>
      <c r="I16" s="75">
        <f>G16*H16</f>
        <v>120000</v>
      </c>
      <c r="J16" s="75">
        <f>G16-I16</f>
        <v>1880000</v>
      </c>
      <c r="K16" s="77" t="str">
        <f>A16&amp;"…………...……..…"</f>
        <v>4…………...……..…</v>
      </c>
    </row>
    <row r="17" spans="1:11" s="69" customFormat="1" ht="30" customHeight="1" x14ac:dyDescent="0.2">
      <c r="A17" s="68"/>
      <c r="B17" s="68" t="s">
        <v>102</v>
      </c>
      <c r="C17" s="68"/>
      <c r="D17" s="68"/>
      <c r="E17" s="79">
        <f>SUM(E13:E16)</f>
        <v>8</v>
      </c>
      <c r="F17" s="80"/>
      <c r="G17" s="80">
        <f>SUM(G13:G16)</f>
        <v>8000000</v>
      </c>
      <c r="H17" s="80" t="s">
        <v>4</v>
      </c>
      <c r="I17" s="80">
        <f>SUM(I13:I16)</f>
        <v>880000</v>
      </c>
      <c r="J17" s="80">
        <f>SUM(J13:J16)</f>
        <v>7120000</v>
      </c>
      <c r="K17" s="68"/>
    </row>
    <row r="18" spans="1:11" s="81" customFormat="1" ht="30" customHeight="1" x14ac:dyDescent="0.2">
      <c r="A18" s="294" t="s">
        <v>103</v>
      </c>
      <c r="B18" s="294"/>
      <c r="C18" s="82" t="e">
        <v>#NAME?</v>
      </c>
      <c r="D18" s="82"/>
      <c r="E18" s="82"/>
      <c r="F18" s="82"/>
      <c r="G18" s="82"/>
      <c r="H18" s="82"/>
      <c r="I18" s="82"/>
      <c r="J18" s="82"/>
      <c r="K18" s="83"/>
    </row>
    <row r="19" spans="1:11" ht="9.75" customHeight="1" x14ac:dyDescent="0.15"/>
    <row r="20" spans="1:11" ht="12" customHeight="1" x14ac:dyDescent="0.15">
      <c r="A20" s="84" t="s">
        <v>144</v>
      </c>
    </row>
    <row r="21" spans="1:11" ht="6" customHeight="1" x14ac:dyDescent="0.15"/>
    <row r="22" spans="1:11" ht="14" customHeight="1" x14ac:dyDescent="0.15">
      <c r="J22" s="295" t="s">
        <v>145</v>
      </c>
      <c r="K22" s="295"/>
    </row>
    <row r="23" spans="1:11" ht="14" customHeight="1" x14ac:dyDescent="0.15">
      <c r="A23" s="85" t="s">
        <v>105</v>
      </c>
      <c r="E23" s="86" t="s">
        <v>106</v>
      </c>
      <c r="J23" s="85"/>
      <c r="K23" s="85"/>
    </row>
    <row r="24" spans="1:11" ht="14" customHeight="1" x14ac:dyDescent="0.15">
      <c r="A24" s="85" t="s">
        <v>107</v>
      </c>
      <c r="E24" s="86" t="s">
        <v>108</v>
      </c>
      <c r="J24" s="296" t="s">
        <v>109</v>
      </c>
      <c r="K24" s="296"/>
    </row>
    <row r="25" spans="1:11" ht="14" customHeight="1" x14ac:dyDescent="0.15">
      <c r="A25" s="85" t="s">
        <v>53</v>
      </c>
      <c r="E25" s="86"/>
      <c r="J25" s="81"/>
      <c r="K25" s="81"/>
    </row>
    <row r="26" spans="1:11" ht="14" customHeight="1" x14ac:dyDescent="0.15">
      <c r="A26" s="85"/>
      <c r="E26" s="86"/>
      <c r="J26" s="81"/>
      <c r="K26" s="81"/>
    </row>
    <row r="27" spans="1:11" ht="25.5" customHeight="1" x14ac:dyDescent="0.15">
      <c r="E27" s="86"/>
      <c r="J27" s="81"/>
      <c r="K27" s="81"/>
    </row>
    <row r="28" spans="1:11" ht="14" customHeight="1" x14ac:dyDescent="0.15">
      <c r="E28" s="86"/>
      <c r="J28" s="81"/>
      <c r="K28" s="81"/>
    </row>
    <row r="29" spans="1:11" ht="14" customHeight="1" x14ac:dyDescent="0.15">
      <c r="A29" s="87" t="s">
        <v>146</v>
      </c>
      <c r="E29" s="297" t="s">
        <v>147</v>
      </c>
      <c r="F29" s="297"/>
      <c r="J29" s="297" t="s">
        <v>148</v>
      </c>
      <c r="K29" s="297"/>
    </row>
    <row r="30" spans="1:11" ht="14" customHeight="1" x14ac:dyDescent="0.15">
      <c r="A30" s="87" t="s">
        <v>149</v>
      </c>
      <c r="E30" s="89" t="s">
        <v>150</v>
      </c>
      <c r="F30" s="89"/>
      <c r="J30" s="89" t="s">
        <v>151</v>
      </c>
      <c r="K30" s="89"/>
    </row>
  </sheetData>
  <mergeCells count="17">
    <mergeCell ref="A18:B18"/>
    <mergeCell ref="J22:K22"/>
    <mergeCell ref="J24:K24"/>
    <mergeCell ref="E29:F29"/>
    <mergeCell ref="J29:K29"/>
    <mergeCell ref="A5:K5"/>
    <mergeCell ref="A6:K6"/>
    <mergeCell ref="A7:K7"/>
    <mergeCell ref="A8:K8"/>
    <mergeCell ref="E10:G10"/>
    <mergeCell ref="H10:I10"/>
    <mergeCell ref="A10:A11"/>
    <mergeCell ref="B10:B11"/>
    <mergeCell ref="C10:C11"/>
    <mergeCell ref="D10:D11"/>
    <mergeCell ref="J10:J11"/>
    <mergeCell ref="K10:K11"/>
  </mergeCells>
  <pageMargins left="0.19685039370078741" right="0.19685039370078741" top="0.59055118110236227" bottom="0.39370078740157483" header="0.31496062992125984" footer="0.31496062992125984"/>
  <pageSetup paperSize="9" scale="95" orientation="landscape" useFirstPageNumber="1" horizontalDpi="120" verticalDpi="7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0000"/>
  </sheetPr>
  <dimension ref="A1:R31"/>
  <sheetViews>
    <sheetView topLeftCell="A10" zoomScaleNormal="100" workbookViewId="0">
      <selection activeCell="R13" sqref="R13"/>
    </sheetView>
  </sheetViews>
  <sheetFormatPr baseColWidth="10" defaultColWidth="9.1640625" defaultRowHeight="15.5" customHeight="1" x14ac:dyDescent="0.2"/>
  <cols>
    <col min="1" max="1" width="5.1640625" style="39" customWidth="1"/>
    <col min="2" max="2" width="17.33203125" style="39" customWidth="1"/>
    <col min="3" max="3" width="19.1640625" style="39" customWidth="1"/>
    <col min="4" max="4" width="18.1640625" style="39" customWidth="1"/>
    <col min="5" max="5" width="8.1640625" style="39" customWidth="1"/>
    <col min="6" max="6" width="6" style="39" customWidth="1"/>
    <col min="7" max="7" width="11.1640625" style="39" customWidth="1"/>
    <col min="8" max="8" width="12.6640625" style="39" customWidth="1"/>
    <col min="9" max="10" width="11.6640625" style="39" customWidth="1"/>
    <col min="11" max="11" width="6.1640625" style="39" customWidth="1"/>
    <col min="12" max="12" width="11.6640625" style="39" customWidth="1"/>
    <col min="13" max="13" width="12.33203125" style="39" customWidth="1"/>
    <col min="14" max="14" width="13.33203125" style="39" customWidth="1"/>
    <col min="15" max="15" width="3.6640625" style="39" customWidth="1"/>
    <col min="16" max="17" width="9.1640625" style="39" customWidth="1"/>
    <col min="18" max="18" width="84.6640625" style="39" customWidth="1"/>
    <col min="19" max="19" width="9.1640625" style="39" customWidth="1"/>
    <col min="20" max="16384" width="9.1640625" style="39"/>
  </cols>
  <sheetData>
    <row r="1" spans="1:18" ht="16" x14ac:dyDescent="0.2">
      <c r="A1" s="4" t="s">
        <v>61</v>
      </c>
    </row>
    <row r="2" spans="1:18" ht="17.25" customHeight="1" x14ac:dyDescent="0.2">
      <c r="A2" s="5" t="s">
        <v>62</v>
      </c>
      <c r="Q2" s="43" t="s">
        <v>63</v>
      </c>
      <c r="R2" s="44"/>
    </row>
    <row r="3" spans="1:18" ht="16" x14ac:dyDescent="0.2">
      <c r="A3" s="8" t="s">
        <v>64</v>
      </c>
      <c r="B3" s="8"/>
      <c r="C3" s="8"/>
      <c r="D3" s="8"/>
      <c r="Q3" s="45" t="s">
        <v>152</v>
      </c>
      <c r="R3" s="44"/>
    </row>
    <row r="4" spans="1:18" ht="16" x14ac:dyDescent="0.2">
      <c r="A4" s="8"/>
      <c r="B4" s="8"/>
      <c r="C4" s="8"/>
      <c r="D4" s="8"/>
      <c r="Q4" s="45" t="s">
        <v>153</v>
      </c>
      <c r="R4" s="44"/>
    </row>
    <row r="5" spans="1:18" ht="16" x14ac:dyDescent="0.2">
      <c r="A5" s="298" t="s">
        <v>128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42"/>
      <c r="P5" s="42"/>
      <c r="Q5" s="45" t="s">
        <v>154</v>
      </c>
      <c r="R5" s="44"/>
    </row>
    <row r="6" spans="1:18" ht="16" x14ac:dyDescent="0.2">
      <c r="A6" s="298" t="s">
        <v>68</v>
      </c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42"/>
      <c r="P6" s="42"/>
      <c r="Q6" s="46" t="s">
        <v>4</v>
      </c>
      <c r="R6" s="44" t="s">
        <v>71</v>
      </c>
    </row>
    <row r="7" spans="1:18" ht="16" x14ac:dyDescent="0.2">
      <c r="A7" s="298" t="s">
        <v>70</v>
      </c>
      <c r="B7" s="298"/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42"/>
      <c r="P7" s="42"/>
      <c r="Q7" s="47" t="s">
        <v>4</v>
      </c>
      <c r="R7" s="44" t="s">
        <v>73</v>
      </c>
    </row>
    <row r="8" spans="1:18" ht="16" x14ac:dyDescent="0.2">
      <c r="A8" s="298" t="s">
        <v>72</v>
      </c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42"/>
      <c r="P8" s="42"/>
      <c r="Q8" s="45" t="s">
        <v>69</v>
      </c>
      <c r="R8" s="44"/>
    </row>
    <row r="9" spans="1:18" ht="16" x14ac:dyDescent="0.2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  <c r="Q9" s="46" t="s">
        <v>4</v>
      </c>
      <c r="R9" s="44" t="s">
        <v>71</v>
      </c>
    </row>
    <row r="10" spans="1:18" s="20" customFormat="1" ht="35" customHeight="1" x14ac:dyDescent="0.2">
      <c r="A10" s="284" t="s">
        <v>75</v>
      </c>
      <c r="B10" s="284" t="s">
        <v>76</v>
      </c>
      <c r="C10" s="284" t="s">
        <v>55</v>
      </c>
      <c r="D10" s="284" t="s">
        <v>56</v>
      </c>
      <c r="E10" s="285" t="s">
        <v>117</v>
      </c>
      <c r="F10" s="282" t="s">
        <v>58</v>
      </c>
      <c r="G10" s="282"/>
      <c r="H10" s="282"/>
      <c r="I10" s="282" t="s">
        <v>155</v>
      </c>
      <c r="J10" s="282"/>
      <c r="K10" s="283" t="s">
        <v>79</v>
      </c>
      <c r="L10" s="283"/>
      <c r="M10" s="285" t="s">
        <v>80</v>
      </c>
      <c r="N10" s="285" t="s">
        <v>81</v>
      </c>
      <c r="Q10" s="47" t="s">
        <v>4</v>
      </c>
      <c r="R10" s="44" t="s">
        <v>73</v>
      </c>
    </row>
    <row r="11" spans="1:18" s="20" customFormat="1" ht="30.75" customHeight="1" x14ac:dyDescent="0.2">
      <c r="A11" s="284"/>
      <c r="B11" s="284"/>
      <c r="C11" s="284"/>
      <c r="D11" s="284"/>
      <c r="E11" s="285"/>
      <c r="F11" s="16" t="s">
        <v>132</v>
      </c>
      <c r="G11" s="17" t="s">
        <v>133</v>
      </c>
      <c r="H11" s="16" t="s">
        <v>85</v>
      </c>
      <c r="I11" s="15" t="s">
        <v>156</v>
      </c>
      <c r="J11" s="15" t="s">
        <v>157</v>
      </c>
      <c r="K11" s="16" t="s">
        <v>158</v>
      </c>
      <c r="L11" s="17" t="s">
        <v>87</v>
      </c>
      <c r="M11" s="285"/>
      <c r="N11" s="285"/>
      <c r="Q11" s="47" t="s">
        <v>4</v>
      </c>
      <c r="R11" s="44" t="s">
        <v>74</v>
      </c>
    </row>
    <row r="12" spans="1:18" s="20" customFormat="1" ht="15" customHeight="1" x14ac:dyDescent="0.2">
      <c r="A12" s="17" t="s">
        <v>89</v>
      </c>
      <c r="B12" s="17" t="s">
        <v>90</v>
      </c>
      <c r="C12" s="17" t="s">
        <v>91</v>
      </c>
      <c r="D12" s="16" t="s">
        <v>92</v>
      </c>
      <c r="E12" s="17" t="s">
        <v>93</v>
      </c>
      <c r="F12" s="17" t="s">
        <v>94</v>
      </c>
      <c r="G12" s="17" t="s">
        <v>95</v>
      </c>
      <c r="H12" s="17" t="s">
        <v>121</v>
      </c>
      <c r="I12" s="17" t="s">
        <v>159</v>
      </c>
      <c r="J12" s="17" t="s">
        <v>160</v>
      </c>
      <c r="K12" s="17" t="s">
        <v>98</v>
      </c>
      <c r="L12" s="17" t="s">
        <v>161</v>
      </c>
      <c r="M12" s="17" t="s">
        <v>162</v>
      </c>
      <c r="N12" s="17" t="s">
        <v>101</v>
      </c>
      <c r="Q12" s="47" t="s">
        <v>4</v>
      </c>
      <c r="R12" s="44" t="s">
        <v>82</v>
      </c>
    </row>
    <row r="13" spans="1:18" s="20" customFormat="1" ht="30" customHeight="1" x14ac:dyDescent="0.2">
      <c r="A13" s="21">
        <v>1</v>
      </c>
      <c r="B13" s="23"/>
      <c r="C13" s="23" t="e">
        <f>VLOOKUP(B13,#REF!,3,0)</f>
        <v>#REF!</v>
      </c>
      <c r="D13" s="90" t="e">
        <f>VLOOKUP(B13,#REF!,4,0)</f>
        <v>#REF!</v>
      </c>
      <c r="E13" s="25" t="e">
        <f>VLOOKUP(B13,#REF!,5,0)</f>
        <v>#REF!</v>
      </c>
      <c r="F13" s="26"/>
      <c r="G13" s="27"/>
      <c r="H13" s="27">
        <f>G13*F13</f>
        <v>0</v>
      </c>
      <c r="I13" s="27">
        <f>H13</f>
        <v>0</v>
      </c>
      <c r="J13" s="27">
        <v>0</v>
      </c>
      <c r="K13" s="28">
        <v>0</v>
      </c>
      <c r="L13" s="27">
        <f>(I13+J13)*K13</f>
        <v>0</v>
      </c>
      <c r="M13" s="27">
        <f>H13-L13</f>
        <v>0</v>
      </c>
      <c r="N13" s="24" t="str">
        <f>A13&amp;"………..…"</f>
        <v>1………..…</v>
      </c>
      <c r="Q13" s="47" t="s">
        <v>4</v>
      </c>
      <c r="R13" s="44" t="s">
        <v>88</v>
      </c>
    </row>
    <row r="14" spans="1:18" s="20" customFormat="1" ht="30" customHeight="1" x14ac:dyDescent="0.2">
      <c r="A14" s="17"/>
      <c r="B14" s="17" t="s">
        <v>102</v>
      </c>
      <c r="C14" s="17"/>
      <c r="D14" s="17"/>
      <c r="E14" s="17"/>
      <c r="F14" s="30">
        <v>0</v>
      </c>
      <c r="G14" s="31"/>
      <c r="H14" s="31">
        <v>0</v>
      </c>
      <c r="I14" s="31"/>
      <c r="J14" s="31"/>
      <c r="K14" s="31">
        <v>0</v>
      </c>
      <c r="L14" s="31">
        <v>0</v>
      </c>
      <c r="M14" s="31">
        <v>0</v>
      </c>
      <c r="N14" s="17"/>
    </row>
    <row r="15" spans="1:18" s="32" customFormat="1" ht="30" customHeight="1" x14ac:dyDescent="0.2">
      <c r="A15" s="33" t="s">
        <v>103</v>
      </c>
      <c r="B15" s="33" t="s">
        <v>103</v>
      </c>
      <c r="C15" s="34"/>
      <c r="D15" s="91" t="e">
        <v>#NAME?</v>
      </c>
      <c r="E15" s="35"/>
      <c r="F15" s="35"/>
      <c r="G15" s="35"/>
      <c r="H15" s="35"/>
      <c r="I15" s="35"/>
      <c r="J15" s="35"/>
      <c r="K15" s="35"/>
      <c r="L15" s="35"/>
      <c r="M15" s="35"/>
      <c r="N15" s="36"/>
    </row>
    <row r="16" spans="1:18" ht="30" customHeight="1" x14ac:dyDescent="0.2"/>
    <row r="17" spans="1:14" ht="16" x14ac:dyDescent="0.2">
      <c r="A17" s="92" t="s">
        <v>163</v>
      </c>
    </row>
    <row r="18" spans="1:14" ht="16" x14ac:dyDescent="0.2">
      <c r="A18" s="92" t="s">
        <v>164</v>
      </c>
    </row>
    <row r="20" spans="1:14" ht="16" x14ac:dyDescent="0.2">
      <c r="D20" s="58"/>
      <c r="E20" s="58"/>
      <c r="F20" s="58"/>
      <c r="G20" s="58"/>
      <c r="H20" s="58"/>
      <c r="I20" s="58"/>
      <c r="J20" s="58"/>
      <c r="K20" s="58"/>
      <c r="M20" s="38" t="s">
        <v>52</v>
      </c>
      <c r="N20" s="38"/>
    </row>
    <row r="21" spans="1:14" ht="16" x14ac:dyDescent="0.2">
      <c r="A21" s="39" t="s">
        <v>105</v>
      </c>
      <c r="D21" s="58"/>
      <c r="E21" s="58"/>
      <c r="F21" s="38" t="s">
        <v>106</v>
      </c>
      <c r="G21" s="58"/>
      <c r="H21" s="58"/>
      <c r="I21" s="58"/>
      <c r="J21" s="58"/>
      <c r="K21" s="58"/>
    </row>
    <row r="22" spans="1:14" ht="16" x14ac:dyDescent="0.2">
      <c r="A22" s="39" t="s">
        <v>107</v>
      </c>
      <c r="D22" s="58"/>
      <c r="E22" s="58"/>
      <c r="F22" s="38" t="s">
        <v>108</v>
      </c>
      <c r="G22" s="58"/>
      <c r="H22" s="58"/>
      <c r="I22" s="58"/>
      <c r="J22" s="58"/>
      <c r="K22" s="58"/>
      <c r="M22" s="32" t="s">
        <v>109</v>
      </c>
      <c r="N22" s="32"/>
    </row>
    <row r="23" spans="1:14" ht="16" x14ac:dyDescent="0.2">
      <c r="A23" s="39" t="s">
        <v>53</v>
      </c>
      <c r="D23" s="58"/>
      <c r="E23" s="58"/>
      <c r="F23" s="38"/>
      <c r="G23" s="58"/>
      <c r="H23" s="58"/>
      <c r="I23" s="58"/>
      <c r="J23" s="58"/>
      <c r="K23" s="58"/>
      <c r="M23" s="32"/>
      <c r="N23" s="32"/>
    </row>
    <row r="24" spans="1:14" ht="16" x14ac:dyDescent="0.2">
      <c r="D24" s="58"/>
      <c r="E24" s="58"/>
      <c r="F24" s="38"/>
      <c r="G24" s="58"/>
      <c r="H24" s="58"/>
      <c r="I24" s="58"/>
      <c r="J24" s="58"/>
      <c r="K24" s="58"/>
      <c r="M24" s="32"/>
      <c r="N24" s="32"/>
    </row>
    <row r="25" spans="1:14" ht="16" x14ac:dyDescent="0.2">
      <c r="D25" s="58"/>
      <c r="E25" s="58"/>
      <c r="F25" s="38"/>
      <c r="G25" s="58"/>
      <c r="H25" s="58"/>
      <c r="I25" s="58"/>
      <c r="J25" s="58"/>
      <c r="K25" s="58"/>
      <c r="M25" s="32"/>
      <c r="N25" s="32"/>
    </row>
    <row r="26" spans="1:14" ht="16" x14ac:dyDescent="0.2">
      <c r="D26" s="58"/>
      <c r="E26" s="58"/>
      <c r="F26" s="38"/>
      <c r="G26" s="58"/>
      <c r="H26" s="58"/>
      <c r="I26" s="58"/>
      <c r="J26" s="58"/>
      <c r="K26" s="58"/>
      <c r="M26" s="32"/>
      <c r="N26" s="32"/>
    </row>
    <row r="27" spans="1:14" ht="16" x14ac:dyDescent="0.2">
      <c r="A27" s="40" t="s">
        <v>8</v>
      </c>
      <c r="D27" s="58"/>
      <c r="E27" s="58"/>
      <c r="F27" s="41" t="s">
        <v>5</v>
      </c>
      <c r="G27" s="41"/>
      <c r="H27" s="58"/>
      <c r="I27" s="58"/>
      <c r="J27" s="58"/>
      <c r="K27" s="58"/>
      <c r="M27" s="41" t="s">
        <v>110</v>
      </c>
      <c r="N27" s="41"/>
    </row>
    <row r="28" spans="1:14" ht="16" x14ac:dyDescent="0.2">
      <c r="A28" s="40" t="s">
        <v>111</v>
      </c>
      <c r="D28" s="58"/>
      <c r="E28" s="58"/>
      <c r="F28" s="42" t="s">
        <v>112</v>
      </c>
      <c r="G28" s="42"/>
      <c r="H28" s="58"/>
      <c r="I28" s="58"/>
      <c r="J28" s="58"/>
      <c r="K28" s="58"/>
      <c r="M28" s="42" t="s">
        <v>113</v>
      </c>
      <c r="N28" s="42"/>
    </row>
    <row r="29" spans="1:14" ht="16" x14ac:dyDescent="0.2">
      <c r="D29" s="58"/>
      <c r="E29" s="58"/>
      <c r="F29" s="58"/>
      <c r="G29" s="58"/>
      <c r="H29" s="58"/>
      <c r="I29" s="58"/>
      <c r="J29" s="58"/>
      <c r="K29" s="58"/>
    </row>
    <row r="30" spans="1:14" ht="16" x14ac:dyDescent="0.2">
      <c r="D30" s="58"/>
      <c r="E30" s="58"/>
      <c r="F30" s="58"/>
      <c r="G30" s="58"/>
      <c r="H30" s="58"/>
      <c r="I30" s="58"/>
      <c r="J30" s="58"/>
      <c r="K30" s="58"/>
    </row>
    <row r="31" spans="1:14" ht="16" x14ac:dyDescent="0.2">
      <c r="D31" s="58"/>
      <c r="E31" s="58"/>
      <c r="F31" s="58"/>
      <c r="G31" s="58"/>
      <c r="H31" s="58"/>
      <c r="I31" s="58"/>
      <c r="J31" s="58"/>
      <c r="K31" s="58"/>
    </row>
  </sheetData>
  <mergeCells count="14">
    <mergeCell ref="A5:N5"/>
    <mergeCell ref="A6:N6"/>
    <mergeCell ref="A7:N7"/>
    <mergeCell ref="A8:N8"/>
    <mergeCell ref="F10:H10"/>
    <mergeCell ref="I10:J10"/>
    <mergeCell ref="K10:L10"/>
    <mergeCell ref="A10:A11"/>
    <mergeCell ref="B10:B11"/>
    <mergeCell ref="C10:C11"/>
    <mergeCell ref="D10:D11"/>
    <mergeCell ref="E10:E11"/>
    <mergeCell ref="M10:M11"/>
    <mergeCell ref="N10:N11"/>
  </mergeCells>
  <pageMargins left="0.196850393700787" right="0.36" top="0.59055118110236204" bottom="0.39370078740157499" header="0.31496062992126" footer="0.31496062992126"/>
  <pageSetup scale="75" orientation="landscape" useFirstPageNumber="1" horizontalDpi="120" verticalDpi="7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FF0000"/>
  </sheetPr>
  <dimension ref="A1:R31"/>
  <sheetViews>
    <sheetView zoomScale="115" zoomScaleNormal="115" workbookViewId="0">
      <selection activeCell="M12" sqref="M12"/>
    </sheetView>
  </sheetViews>
  <sheetFormatPr baseColWidth="10" defaultColWidth="9.1640625" defaultRowHeight="15.5" customHeight="1" x14ac:dyDescent="0.2"/>
  <cols>
    <col min="1" max="1" width="5.1640625" style="39" customWidth="1"/>
    <col min="2" max="2" width="17.33203125" style="39" customWidth="1"/>
    <col min="3" max="3" width="19.1640625" style="39" customWidth="1"/>
    <col min="4" max="4" width="18.1640625" style="39" customWidth="1"/>
    <col min="5" max="5" width="8.1640625" style="39" customWidth="1"/>
    <col min="6" max="6" width="6" style="39" customWidth="1"/>
    <col min="7" max="7" width="11.1640625" style="39" customWidth="1"/>
    <col min="8" max="8" width="12.6640625" style="39" customWidth="1"/>
    <col min="9" max="10" width="11.6640625" style="39" customWidth="1"/>
    <col min="11" max="11" width="6.1640625" style="39" customWidth="1"/>
    <col min="12" max="12" width="11.6640625" style="39" customWidth="1"/>
    <col min="13" max="13" width="12.33203125" style="39" customWidth="1"/>
    <col min="14" max="14" width="13.33203125" style="39" customWidth="1"/>
    <col min="15" max="15" width="3.6640625" style="39" customWidth="1"/>
    <col min="16" max="16" width="9.1640625" style="39" customWidth="1"/>
    <col min="17" max="16384" width="9.1640625" style="39"/>
  </cols>
  <sheetData>
    <row r="1" spans="1:18" ht="16" x14ac:dyDescent="0.2">
      <c r="A1" s="4" t="s">
        <v>61</v>
      </c>
    </row>
    <row r="2" spans="1:18" ht="16" x14ac:dyDescent="0.2">
      <c r="A2" s="5" t="s">
        <v>62</v>
      </c>
    </row>
    <row r="3" spans="1:18" ht="16" x14ac:dyDescent="0.2">
      <c r="A3" s="8" t="s">
        <v>64</v>
      </c>
      <c r="B3" s="8"/>
      <c r="C3" s="8"/>
      <c r="D3" s="8"/>
    </row>
    <row r="4" spans="1:18" ht="16" x14ac:dyDescent="0.2">
      <c r="A4" s="8"/>
      <c r="B4" s="8"/>
      <c r="C4" s="8"/>
      <c r="D4" s="8"/>
    </row>
    <row r="5" spans="1:18" ht="16" x14ac:dyDescent="0.2">
      <c r="A5" s="298" t="s">
        <v>165</v>
      </c>
      <c r="B5" s="298"/>
      <c r="C5" s="298"/>
      <c r="D5" s="298"/>
      <c r="E5" s="298"/>
      <c r="F5" s="298"/>
      <c r="G5" s="298"/>
      <c r="H5" s="298"/>
      <c r="I5" s="298"/>
      <c r="J5" s="298"/>
      <c r="K5" s="298"/>
      <c r="L5" s="298"/>
      <c r="M5" s="298"/>
      <c r="N5" s="298"/>
      <c r="O5" s="42"/>
      <c r="P5" s="42"/>
      <c r="Q5" s="42"/>
      <c r="R5" s="42"/>
    </row>
    <row r="6" spans="1:18" ht="16" x14ac:dyDescent="0.2">
      <c r="A6" s="298" t="s">
        <v>68</v>
      </c>
      <c r="B6" s="298"/>
      <c r="C6" s="298"/>
      <c r="D6" s="298"/>
      <c r="E6" s="298"/>
      <c r="F6" s="298"/>
      <c r="G6" s="298"/>
      <c r="H6" s="298"/>
      <c r="I6" s="298"/>
      <c r="J6" s="298"/>
      <c r="K6" s="298"/>
      <c r="L6" s="298"/>
      <c r="M6" s="298"/>
      <c r="N6" s="298"/>
      <c r="O6" s="42"/>
      <c r="P6" s="42"/>
      <c r="Q6" s="42"/>
      <c r="R6" s="42"/>
    </row>
    <row r="7" spans="1:18" ht="16" x14ac:dyDescent="0.2">
      <c r="A7" s="298" t="s">
        <v>70</v>
      </c>
      <c r="B7" s="298"/>
      <c r="C7" s="298"/>
      <c r="D7" s="298"/>
      <c r="E7" s="298"/>
      <c r="F7" s="298"/>
      <c r="G7" s="298"/>
      <c r="H7" s="298"/>
      <c r="I7" s="298"/>
      <c r="J7" s="298"/>
      <c r="K7" s="298"/>
      <c r="L7" s="298"/>
      <c r="M7" s="298"/>
      <c r="N7" s="298"/>
      <c r="O7" s="42"/>
      <c r="P7" s="42"/>
      <c r="Q7" s="42"/>
      <c r="R7" s="42"/>
    </row>
    <row r="8" spans="1:18" ht="16" x14ac:dyDescent="0.2">
      <c r="A8" s="298" t="s">
        <v>72</v>
      </c>
      <c r="B8" s="298"/>
      <c r="C8" s="298"/>
      <c r="D8" s="298"/>
      <c r="E8" s="298"/>
      <c r="F8" s="298"/>
      <c r="G8" s="298"/>
      <c r="H8" s="298"/>
      <c r="I8" s="298"/>
      <c r="J8" s="298"/>
      <c r="K8" s="298"/>
      <c r="L8" s="298"/>
      <c r="M8" s="298"/>
      <c r="N8" s="298"/>
      <c r="O8" s="42"/>
      <c r="P8" s="42"/>
      <c r="Q8" s="42"/>
      <c r="R8" s="42"/>
    </row>
    <row r="9" spans="1:18" ht="16" x14ac:dyDescent="0.2">
      <c r="A9" s="48"/>
      <c r="B9" s="48"/>
      <c r="C9" s="48"/>
      <c r="D9" s="48"/>
      <c r="E9" s="48"/>
      <c r="F9" s="48"/>
      <c r="G9" s="48"/>
      <c r="H9" s="48"/>
      <c r="I9" s="48"/>
      <c r="J9" s="48"/>
      <c r="K9" s="48"/>
    </row>
    <row r="10" spans="1:18" s="20" customFormat="1" ht="35" customHeight="1" x14ac:dyDescent="0.2">
      <c r="A10" s="284" t="s">
        <v>75</v>
      </c>
      <c r="B10" s="284" t="s">
        <v>76</v>
      </c>
      <c r="C10" s="284" t="s">
        <v>55</v>
      </c>
      <c r="D10" s="284" t="s">
        <v>56</v>
      </c>
      <c r="E10" s="285" t="s">
        <v>117</v>
      </c>
      <c r="F10" s="282" t="s">
        <v>58</v>
      </c>
      <c r="G10" s="282"/>
      <c r="H10" s="282"/>
      <c r="I10" s="282" t="s">
        <v>155</v>
      </c>
      <c r="J10" s="282"/>
      <c r="K10" s="283" t="s">
        <v>79</v>
      </c>
      <c r="L10" s="283"/>
      <c r="M10" s="285" t="s">
        <v>80</v>
      </c>
      <c r="N10" s="285" t="s">
        <v>81</v>
      </c>
    </row>
    <row r="11" spans="1:18" s="20" customFormat="1" ht="30.75" customHeight="1" x14ac:dyDescent="0.2">
      <c r="A11" s="284"/>
      <c r="B11" s="284"/>
      <c r="C11" s="284"/>
      <c r="D11" s="284"/>
      <c r="E11" s="285"/>
      <c r="F11" s="16" t="s">
        <v>132</v>
      </c>
      <c r="G11" s="17" t="s">
        <v>133</v>
      </c>
      <c r="H11" s="16" t="s">
        <v>85</v>
      </c>
      <c r="I11" s="15" t="s">
        <v>156</v>
      </c>
      <c r="J11" s="15" t="s">
        <v>157</v>
      </c>
      <c r="K11" s="16" t="s">
        <v>158</v>
      </c>
      <c r="L11" s="17" t="s">
        <v>87</v>
      </c>
      <c r="M11" s="285"/>
      <c r="N11" s="285"/>
    </row>
    <row r="12" spans="1:18" s="20" customFormat="1" ht="15" customHeight="1" x14ac:dyDescent="0.2">
      <c r="A12" s="17" t="s">
        <v>89</v>
      </c>
      <c r="B12" s="17" t="s">
        <v>90</v>
      </c>
      <c r="C12" s="17" t="s">
        <v>91</v>
      </c>
      <c r="D12" s="16" t="s">
        <v>92</v>
      </c>
      <c r="E12" s="17" t="s">
        <v>93</v>
      </c>
      <c r="F12" s="17" t="s">
        <v>94</v>
      </c>
      <c r="G12" s="17" t="s">
        <v>95</v>
      </c>
      <c r="H12" s="17" t="s">
        <v>121</v>
      </c>
      <c r="I12" s="17" t="s">
        <v>159</v>
      </c>
      <c r="J12" s="17" t="s">
        <v>160</v>
      </c>
      <c r="K12" s="17" t="s">
        <v>98</v>
      </c>
      <c r="L12" s="17" t="s">
        <v>161</v>
      </c>
      <c r="M12" s="17" t="s">
        <v>162</v>
      </c>
      <c r="N12" s="17" t="s">
        <v>101</v>
      </c>
    </row>
    <row r="13" spans="1:18" s="20" customFormat="1" ht="30" customHeight="1" x14ac:dyDescent="0.2">
      <c r="A13" s="21">
        <v>1</v>
      </c>
      <c r="B13" s="23"/>
      <c r="C13" s="23" t="e">
        <f>VLOOKUP(B13,#REF!,3,0)</f>
        <v>#REF!</v>
      </c>
      <c r="D13" s="90" t="e">
        <f>VLOOKUP(B13,#REF!,4,0)</f>
        <v>#REF!</v>
      </c>
      <c r="E13" s="25" t="e">
        <f>VLOOKUP(B13,#REF!,5,0)</f>
        <v>#REF!</v>
      </c>
      <c r="F13" s="26"/>
      <c r="G13" s="27"/>
      <c r="H13" s="27">
        <f>G13*F13</f>
        <v>0</v>
      </c>
      <c r="I13" s="27">
        <f>H13</f>
        <v>0</v>
      </c>
      <c r="J13" s="27">
        <v>0</v>
      </c>
      <c r="K13" s="28">
        <v>0</v>
      </c>
      <c r="L13" s="27">
        <f>(I13+J13)*K13</f>
        <v>0</v>
      </c>
      <c r="M13" s="27">
        <f>H13-L13</f>
        <v>0</v>
      </c>
      <c r="N13" s="24" t="str">
        <f>A13&amp;"………..…"</f>
        <v>1………..…</v>
      </c>
    </row>
    <row r="14" spans="1:18" s="20" customFormat="1" ht="30" customHeight="1" x14ac:dyDescent="0.2">
      <c r="A14" s="17"/>
      <c r="B14" s="17" t="s">
        <v>102</v>
      </c>
      <c r="C14" s="17"/>
      <c r="D14" s="17"/>
      <c r="E14" s="17"/>
      <c r="F14" s="30">
        <v>0</v>
      </c>
      <c r="G14" s="31"/>
      <c r="H14" s="31">
        <v>0</v>
      </c>
      <c r="I14" s="31"/>
      <c r="J14" s="31"/>
      <c r="K14" s="31">
        <v>0</v>
      </c>
      <c r="L14" s="31">
        <v>0</v>
      </c>
      <c r="M14" s="31">
        <v>0</v>
      </c>
      <c r="N14" s="17"/>
    </row>
    <row r="15" spans="1:18" s="32" customFormat="1" ht="16" x14ac:dyDescent="0.2">
      <c r="A15" s="33" t="s">
        <v>103</v>
      </c>
      <c r="B15" s="33" t="s">
        <v>103</v>
      </c>
      <c r="C15" s="34"/>
      <c r="D15" s="91" t="e">
        <v>#NAME?</v>
      </c>
      <c r="E15" s="35"/>
      <c r="F15" s="35"/>
      <c r="G15" s="35"/>
      <c r="H15" s="35"/>
      <c r="I15" s="35"/>
      <c r="J15" s="35"/>
      <c r="K15" s="35"/>
      <c r="L15" s="35"/>
      <c r="M15" s="35"/>
      <c r="N15" s="36"/>
    </row>
    <row r="17" spans="1:14" ht="16" x14ac:dyDescent="0.2">
      <c r="A17" s="92" t="s">
        <v>163</v>
      </c>
    </row>
    <row r="18" spans="1:14" ht="16" x14ac:dyDescent="0.2">
      <c r="A18" s="92" t="s">
        <v>164</v>
      </c>
    </row>
    <row r="20" spans="1:14" ht="16" x14ac:dyDescent="0.2">
      <c r="D20" s="58"/>
      <c r="E20" s="58"/>
      <c r="F20" s="58"/>
      <c r="G20" s="58"/>
      <c r="H20" s="58"/>
      <c r="I20" s="58"/>
      <c r="J20" s="58"/>
      <c r="K20" s="58"/>
      <c r="L20" s="58"/>
      <c r="M20" s="38" t="s">
        <v>52</v>
      </c>
      <c r="N20" s="38"/>
    </row>
    <row r="21" spans="1:14" ht="16" x14ac:dyDescent="0.2">
      <c r="A21" s="39" t="s">
        <v>105</v>
      </c>
      <c r="D21" s="58"/>
      <c r="E21" s="58"/>
      <c r="F21" s="38" t="s">
        <v>106</v>
      </c>
      <c r="G21" s="58"/>
      <c r="H21" s="58"/>
      <c r="I21" s="58"/>
      <c r="J21" s="58"/>
      <c r="K21" s="58"/>
      <c r="L21" s="58"/>
    </row>
    <row r="22" spans="1:14" ht="16" x14ac:dyDescent="0.2">
      <c r="A22" s="39" t="s">
        <v>107</v>
      </c>
      <c r="D22" s="58"/>
      <c r="E22" s="58"/>
      <c r="F22" s="38" t="s">
        <v>108</v>
      </c>
      <c r="G22" s="58"/>
      <c r="H22" s="58"/>
      <c r="I22" s="58"/>
      <c r="J22" s="58"/>
      <c r="K22" s="58"/>
      <c r="L22" s="58"/>
      <c r="M22" s="32" t="s">
        <v>109</v>
      </c>
      <c r="N22" s="32"/>
    </row>
    <row r="23" spans="1:14" ht="16" x14ac:dyDescent="0.2">
      <c r="A23" s="39" t="s">
        <v>53</v>
      </c>
      <c r="D23" s="58"/>
      <c r="E23" s="58"/>
      <c r="F23" s="38"/>
      <c r="G23" s="58"/>
      <c r="H23" s="58"/>
      <c r="I23" s="58"/>
      <c r="J23" s="58"/>
      <c r="K23" s="58"/>
      <c r="L23" s="58"/>
      <c r="M23" s="32"/>
      <c r="N23" s="32"/>
    </row>
    <row r="24" spans="1:14" ht="16" x14ac:dyDescent="0.2">
      <c r="D24" s="58"/>
      <c r="E24" s="58"/>
      <c r="F24" s="38"/>
      <c r="G24" s="58"/>
      <c r="H24" s="58"/>
      <c r="I24" s="58"/>
      <c r="J24" s="58"/>
      <c r="K24" s="58"/>
      <c r="L24" s="58"/>
      <c r="M24" s="32"/>
      <c r="N24" s="32"/>
    </row>
    <row r="25" spans="1:14" ht="16" x14ac:dyDescent="0.2">
      <c r="D25" s="58"/>
      <c r="E25" s="58"/>
      <c r="F25" s="38"/>
      <c r="G25" s="58"/>
      <c r="H25" s="58"/>
      <c r="I25" s="58"/>
      <c r="J25" s="58"/>
      <c r="K25" s="58"/>
      <c r="L25" s="58"/>
      <c r="M25" s="32"/>
      <c r="N25" s="32"/>
    </row>
    <row r="26" spans="1:14" ht="16" x14ac:dyDescent="0.2">
      <c r="D26" s="58"/>
      <c r="E26" s="58"/>
      <c r="F26" s="38"/>
      <c r="G26" s="58"/>
      <c r="H26" s="58"/>
      <c r="I26" s="58"/>
      <c r="J26" s="58"/>
      <c r="K26" s="58"/>
      <c r="L26" s="58"/>
      <c r="M26" s="32"/>
      <c r="N26" s="32"/>
    </row>
    <row r="27" spans="1:14" ht="16" x14ac:dyDescent="0.2">
      <c r="A27" s="40" t="s">
        <v>8</v>
      </c>
      <c r="D27" s="58"/>
      <c r="E27" s="58"/>
      <c r="F27" s="41" t="s">
        <v>5</v>
      </c>
      <c r="G27" s="41"/>
      <c r="H27" s="58"/>
      <c r="I27" s="58"/>
      <c r="J27" s="58"/>
      <c r="K27" s="58"/>
      <c r="L27" s="58"/>
      <c r="M27" s="41" t="s">
        <v>110</v>
      </c>
      <c r="N27" s="41"/>
    </row>
    <row r="28" spans="1:14" ht="16" x14ac:dyDescent="0.2">
      <c r="A28" s="40" t="s">
        <v>111</v>
      </c>
      <c r="D28" s="58"/>
      <c r="E28" s="58"/>
      <c r="F28" s="42" t="s">
        <v>112</v>
      </c>
      <c r="G28" s="42"/>
      <c r="H28" s="58"/>
      <c r="I28" s="58"/>
      <c r="J28" s="58"/>
      <c r="K28" s="58"/>
      <c r="L28" s="58"/>
      <c r="M28" s="42" t="s">
        <v>113</v>
      </c>
      <c r="N28" s="42"/>
    </row>
    <row r="29" spans="1:14" ht="16" x14ac:dyDescent="0.2">
      <c r="D29" s="58"/>
      <c r="E29" s="58"/>
      <c r="F29" s="58"/>
      <c r="G29" s="58"/>
      <c r="H29" s="58"/>
      <c r="I29" s="58"/>
      <c r="J29" s="58"/>
      <c r="K29" s="58"/>
      <c r="L29" s="58"/>
    </row>
    <row r="30" spans="1:14" ht="16" x14ac:dyDescent="0.2">
      <c r="D30" s="58"/>
      <c r="E30" s="58"/>
      <c r="F30" s="58"/>
      <c r="G30" s="58"/>
      <c r="H30" s="58"/>
      <c r="I30" s="58"/>
      <c r="J30" s="58"/>
      <c r="K30" s="58"/>
      <c r="L30" s="58"/>
    </row>
    <row r="31" spans="1:14" ht="16" x14ac:dyDescent="0.2">
      <c r="D31" s="58"/>
      <c r="E31" s="58"/>
      <c r="F31" s="58"/>
      <c r="G31" s="58"/>
      <c r="H31" s="58"/>
      <c r="I31" s="58"/>
      <c r="J31" s="58"/>
      <c r="K31" s="58"/>
    </row>
  </sheetData>
  <mergeCells count="14">
    <mergeCell ref="A5:N5"/>
    <mergeCell ref="A6:N6"/>
    <mergeCell ref="A7:N7"/>
    <mergeCell ref="A8:N8"/>
    <mergeCell ref="F10:H10"/>
    <mergeCell ref="I10:J10"/>
    <mergeCell ref="K10:L10"/>
    <mergeCell ref="A10:A11"/>
    <mergeCell ref="B10:B11"/>
    <mergeCell ref="C10:C11"/>
    <mergeCell ref="D10:D11"/>
    <mergeCell ref="E10:E11"/>
    <mergeCell ref="M10:M11"/>
    <mergeCell ref="N10:N11"/>
  </mergeCells>
  <pageMargins left="0.196850393700787" right="0.36" top="0.59055118110236204" bottom="0.39370078740157499" header="0.31496062992126" footer="0.31496062992126"/>
  <pageSetup scale="75" orientation="landscape" useFirstPageNumber="1" horizontalDpi="120" verticalDpi="7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FF0000"/>
  </sheetPr>
  <dimension ref="A1:O54"/>
  <sheetViews>
    <sheetView zoomScaleNormal="100" workbookViewId="0">
      <selection activeCell="D38" sqref="D38"/>
    </sheetView>
  </sheetViews>
  <sheetFormatPr baseColWidth="10" defaultColWidth="9.1640625" defaultRowHeight="14" customHeight="1" x14ac:dyDescent="0.2"/>
  <cols>
    <col min="1" max="1" width="5.1640625" style="85" customWidth="1"/>
    <col min="2" max="2" width="28.1640625" style="85" customWidth="1"/>
    <col min="3" max="3" width="7.1640625" style="93" customWidth="1"/>
    <col min="4" max="4" width="15.33203125" style="85" customWidth="1"/>
    <col min="5" max="5" width="14.6640625" style="85" customWidth="1"/>
    <col min="6" max="6" width="14" style="85" customWidth="1"/>
    <col min="7" max="7" width="15" style="85" customWidth="1"/>
    <col min="8" max="8" width="12.6640625" style="85" customWidth="1"/>
    <col min="9" max="10" width="9.1640625" style="85" customWidth="1"/>
    <col min="11" max="11" width="11.6640625" style="85" customWidth="1"/>
    <col min="12" max="12" width="10.33203125" style="85" customWidth="1"/>
    <col min="13" max="13" width="10.6640625" style="94" customWidth="1"/>
    <col min="14" max="14" width="9.1640625" style="85" customWidth="1"/>
    <col min="15" max="16384" width="9.1640625" style="85"/>
  </cols>
  <sheetData>
    <row r="1" spans="1:8" ht="18" customHeight="1" x14ac:dyDescent="0.2">
      <c r="A1" s="62" t="s">
        <v>61</v>
      </c>
    </row>
    <row r="2" spans="1:8" ht="18" customHeight="1" x14ac:dyDescent="0.2">
      <c r="A2" s="62" t="s">
        <v>166</v>
      </c>
    </row>
    <row r="3" spans="1:8" ht="18" customHeight="1" x14ac:dyDescent="0.2">
      <c r="A3" s="62" t="s">
        <v>167</v>
      </c>
    </row>
    <row r="4" spans="1:8" ht="18" customHeight="1" x14ac:dyDescent="0.2">
      <c r="G4" s="62"/>
      <c r="H4" s="62"/>
    </row>
    <row r="5" spans="1:8" ht="18" customHeight="1" x14ac:dyDescent="0.2">
      <c r="A5" s="281" t="s">
        <v>168</v>
      </c>
      <c r="B5" s="281"/>
      <c r="C5" s="281"/>
      <c r="D5" s="281"/>
      <c r="E5" s="281"/>
      <c r="F5" s="281"/>
      <c r="G5" s="281"/>
      <c r="H5" s="281"/>
    </row>
    <row r="6" spans="1:8" ht="18" customHeight="1" x14ac:dyDescent="0.2">
      <c r="A6" s="281" t="s">
        <v>68</v>
      </c>
      <c r="B6" s="281"/>
      <c r="C6" s="281"/>
      <c r="D6" s="281"/>
      <c r="E6" s="281"/>
      <c r="F6" s="281"/>
      <c r="G6" s="281"/>
      <c r="H6" s="281"/>
    </row>
    <row r="7" spans="1:8" ht="18" customHeight="1" x14ac:dyDescent="0.2">
      <c r="A7" s="281" t="s">
        <v>70</v>
      </c>
      <c r="B7" s="281"/>
      <c r="C7" s="281"/>
      <c r="D7" s="281"/>
      <c r="E7" s="281"/>
      <c r="F7" s="281"/>
      <c r="G7" s="281"/>
      <c r="H7" s="281"/>
    </row>
    <row r="8" spans="1:8" ht="18" customHeight="1" x14ac:dyDescent="0.2">
      <c r="A8" s="281" t="s">
        <v>72</v>
      </c>
      <c r="B8" s="281"/>
      <c r="C8" s="281"/>
      <c r="D8" s="281"/>
      <c r="E8" s="281"/>
      <c r="F8" s="281"/>
      <c r="G8" s="281"/>
      <c r="H8" s="281"/>
    </row>
    <row r="9" spans="1:8" ht="18" customHeight="1" x14ac:dyDescent="0.2">
      <c r="A9" s="299"/>
      <c r="B9" s="299"/>
      <c r="C9" s="299"/>
      <c r="D9" s="299"/>
      <c r="E9" s="299"/>
      <c r="F9" s="299"/>
      <c r="G9" s="299"/>
      <c r="H9" s="299"/>
    </row>
    <row r="10" spans="1:8" ht="30" customHeight="1" x14ac:dyDescent="0.2">
      <c r="A10" s="303" t="s">
        <v>54</v>
      </c>
      <c r="B10" s="303" t="s">
        <v>76</v>
      </c>
      <c r="C10" s="304" t="s">
        <v>169</v>
      </c>
      <c r="D10" s="305"/>
      <c r="E10" s="305" t="s">
        <v>170</v>
      </c>
      <c r="F10" s="305" t="s">
        <v>171</v>
      </c>
      <c r="G10" s="307" t="s">
        <v>172</v>
      </c>
      <c r="H10" s="305" t="s">
        <v>81</v>
      </c>
    </row>
    <row r="11" spans="1:8" ht="42.75" customHeight="1" x14ac:dyDescent="0.2">
      <c r="A11" s="303"/>
      <c r="B11" s="303"/>
      <c r="C11" s="304"/>
      <c r="D11" s="305"/>
      <c r="E11" s="305"/>
      <c r="F11" s="305"/>
      <c r="G11" s="307"/>
      <c r="H11" s="305"/>
    </row>
    <row r="12" spans="1:8" ht="15.75" customHeight="1" x14ac:dyDescent="0.2">
      <c r="A12" s="95" t="s">
        <v>89</v>
      </c>
      <c r="B12" s="95" t="s">
        <v>90</v>
      </c>
      <c r="C12" s="96" t="s">
        <v>91</v>
      </c>
      <c r="D12" s="97" t="s">
        <v>92</v>
      </c>
      <c r="E12" s="98" t="s">
        <v>173</v>
      </c>
      <c r="F12" s="95" t="s">
        <v>94</v>
      </c>
      <c r="G12" s="98" t="s">
        <v>174</v>
      </c>
      <c r="H12" s="95" t="s">
        <v>96</v>
      </c>
    </row>
    <row r="13" spans="1:8" ht="40" customHeight="1" x14ac:dyDescent="0.2">
      <c r="A13" s="98">
        <v>1</v>
      </c>
      <c r="B13" s="23"/>
      <c r="C13" s="99">
        <v>0</v>
      </c>
      <c r="D13" s="100">
        <v>0</v>
      </c>
      <c r="E13" s="101">
        <f t="shared" ref="E13:E33" si="0">C13*D13</f>
        <v>0</v>
      </c>
      <c r="F13" s="101">
        <v>0</v>
      </c>
      <c r="G13" s="101">
        <f>E13+F13</f>
        <v>0</v>
      </c>
      <c r="H13" s="102" t="str">
        <f t="shared" ref="H13:H30" si="1">A13&amp;"…...……"</f>
        <v>1…...……</v>
      </c>
    </row>
    <row r="14" spans="1:8" ht="40" customHeight="1" x14ac:dyDescent="0.2">
      <c r="A14" s="98">
        <v>2</v>
      </c>
      <c r="B14" s="23"/>
      <c r="C14" s="99">
        <v>0</v>
      </c>
      <c r="D14" s="100">
        <v>0</v>
      </c>
      <c r="E14" s="101">
        <f t="shared" si="0"/>
        <v>0</v>
      </c>
      <c r="F14" s="101">
        <v>0</v>
      </c>
      <c r="G14" s="101">
        <f t="shared" ref="G14:G33" si="2">E14+F14</f>
        <v>0</v>
      </c>
      <c r="H14" s="102" t="str">
        <f t="shared" si="1"/>
        <v>2…...……</v>
      </c>
    </row>
    <row r="15" spans="1:8" ht="40" customHeight="1" x14ac:dyDescent="0.2">
      <c r="A15" s="98">
        <v>3</v>
      </c>
      <c r="B15" s="23"/>
      <c r="C15" s="99">
        <v>0</v>
      </c>
      <c r="D15" s="100">
        <v>0</v>
      </c>
      <c r="E15" s="101">
        <f t="shared" si="0"/>
        <v>0</v>
      </c>
      <c r="F15" s="101">
        <v>0</v>
      </c>
      <c r="G15" s="101">
        <f t="shared" si="2"/>
        <v>0</v>
      </c>
      <c r="H15" s="102" t="str">
        <f t="shared" si="1"/>
        <v>3…...……</v>
      </c>
    </row>
    <row r="16" spans="1:8" ht="40" customHeight="1" x14ac:dyDescent="0.2">
      <c r="A16" s="98">
        <v>4</v>
      </c>
      <c r="B16" s="23"/>
      <c r="C16" s="99">
        <v>0</v>
      </c>
      <c r="D16" s="100">
        <v>0</v>
      </c>
      <c r="E16" s="101">
        <f>C16*D16</f>
        <v>0</v>
      </c>
      <c r="F16" s="101">
        <v>0</v>
      </c>
      <c r="G16" s="101">
        <f t="shared" si="2"/>
        <v>0</v>
      </c>
      <c r="H16" s="102" t="str">
        <f t="shared" si="1"/>
        <v>4…...……</v>
      </c>
    </row>
    <row r="17" spans="1:8" ht="40" customHeight="1" x14ac:dyDescent="0.2">
      <c r="A17" s="98">
        <v>5</v>
      </c>
      <c r="B17" s="23"/>
      <c r="C17" s="99">
        <v>0</v>
      </c>
      <c r="D17" s="100">
        <v>0</v>
      </c>
      <c r="E17" s="101">
        <f>C17*D17</f>
        <v>0</v>
      </c>
      <c r="F17" s="101">
        <v>0</v>
      </c>
      <c r="G17" s="101">
        <f t="shared" si="2"/>
        <v>0</v>
      </c>
      <c r="H17" s="102" t="str">
        <f t="shared" si="1"/>
        <v>5…...……</v>
      </c>
    </row>
    <row r="18" spans="1:8" ht="40" customHeight="1" x14ac:dyDescent="0.2">
      <c r="A18" s="98">
        <v>6</v>
      </c>
      <c r="B18" s="23"/>
      <c r="C18" s="99">
        <v>0</v>
      </c>
      <c r="D18" s="100">
        <v>0</v>
      </c>
      <c r="E18" s="101">
        <f t="shared" si="0"/>
        <v>0</v>
      </c>
      <c r="F18" s="101">
        <v>0</v>
      </c>
      <c r="G18" s="101">
        <f t="shared" si="2"/>
        <v>0</v>
      </c>
      <c r="H18" s="102" t="str">
        <f t="shared" si="1"/>
        <v>6…...……</v>
      </c>
    </row>
    <row r="19" spans="1:8" ht="40" customHeight="1" x14ac:dyDescent="0.2">
      <c r="A19" s="98">
        <v>7</v>
      </c>
      <c r="B19" s="23"/>
      <c r="C19" s="99">
        <v>0</v>
      </c>
      <c r="D19" s="100">
        <v>0</v>
      </c>
      <c r="E19" s="101">
        <f t="shared" si="0"/>
        <v>0</v>
      </c>
      <c r="F19" s="101">
        <v>0</v>
      </c>
      <c r="G19" s="101">
        <f t="shared" si="2"/>
        <v>0</v>
      </c>
      <c r="H19" s="102" t="str">
        <f t="shared" si="1"/>
        <v>7…...……</v>
      </c>
    </row>
    <row r="20" spans="1:8" ht="40" customHeight="1" x14ac:dyDescent="0.2">
      <c r="A20" s="98">
        <v>8</v>
      </c>
      <c r="B20" s="23"/>
      <c r="C20" s="99">
        <v>0</v>
      </c>
      <c r="D20" s="100">
        <v>0</v>
      </c>
      <c r="E20" s="101">
        <f t="shared" si="0"/>
        <v>0</v>
      </c>
      <c r="F20" s="101">
        <v>0</v>
      </c>
      <c r="G20" s="101">
        <f t="shared" si="2"/>
        <v>0</v>
      </c>
      <c r="H20" s="102" t="str">
        <f t="shared" si="1"/>
        <v>8…...……</v>
      </c>
    </row>
    <row r="21" spans="1:8" ht="40" customHeight="1" x14ac:dyDescent="0.2">
      <c r="A21" s="98">
        <v>9</v>
      </c>
      <c r="B21" s="23"/>
      <c r="C21" s="99">
        <v>0</v>
      </c>
      <c r="D21" s="100">
        <v>0</v>
      </c>
      <c r="E21" s="101">
        <f t="shared" si="0"/>
        <v>0</v>
      </c>
      <c r="F21" s="101">
        <v>0</v>
      </c>
      <c r="G21" s="101">
        <f t="shared" si="2"/>
        <v>0</v>
      </c>
      <c r="H21" s="102" t="str">
        <f t="shared" si="1"/>
        <v>9…...……</v>
      </c>
    </row>
    <row r="22" spans="1:8" ht="40" customHeight="1" x14ac:dyDescent="0.2">
      <c r="A22" s="98">
        <v>10</v>
      </c>
      <c r="B22" s="23"/>
      <c r="C22" s="99">
        <v>0</v>
      </c>
      <c r="D22" s="100">
        <v>0</v>
      </c>
      <c r="E22" s="101">
        <f t="shared" si="0"/>
        <v>0</v>
      </c>
      <c r="F22" s="101">
        <v>0</v>
      </c>
      <c r="G22" s="101">
        <f t="shared" si="2"/>
        <v>0</v>
      </c>
      <c r="H22" s="102" t="str">
        <f t="shared" si="1"/>
        <v>10…...……</v>
      </c>
    </row>
    <row r="23" spans="1:8" ht="40" customHeight="1" x14ac:dyDescent="0.2">
      <c r="A23" s="98">
        <v>11</v>
      </c>
      <c r="B23" s="23"/>
      <c r="C23" s="99">
        <v>0</v>
      </c>
      <c r="D23" s="100">
        <v>0</v>
      </c>
      <c r="E23" s="101">
        <f t="shared" si="0"/>
        <v>0</v>
      </c>
      <c r="F23" s="101">
        <v>0</v>
      </c>
      <c r="G23" s="101">
        <f t="shared" si="2"/>
        <v>0</v>
      </c>
      <c r="H23" s="102" t="str">
        <f t="shared" si="1"/>
        <v>11…...……</v>
      </c>
    </row>
    <row r="24" spans="1:8" ht="40" customHeight="1" x14ac:dyDescent="0.2">
      <c r="A24" s="98">
        <v>12</v>
      </c>
      <c r="B24" s="23"/>
      <c r="C24" s="99">
        <v>0</v>
      </c>
      <c r="D24" s="100">
        <v>0</v>
      </c>
      <c r="E24" s="101">
        <f t="shared" si="0"/>
        <v>0</v>
      </c>
      <c r="F24" s="101">
        <v>0</v>
      </c>
      <c r="G24" s="101">
        <f t="shared" si="2"/>
        <v>0</v>
      </c>
      <c r="H24" s="102" t="str">
        <f t="shared" si="1"/>
        <v>12…...……</v>
      </c>
    </row>
    <row r="25" spans="1:8" ht="40" customHeight="1" x14ac:dyDescent="0.2">
      <c r="A25" s="98">
        <v>13</v>
      </c>
      <c r="B25" s="23"/>
      <c r="C25" s="99">
        <v>0</v>
      </c>
      <c r="D25" s="100">
        <v>0</v>
      </c>
      <c r="E25" s="101">
        <f t="shared" si="0"/>
        <v>0</v>
      </c>
      <c r="F25" s="101">
        <v>0</v>
      </c>
      <c r="G25" s="101">
        <f t="shared" si="2"/>
        <v>0</v>
      </c>
      <c r="H25" s="102" t="str">
        <f>A25&amp;"…...……"</f>
        <v>13…...……</v>
      </c>
    </row>
    <row r="26" spans="1:8" ht="40" customHeight="1" x14ac:dyDescent="0.2">
      <c r="A26" s="98">
        <v>14</v>
      </c>
      <c r="B26" s="23"/>
      <c r="C26" s="99">
        <v>0</v>
      </c>
      <c r="D26" s="100">
        <v>0</v>
      </c>
      <c r="E26" s="101">
        <f t="shared" si="0"/>
        <v>0</v>
      </c>
      <c r="F26" s="101">
        <v>0</v>
      </c>
      <c r="G26" s="101">
        <f t="shared" si="2"/>
        <v>0</v>
      </c>
      <c r="H26" s="102" t="str">
        <f t="shared" si="1"/>
        <v>14…...……</v>
      </c>
    </row>
    <row r="27" spans="1:8" ht="40" customHeight="1" x14ac:dyDescent="0.2">
      <c r="A27" s="98">
        <v>15</v>
      </c>
      <c r="B27" s="23"/>
      <c r="C27" s="99">
        <v>0</v>
      </c>
      <c r="D27" s="100">
        <v>0</v>
      </c>
      <c r="E27" s="101">
        <f t="shared" si="0"/>
        <v>0</v>
      </c>
      <c r="F27" s="101">
        <v>0</v>
      </c>
      <c r="G27" s="101">
        <f t="shared" si="2"/>
        <v>0</v>
      </c>
      <c r="H27" s="102" t="str">
        <f t="shared" si="1"/>
        <v>15…...……</v>
      </c>
    </row>
    <row r="28" spans="1:8" ht="40" customHeight="1" x14ac:dyDescent="0.2">
      <c r="A28" s="98">
        <v>16</v>
      </c>
      <c r="B28" s="23"/>
      <c r="C28" s="99">
        <v>0</v>
      </c>
      <c r="D28" s="100">
        <v>0</v>
      </c>
      <c r="E28" s="101">
        <f t="shared" si="0"/>
        <v>0</v>
      </c>
      <c r="F28" s="101">
        <v>0</v>
      </c>
      <c r="G28" s="101">
        <f t="shared" si="2"/>
        <v>0</v>
      </c>
      <c r="H28" s="102" t="str">
        <f>A28&amp;"…...……"</f>
        <v>16…...……</v>
      </c>
    </row>
    <row r="29" spans="1:8" ht="40" customHeight="1" x14ac:dyDescent="0.2">
      <c r="A29" s="98">
        <v>17</v>
      </c>
      <c r="B29" s="23"/>
      <c r="C29" s="99">
        <v>0</v>
      </c>
      <c r="D29" s="100">
        <v>0</v>
      </c>
      <c r="E29" s="101">
        <f t="shared" si="0"/>
        <v>0</v>
      </c>
      <c r="F29" s="101">
        <v>0</v>
      </c>
      <c r="G29" s="101">
        <f t="shared" si="2"/>
        <v>0</v>
      </c>
      <c r="H29" s="102" t="str">
        <f>A29&amp;"…...……"</f>
        <v>17…...……</v>
      </c>
    </row>
    <row r="30" spans="1:8" ht="40" customHeight="1" x14ac:dyDescent="0.2">
      <c r="A30" s="98">
        <v>18</v>
      </c>
      <c r="B30" s="23"/>
      <c r="C30" s="99">
        <v>0</v>
      </c>
      <c r="D30" s="100">
        <v>0</v>
      </c>
      <c r="E30" s="101">
        <f t="shared" si="0"/>
        <v>0</v>
      </c>
      <c r="F30" s="101">
        <v>0</v>
      </c>
      <c r="G30" s="101">
        <f t="shared" si="2"/>
        <v>0</v>
      </c>
      <c r="H30" s="102" t="str">
        <f t="shared" si="1"/>
        <v>18…...……</v>
      </c>
    </row>
    <row r="31" spans="1:8" ht="40" customHeight="1" x14ac:dyDescent="0.2">
      <c r="A31" s="98">
        <v>19</v>
      </c>
      <c r="B31" s="23"/>
      <c r="C31" s="99">
        <v>0</v>
      </c>
      <c r="D31" s="100">
        <v>0</v>
      </c>
      <c r="E31" s="101">
        <f t="shared" si="0"/>
        <v>0</v>
      </c>
      <c r="F31" s="101">
        <v>0</v>
      </c>
      <c r="G31" s="101">
        <f t="shared" si="2"/>
        <v>0</v>
      </c>
      <c r="H31" s="102" t="str">
        <f>A31&amp;"…...……"</f>
        <v>19…...……</v>
      </c>
    </row>
    <row r="32" spans="1:8" ht="40" customHeight="1" x14ac:dyDescent="0.2">
      <c r="A32" s="98">
        <v>20</v>
      </c>
      <c r="B32" s="23"/>
      <c r="C32" s="99">
        <v>0</v>
      </c>
      <c r="D32" s="100">
        <v>0</v>
      </c>
      <c r="E32" s="101">
        <f t="shared" si="0"/>
        <v>0</v>
      </c>
      <c r="F32" s="101">
        <v>0</v>
      </c>
      <c r="G32" s="101">
        <f t="shared" si="2"/>
        <v>0</v>
      </c>
      <c r="H32" s="102" t="str">
        <f>A32&amp;"…...……"</f>
        <v>20…...……</v>
      </c>
    </row>
    <row r="33" spans="1:15" ht="40" hidden="1" customHeight="1" x14ac:dyDescent="0.2">
      <c r="A33" s="98">
        <v>21</v>
      </c>
      <c r="B33" s="22"/>
      <c r="C33" s="99">
        <v>0</v>
      </c>
      <c r="D33" s="100">
        <v>0</v>
      </c>
      <c r="E33" s="101">
        <f t="shared" si="0"/>
        <v>0</v>
      </c>
      <c r="F33" s="101">
        <v>0</v>
      </c>
      <c r="G33" s="101">
        <f t="shared" si="2"/>
        <v>0</v>
      </c>
      <c r="H33" s="102" t="str">
        <f>A33&amp;"…...……"</f>
        <v>21…...……</v>
      </c>
    </row>
    <row r="34" spans="1:15" ht="27.75" customHeight="1" x14ac:dyDescent="0.2">
      <c r="A34" s="300" t="s">
        <v>175</v>
      </c>
      <c r="B34" s="300"/>
      <c r="C34" s="103">
        <v>0</v>
      </c>
      <c r="D34" s="104">
        <v>0</v>
      </c>
      <c r="E34" s="105">
        <v>0</v>
      </c>
      <c r="F34" s="105">
        <v>0</v>
      </c>
      <c r="G34" s="105">
        <v>0</v>
      </c>
      <c r="H34" s="106"/>
      <c r="K34" s="94"/>
      <c r="O34" s="107"/>
    </row>
    <row r="35" spans="1:15" s="81" customFormat="1" ht="30" customHeight="1" x14ac:dyDescent="0.2">
      <c r="A35" s="301" t="s">
        <v>103</v>
      </c>
      <c r="B35" s="301"/>
      <c r="C35" s="302" t="e">
        <v>#NAME?</v>
      </c>
      <c r="D35" s="302"/>
      <c r="E35" s="302"/>
      <c r="F35" s="302"/>
      <c r="G35" s="302"/>
      <c r="H35" s="302"/>
      <c r="M35" s="108"/>
    </row>
    <row r="36" spans="1:15" ht="14" customHeight="1" x14ac:dyDescent="0.2">
      <c r="H36" s="109"/>
    </row>
    <row r="37" spans="1:15" ht="15.5" customHeight="1" x14ac:dyDescent="0.2">
      <c r="G37" s="270" t="s">
        <v>52</v>
      </c>
      <c r="H37" s="270"/>
    </row>
    <row r="38" spans="1:15" ht="15.5" customHeight="1" x14ac:dyDescent="0.2">
      <c r="A38" s="85" t="s">
        <v>105</v>
      </c>
      <c r="C38" s="110"/>
      <c r="D38" s="111" t="s">
        <v>106</v>
      </c>
      <c r="E38" s="112"/>
      <c r="F38" s="112"/>
      <c r="G38" s="39"/>
      <c r="H38" s="39"/>
    </row>
    <row r="39" spans="1:15" ht="15.5" customHeight="1" x14ac:dyDescent="0.2">
      <c r="A39" s="85" t="s">
        <v>107</v>
      </c>
      <c r="C39" s="110"/>
      <c r="D39" s="111" t="s">
        <v>108</v>
      </c>
      <c r="E39" s="112"/>
      <c r="F39" s="112"/>
      <c r="G39" s="306" t="s">
        <v>109</v>
      </c>
      <c r="H39" s="306"/>
    </row>
    <row r="40" spans="1:15" ht="14" customHeight="1" x14ac:dyDescent="0.2">
      <c r="A40" s="85" t="s">
        <v>53</v>
      </c>
      <c r="C40" s="110"/>
      <c r="D40" s="111"/>
      <c r="E40" s="112"/>
      <c r="F40" s="112"/>
      <c r="G40" s="81"/>
      <c r="H40" s="81"/>
    </row>
    <row r="41" spans="1:15" ht="14" customHeight="1" x14ac:dyDescent="0.2">
      <c r="C41" s="110"/>
      <c r="D41" s="111"/>
      <c r="E41" s="112"/>
      <c r="F41" s="112"/>
      <c r="G41" s="81"/>
      <c r="H41" s="81"/>
    </row>
    <row r="42" spans="1:15" ht="14" customHeight="1" x14ac:dyDescent="0.2">
      <c r="C42" s="110"/>
      <c r="D42" s="111"/>
      <c r="E42" s="112"/>
      <c r="F42" s="112"/>
      <c r="G42" s="81"/>
      <c r="H42" s="81"/>
    </row>
    <row r="43" spans="1:15" ht="14" customHeight="1" x14ac:dyDescent="0.2">
      <c r="C43" s="110"/>
      <c r="D43" s="111"/>
      <c r="E43" s="112"/>
      <c r="F43" s="112"/>
      <c r="G43" s="81"/>
      <c r="H43" s="81"/>
    </row>
    <row r="44" spans="1:15" ht="15" customHeight="1" x14ac:dyDescent="0.2">
      <c r="A44" s="40" t="s">
        <v>8</v>
      </c>
      <c r="B44" s="113"/>
      <c r="C44" s="110"/>
      <c r="D44" s="41" t="s">
        <v>5</v>
      </c>
      <c r="E44" s="88"/>
      <c r="F44" s="112"/>
      <c r="G44" s="41" t="s">
        <v>110</v>
      </c>
      <c r="H44" s="41"/>
    </row>
    <row r="45" spans="1:15" ht="15" customHeight="1" x14ac:dyDescent="0.2">
      <c r="A45" s="40" t="s">
        <v>111</v>
      </c>
      <c r="B45" s="113"/>
      <c r="C45" s="110"/>
      <c r="D45" s="42" t="s">
        <v>112</v>
      </c>
      <c r="E45" s="89"/>
      <c r="F45" s="112"/>
      <c r="G45" s="42" t="s">
        <v>113</v>
      </c>
      <c r="H45" s="42"/>
    </row>
    <row r="46" spans="1:15" ht="14" customHeight="1" x14ac:dyDescent="0.2">
      <c r="C46" s="114"/>
      <c r="D46" s="115"/>
      <c r="E46" s="115"/>
    </row>
    <row r="50" spans="4:4" ht="14" customHeight="1" x14ac:dyDescent="0.2">
      <c r="D50" s="116"/>
    </row>
    <row r="51" spans="4:4" ht="14" customHeight="1" x14ac:dyDescent="0.2">
      <c r="D51" s="116"/>
    </row>
    <row r="52" spans="4:4" ht="14" customHeight="1" x14ac:dyDescent="0.2">
      <c r="D52" s="116"/>
    </row>
    <row r="53" spans="4:4" ht="14" customHeight="1" x14ac:dyDescent="0.2">
      <c r="D53" s="116"/>
    </row>
    <row r="54" spans="4:4" ht="14" customHeight="1" x14ac:dyDescent="0.2">
      <c r="D54" s="116"/>
    </row>
  </sheetData>
  <mergeCells count="18">
    <mergeCell ref="G37:H37"/>
    <mergeCell ref="G39:H39"/>
    <mergeCell ref="F10:F11"/>
    <mergeCell ref="G10:G11"/>
    <mergeCell ref="H10:H11"/>
    <mergeCell ref="A34:B34"/>
    <mergeCell ref="A35:B35"/>
    <mergeCell ref="C35:H35"/>
    <mergeCell ref="A10:A11"/>
    <mergeCell ref="B10:B11"/>
    <mergeCell ref="C10:C11"/>
    <mergeCell ref="D10:D11"/>
    <mergeCell ref="E10:E11"/>
    <mergeCell ref="A5:H5"/>
    <mergeCell ref="A6:H6"/>
    <mergeCell ref="A7:H7"/>
    <mergeCell ref="A8:H8"/>
    <mergeCell ref="A9:H9"/>
  </mergeCells>
  <pageMargins left="0.39370078740157483" right="0.39370078740157483" top="0.49" bottom="0.70866141732283472" header="0.31496062992125984" footer="0.31496062992125984"/>
  <pageSetup scale="85" orientation="portrait" useFirstPageNumber="1" horizontalDpi="120" verticalDpi="7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FF0000"/>
  </sheetPr>
  <dimension ref="A1:M46"/>
  <sheetViews>
    <sheetView zoomScaleNormal="100" workbookViewId="0">
      <selection activeCell="D10" sqref="D10:D11"/>
    </sheetView>
  </sheetViews>
  <sheetFormatPr baseColWidth="10" defaultColWidth="9.1640625" defaultRowHeight="14" customHeight="1" x14ac:dyDescent="0.2"/>
  <cols>
    <col min="1" max="1" width="5.1640625" style="85" customWidth="1"/>
    <col min="2" max="2" width="28.1640625" style="85" customWidth="1"/>
    <col min="3" max="3" width="9" style="93" customWidth="1"/>
    <col min="4" max="4" width="25.1640625" style="85" customWidth="1"/>
    <col min="5" max="5" width="20.1640625" style="85" customWidth="1"/>
    <col min="6" max="6" width="15.6640625" style="85" customWidth="1"/>
    <col min="7" max="8" width="9.1640625" style="85" customWidth="1"/>
    <col min="9" max="9" width="11.6640625" style="85" customWidth="1"/>
    <col min="10" max="10" width="10.33203125" style="85" customWidth="1"/>
    <col min="11" max="11" width="10.6640625" style="94" customWidth="1"/>
    <col min="12" max="12" width="9.1640625" style="85" customWidth="1"/>
    <col min="13" max="16384" width="9.1640625" style="85"/>
  </cols>
  <sheetData>
    <row r="1" spans="1:6" ht="18" customHeight="1" x14ac:dyDescent="0.2">
      <c r="A1" s="62" t="s">
        <v>61</v>
      </c>
    </row>
    <row r="2" spans="1:6" ht="18" customHeight="1" x14ac:dyDescent="0.2">
      <c r="A2" s="62" t="s">
        <v>166</v>
      </c>
    </row>
    <row r="3" spans="1:6" ht="18" customHeight="1" x14ac:dyDescent="0.2">
      <c r="A3" s="62" t="s">
        <v>167</v>
      </c>
    </row>
    <row r="4" spans="1:6" ht="18" customHeight="1" x14ac:dyDescent="0.2">
      <c r="E4" s="62"/>
      <c r="F4" s="62"/>
    </row>
    <row r="5" spans="1:6" ht="18" customHeight="1" x14ac:dyDescent="0.2">
      <c r="A5" s="281" t="s">
        <v>176</v>
      </c>
      <c r="B5" s="281"/>
      <c r="C5" s="281"/>
      <c r="D5" s="281"/>
      <c r="E5" s="281"/>
      <c r="F5" s="281"/>
    </row>
    <row r="6" spans="1:6" ht="18" customHeight="1" x14ac:dyDescent="0.2">
      <c r="A6" s="281" t="s">
        <v>68</v>
      </c>
      <c r="B6" s="281"/>
      <c r="C6" s="281"/>
      <c r="D6" s="281"/>
      <c r="E6" s="281"/>
      <c r="F6" s="281"/>
    </row>
    <row r="7" spans="1:6" ht="18" customHeight="1" x14ac:dyDescent="0.2">
      <c r="A7" s="281" t="s">
        <v>70</v>
      </c>
      <c r="B7" s="281"/>
      <c r="C7" s="281"/>
      <c r="D7" s="281"/>
      <c r="E7" s="281"/>
      <c r="F7" s="281"/>
    </row>
    <row r="8" spans="1:6" ht="18" customHeight="1" x14ac:dyDescent="0.2">
      <c r="A8" s="281" t="s">
        <v>72</v>
      </c>
      <c r="B8" s="281"/>
      <c r="C8" s="281"/>
      <c r="D8" s="281"/>
      <c r="E8" s="281"/>
      <c r="F8" s="281"/>
    </row>
    <row r="9" spans="1:6" ht="18" customHeight="1" x14ac:dyDescent="0.2">
      <c r="A9" s="299"/>
      <c r="B9" s="299"/>
      <c r="C9" s="299"/>
      <c r="D9" s="299"/>
      <c r="E9" s="299"/>
      <c r="F9" s="299"/>
    </row>
    <row r="10" spans="1:6" ht="30" customHeight="1" x14ac:dyDescent="0.2">
      <c r="A10" s="303" t="s">
        <v>54</v>
      </c>
      <c r="B10" s="303" t="s">
        <v>76</v>
      </c>
      <c r="C10" s="304" t="s">
        <v>169</v>
      </c>
      <c r="D10" s="305" t="s">
        <v>171</v>
      </c>
      <c r="E10" s="307" t="s">
        <v>172</v>
      </c>
      <c r="F10" s="305" t="s">
        <v>81</v>
      </c>
    </row>
    <row r="11" spans="1:6" ht="42.75" customHeight="1" x14ac:dyDescent="0.2">
      <c r="A11" s="303"/>
      <c r="B11" s="303"/>
      <c r="C11" s="304"/>
      <c r="D11" s="305"/>
      <c r="E11" s="307"/>
      <c r="F11" s="305"/>
    </row>
    <row r="12" spans="1:6" ht="15.75" customHeight="1" x14ac:dyDescent="0.2">
      <c r="A12" s="95" t="s">
        <v>89</v>
      </c>
      <c r="B12" s="95" t="s">
        <v>90</v>
      </c>
      <c r="C12" s="96" t="s">
        <v>91</v>
      </c>
      <c r="D12" s="95" t="s">
        <v>92</v>
      </c>
      <c r="E12" s="98" t="s">
        <v>173</v>
      </c>
      <c r="F12" s="95" t="s">
        <v>94</v>
      </c>
    </row>
    <row r="13" spans="1:6" ht="40" customHeight="1" x14ac:dyDescent="0.2">
      <c r="A13" s="98">
        <v>1</v>
      </c>
      <c r="B13" s="23" t="s">
        <v>20</v>
      </c>
      <c r="C13" s="99">
        <v>1</v>
      </c>
      <c r="D13" s="101">
        <v>150000</v>
      </c>
      <c r="E13" s="101">
        <f>C13*D13</f>
        <v>150000</v>
      </c>
      <c r="F13" s="102" t="str">
        <f t="shared" ref="F13:F31" si="0">A13&amp;"…...……"</f>
        <v>1…...……</v>
      </c>
    </row>
    <row r="14" spans="1:6" ht="40" customHeight="1" x14ac:dyDescent="0.2">
      <c r="A14" s="98">
        <v>2</v>
      </c>
      <c r="B14" s="23" t="s">
        <v>23</v>
      </c>
      <c r="C14" s="99">
        <v>1</v>
      </c>
      <c r="D14" s="101">
        <v>150000</v>
      </c>
      <c r="E14" s="101">
        <f t="shared" ref="E14:E33" si="1">C14*D14</f>
        <v>150000</v>
      </c>
      <c r="F14" s="102" t="s">
        <v>177</v>
      </c>
    </row>
    <row r="15" spans="1:6" ht="40" customHeight="1" x14ac:dyDescent="0.2">
      <c r="A15" s="98">
        <v>3</v>
      </c>
      <c r="B15" s="23" t="s">
        <v>21</v>
      </c>
      <c r="C15" s="99">
        <v>1</v>
      </c>
      <c r="D15" s="101">
        <v>150000</v>
      </c>
      <c r="E15" s="101">
        <v>150000</v>
      </c>
      <c r="F15" s="102" t="s">
        <v>178</v>
      </c>
    </row>
    <row r="16" spans="1:6" ht="40" customHeight="1" x14ac:dyDescent="0.2">
      <c r="A16" s="98">
        <v>4</v>
      </c>
      <c r="B16" s="23" t="s">
        <v>18</v>
      </c>
      <c r="C16" s="99">
        <v>1</v>
      </c>
      <c r="D16" s="101">
        <v>150000</v>
      </c>
      <c r="E16" s="101">
        <v>150000</v>
      </c>
      <c r="F16" s="102" t="s">
        <v>179</v>
      </c>
    </row>
    <row r="17" spans="1:6" ht="40" customHeight="1" x14ac:dyDescent="0.2">
      <c r="A17" s="98">
        <v>5</v>
      </c>
      <c r="B17" s="23" t="s">
        <v>19</v>
      </c>
      <c r="C17" s="99">
        <v>1</v>
      </c>
      <c r="D17" s="101">
        <v>150000</v>
      </c>
      <c r="E17" s="101">
        <v>150000</v>
      </c>
      <c r="F17" s="102" t="s">
        <v>180</v>
      </c>
    </row>
    <row r="18" spans="1:6" ht="40" customHeight="1" x14ac:dyDescent="0.2">
      <c r="A18" s="98">
        <v>6</v>
      </c>
      <c r="B18" s="23" t="s">
        <v>22</v>
      </c>
      <c r="C18" s="99">
        <v>1</v>
      </c>
      <c r="D18" s="101">
        <v>150000</v>
      </c>
      <c r="E18" s="101">
        <v>150000</v>
      </c>
      <c r="F18" s="102" t="s">
        <v>181</v>
      </c>
    </row>
    <row r="19" spans="1:6" ht="40" customHeight="1" x14ac:dyDescent="0.2">
      <c r="A19" s="98">
        <v>7</v>
      </c>
      <c r="B19" s="23"/>
      <c r="C19" s="99">
        <v>0</v>
      </c>
      <c r="D19" s="101">
        <v>0</v>
      </c>
      <c r="E19" s="101">
        <f t="shared" si="1"/>
        <v>0</v>
      </c>
      <c r="F19" s="102" t="str">
        <f t="shared" si="0"/>
        <v>7…...……</v>
      </c>
    </row>
    <row r="20" spans="1:6" ht="40" customHeight="1" x14ac:dyDescent="0.2">
      <c r="A20" s="98">
        <v>8</v>
      </c>
      <c r="B20" s="23"/>
      <c r="C20" s="99">
        <v>0</v>
      </c>
      <c r="D20" s="101">
        <v>0</v>
      </c>
      <c r="E20" s="101">
        <f t="shared" si="1"/>
        <v>0</v>
      </c>
      <c r="F20" s="102" t="str">
        <f t="shared" si="0"/>
        <v>8…...……</v>
      </c>
    </row>
    <row r="21" spans="1:6" ht="40" customHeight="1" x14ac:dyDescent="0.2">
      <c r="A21" s="98">
        <v>9</v>
      </c>
      <c r="B21" s="23"/>
      <c r="C21" s="99">
        <v>0</v>
      </c>
      <c r="D21" s="101">
        <v>0</v>
      </c>
      <c r="E21" s="101">
        <f t="shared" si="1"/>
        <v>0</v>
      </c>
      <c r="F21" s="102" t="str">
        <f t="shared" si="0"/>
        <v>9…...……</v>
      </c>
    </row>
    <row r="22" spans="1:6" ht="40" customHeight="1" x14ac:dyDescent="0.2">
      <c r="A22" s="98">
        <v>10</v>
      </c>
      <c r="B22" s="23"/>
      <c r="C22" s="99">
        <v>0</v>
      </c>
      <c r="D22" s="101">
        <v>0</v>
      </c>
      <c r="E22" s="101">
        <f t="shared" si="1"/>
        <v>0</v>
      </c>
      <c r="F22" s="102" t="str">
        <f t="shared" si="0"/>
        <v>10…...……</v>
      </c>
    </row>
    <row r="23" spans="1:6" ht="40" customHeight="1" x14ac:dyDescent="0.2">
      <c r="A23" s="98">
        <v>11</v>
      </c>
      <c r="B23" s="23"/>
      <c r="C23" s="99">
        <v>0</v>
      </c>
      <c r="D23" s="101">
        <v>0</v>
      </c>
      <c r="E23" s="101">
        <f t="shared" si="1"/>
        <v>0</v>
      </c>
      <c r="F23" s="102" t="str">
        <f t="shared" si="0"/>
        <v>11…...……</v>
      </c>
    </row>
    <row r="24" spans="1:6" ht="40" customHeight="1" x14ac:dyDescent="0.2">
      <c r="A24" s="98">
        <v>12</v>
      </c>
      <c r="B24" s="23"/>
      <c r="C24" s="99">
        <v>0</v>
      </c>
      <c r="D24" s="101">
        <v>0</v>
      </c>
      <c r="E24" s="101">
        <f t="shared" si="1"/>
        <v>0</v>
      </c>
      <c r="F24" s="102" t="str">
        <f t="shared" si="0"/>
        <v>12…...……</v>
      </c>
    </row>
    <row r="25" spans="1:6" ht="40" customHeight="1" x14ac:dyDescent="0.2">
      <c r="A25" s="98">
        <v>13</v>
      </c>
      <c r="B25" s="23"/>
      <c r="C25" s="99">
        <v>0</v>
      </c>
      <c r="D25" s="101">
        <v>0</v>
      </c>
      <c r="E25" s="101">
        <f t="shared" si="1"/>
        <v>0</v>
      </c>
      <c r="F25" s="102" t="str">
        <f t="shared" si="0"/>
        <v>13…...……</v>
      </c>
    </row>
    <row r="26" spans="1:6" ht="40" customHeight="1" x14ac:dyDescent="0.2">
      <c r="A26" s="98">
        <v>14</v>
      </c>
      <c r="B26" s="23"/>
      <c r="C26" s="99">
        <v>0</v>
      </c>
      <c r="D26" s="101">
        <v>0</v>
      </c>
      <c r="E26" s="101">
        <f t="shared" si="1"/>
        <v>0</v>
      </c>
      <c r="F26" s="102" t="str">
        <f t="shared" si="0"/>
        <v>14…...……</v>
      </c>
    </row>
    <row r="27" spans="1:6" ht="40" customHeight="1" x14ac:dyDescent="0.2">
      <c r="A27" s="98">
        <v>15</v>
      </c>
      <c r="B27" s="23"/>
      <c r="C27" s="99">
        <v>0</v>
      </c>
      <c r="D27" s="101">
        <v>0</v>
      </c>
      <c r="E27" s="101">
        <f t="shared" si="1"/>
        <v>0</v>
      </c>
      <c r="F27" s="102" t="str">
        <f t="shared" si="0"/>
        <v>15…...……</v>
      </c>
    </row>
    <row r="28" spans="1:6" ht="40" customHeight="1" x14ac:dyDescent="0.2">
      <c r="A28" s="98">
        <v>16</v>
      </c>
      <c r="B28" s="23"/>
      <c r="C28" s="99">
        <v>0</v>
      </c>
      <c r="D28" s="101">
        <v>0</v>
      </c>
      <c r="E28" s="101">
        <f t="shared" si="1"/>
        <v>0</v>
      </c>
      <c r="F28" s="102" t="str">
        <f t="shared" si="0"/>
        <v>16…...……</v>
      </c>
    </row>
    <row r="29" spans="1:6" ht="40" customHeight="1" x14ac:dyDescent="0.2">
      <c r="A29" s="98">
        <v>17</v>
      </c>
      <c r="B29" s="23"/>
      <c r="C29" s="99">
        <v>0</v>
      </c>
      <c r="D29" s="101">
        <v>0</v>
      </c>
      <c r="E29" s="101">
        <f t="shared" si="1"/>
        <v>0</v>
      </c>
      <c r="F29" s="102" t="str">
        <f t="shared" si="0"/>
        <v>17…...……</v>
      </c>
    </row>
    <row r="30" spans="1:6" ht="40" customHeight="1" x14ac:dyDescent="0.2">
      <c r="A30" s="98">
        <v>18</v>
      </c>
      <c r="B30" s="23"/>
      <c r="C30" s="99">
        <v>0</v>
      </c>
      <c r="D30" s="101">
        <v>0</v>
      </c>
      <c r="E30" s="101">
        <f t="shared" si="1"/>
        <v>0</v>
      </c>
      <c r="F30" s="102" t="str">
        <f t="shared" si="0"/>
        <v>18…...……</v>
      </c>
    </row>
    <row r="31" spans="1:6" ht="40" customHeight="1" x14ac:dyDescent="0.2">
      <c r="A31" s="98">
        <v>19</v>
      </c>
      <c r="B31" s="23"/>
      <c r="C31" s="99">
        <v>0</v>
      </c>
      <c r="D31" s="101">
        <v>0</v>
      </c>
      <c r="E31" s="101">
        <f t="shared" si="1"/>
        <v>0</v>
      </c>
      <c r="F31" s="102" t="str">
        <f t="shared" si="0"/>
        <v>19…...……</v>
      </c>
    </row>
    <row r="32" spans="1:6" ht="40" customHeight="1" x14ac:dyDescent="0.2">
      <c r="A32" s="98">
        <v>20</v>
      </c>
      <c r="B32" s="23"/>
      <c r="C32" s="99">
        <v>0</v>
      </c>
      <c r="D32" s="101">
        <v>0</v>
      </c>
      <c r="E32" s="101">
        <f t="shared" si="1"/>
        <v>0</v>
      </c>
      <c r="F32" s="102" t="str">
        <f>A32&amp;"…...……"</f>
        <v>20…...……</v>
      </c>
    </row>
    <row r="33" spans="1:13" ht="40" hidden="1" customHeight="1" x14ac:dyDescent="0.2">
      <c r="A33" s="98">
        <v>21</v>
      </c>
      <c r="B33" s="22"/>
      <c r="C33" s="99">
        <v>0</v>
      </c>
      <c r="D33" s="101">
        <v>0</v>
      </c>
      <c r="E33" s="101">
        <f t="shared" si="1"/>
        <v>0</v>
      </c>
      <c r="F33" s="102" t="str">
        <f>A33&amp;"…...……"</f>
        <v>21…...……</v>
      </c>
    </row>
    <row r="34" spans="1:13" ht="27.75" customHeight="1" x14ac:dyDescent="0.2">
      <c r="A34" s="300" t="s">
        <v>175</v>
      </c>
      <c r="B34" s="300"/>
      <c r="C34" s="103">
        <v>6</v>
      </c>
      <c r="D34" s="105">
        <v>900000</v>
      </c>
      <c r="E34" s="101">
        <v>900000</v>
      </c>
      <c r="F34" s="106"/>
      <c r="I34" s="94"/>
      <c r="M34" s="107"/>
    </row>
    <row r="35" spans="1:13" s="81" customFormat="1" ht="30" customHeight="1" x14ac:dyDescent="0.2">
      <c r="A35" s="301" t="s">
        <v>103</v>
      </c>
      <c r="B35" s="301"/>
      <c r="C35" s="302" t="e">
        <v>#NAME?</v>
      </c>
      <c r="D35" s="302"/>
      <c r="E35" s="302"/>
      <c r="F35" s="302"/>
      <c r="K35" s="108"/>
    </row>
    <row r="36" spans="1:13" ht="14" customHeight="1" x14ac:dyDescent="0.2">
      <c r="F36" s="109"/>
    </row>
    <row r="37" spans="1:13" ht="15.5" customHeight="1" x14ac:dyDescent="0.2">
      <c r="E37" s="270" t="s">
        <v>52</v>
      </c>
      <c r="F37" s="270"/>
    </row>
    <row r="38" spans="1:13" ht="15.5" customHeight="1" x14ac:dyDescent="0.2">
      <c r="A38" s="85" t="s">
        <v>105</v>
      </c>
      <c r="C38" s="111" t="s">
        <v>106</v>
      </c>
      <c r="D38" s="111"/>
      <c r="E38" s="39"/>
      <c r="F38" s="39"/>
    </row>
    <row r="39" spans="1:13" ht="15.5" customHeight="1" x14ac:dyDescent="0.2">
      <c r="A39" s="85" t="s">
        <v>107</v>
      </c>
      <c r="C39" s="111" t="s">
        <v>108</v>
      </c>
      <c r="D39" s="111"/>
      <c r="E39" s="306" t="s">
        <v>109</v>
      </c>
      <c r="F39" s="306"/>
    </row>
    <row r="40" spans="1:13" ht="14" customHeight="1" x14ac:dyDescent="0.2">
      <c r="A40" s="85" t="s">
        <v>53</v>
      </c>
      <c r="C40" s="111"/>
      <c r="D40" s="111"/>
      <c r="E40" s="81"/>
      <c r="F40" s="81"/>
    </row>
    <row r="41" spans="1:13" ht="14" customHeight="1" x14ac:dyDescent="0.2">
      <c r="C41" s="111"/>
      <c r="D41" s="111"/>
      <c r="E41" s="81"/>
      <c r="F41" s="81"/>
    </row>
    <row r="42" spans="1:13" ht="14" customHeight="1" x14ac:dyDescent="0.2">
      <c r="C42" s="111"/>
      <c r="D42" s="111"/>
      <c r="E42" s="81"/>
      <c r="F42" s="81"/>
    </row>
    <row r="43" spans="1:13" ht="14" customHeight="1" x14ac:dyDescent="0.2">
      <c r="C43" s="111"/>
      <c r="D43" s="111"/>
      <c r="E43" s="81"/>
      <c r="F43" s="81"/>
    </row>
    <row r="44" spans="1:13" ht="15" customHeight="1" x14ac:dyDescent="0.2">
      <c r="A44" s="40" t="s">
        <v>8</v>
      </c>
      <c r="B44" s="113"/>
      <c r="C44" s="41" t="s">
        <v>5</v>
      </c>
      <c r="D44" s="41"/>
      <c r="E44" s="41" t="s">
        <v>110</v>
      </c>
      <c r="F44" s="41"/>
    </row>
    <row r="45" spans="1:13" ht="15" customHeight="1" x14ac:dyDescent="0.2">
      <c r="A45" s="40" t="s">
        <v>111</v>
      </c>
      <c r="B45" s="113"/>
      <c r="C45" s="42" t="s">
        <v>112</v>
      </c>
      <c r="D45" s="42"/>
      <c r="E45" s="42" t="s">
        <v>113</v>
      </c>
      <c r="F45" s="42"/>
    </row>
    <row r="46" spans="1:13" ht="14" customHeight="1" x14ac:dyDescent="0.2">
      <c r="C46" s="114"/>
    </row>
  </sheetData>
  <mergeCells count="16">
    <mergeCell ref="E39:F39"/>
    <mergeCell ref="F10:F11"/>
    <mergeCell ref="A34:B34"/>
    <mergeCell ref="A35:B35"/>
    <mergeCell ref="C35:F35"/>
    <mergeCell ref="E37:F37"/>
    <mergeCell ref="A10:A11"/>
    <mergeCell ref="B10:B11"/>
    <mergeCell ref="C10:C11"/>
    <mergeCell ref="D10:D11"/>
    <mergeCell ref="E10:E11"/>
    <mergeCell ref="A5:F5"/>
    <mergeCell ref="A6:F6"/>
    <mergeCell ref="A7:F7"/>
    <mergeCell ref="A8:F8"/>
    <mergeCell ref="A9:F9"/>
  </mergeCells>
  <pageMargins left="0.39370078740157483" right="0.39370078740157483" top="0.49" bottom="0.70866141732283472" header="0.31496062992125984" footer="0.31496062992125984"/>
  <pageSetup scale="85" orientation="portrait" useFirstPageNumber="1" horizontalDpi="120" verticalDpi="7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FF0000"/>
  </sheetPr>
  <dimension ref="A1:M46"/>
  <sheetViews>
    <sheetView zoomScaleNormal="100" workbookViewId="0">
      <selection activeCell="C10" sqref="C10:C11"/>
    </sheetView>
  </sheetViews>
  <sheetFormatPr baseColWidth="10" defaultColWidth="9.1640625" defaultRowHeight="14" customHeight="1" x14ac:dyDescent="0.2"/>
  <cols>
    <col min="1" max="1" width="5.1640625" style="85" customWidth="1"/>
    <col min="2" max="2" width="28.1640625" style="85" customWidth="1"/>
    <col min="3" max="3" width="9" style="93" customWidth="1"/>
    <col min="4" max="4" width="25.1640625" style="85" customWidth="1"/>
    <col min="5" max="5" width="20.1640625" style="85" customWidth="1"/>
    <col min="6" max="6" width="15.6640625" style="85" customWidth="1"/>
    <col min="7" max="8" width="9.1640625" style="85" customWidth="1"/>
    <col min="9" max="9" width="11.6640625" style="85" customWidth="1"/>
    <col min="10" max="10" width="10.33203125" style="85" customWidth="1"/>
    <col min="11" max="11" width="10.6640625" style="94" customWidth="1"/>
    <col min="12" max="12" width="9.1640625" style="85" customWidth="1"/>
    <col min="13" max="16384" width="9.1640625" style="85"/>
  </cols>
  <sheetData>
    <row r="1" spans="1:9" ht="18" customHeight="1" x14ac:dyDescent="0.2">
      <c r="A1" s="62" t="s">
        <v>61</v>
      </c>
    </row>
    <row r="2" spans="1:9" ht="18" customHeight="1" x14ac:dyDescent="0.2">
      <c r="A2" s="62" t="s">
        <v>166</v>
      </c>
      <c r="I2" s="85" t="s">
        <v>63</v>
      </c>
    </row>
    <row r="3" spans="1:9" ht="18" customHeight="1" x14ac:dyDescent="0.2">
      <c r="A3" s="62" t="s">
        <v>167</v>
      </c>
      <c r="I3" s="85" t="s">
        <v>182</v>
      </c>
    </row>
    <row r="4" spans="1:9" ht="18" customHeight="1" x14ac:dyDescent="0.2">
      <c r="E4" s="62"/>
      <c r="F4" s="62"/>
    </row>
    <row r="5" spans="1:9" ht="18" customHeight="1" x14ac:dyDescent="0.2">
      <c r="A5" s="281" t="s">
        <v>183</v>
      </c>
      <c r="B5" s="281"/>
      <c r="C5" s="281"/>
      <c r="D5" s="281"/>
      <c r="E5" s="281"/>
      <c r="F5" s="281"/>
    </row>
    <row r="6" spans="1:9" ht="18" customHeight="1" x14ac:dyDescent="0.2">
      <c r="A6" s="281" t="s">
        <v>68</v>
      </c>
      <c r="B6" s="281"/>
      <c r="C6" s="281"/>
      <c r="D6" s="281"/>
      <c r="E6" s="281"/>
      <c r="F6" s="281"/>
    </row>
    <row r="7" spans="1:9" ht="18" customHeight="1" x14ac:dyDescent="0.2">
      <c r="A7" s="281" t="s">
        <v>70</v>
      </c>
      <c r="B7" s="281"/>
      <c r="C7" s="281"/>
      <c r="D7" s="281"/>
      <c r="E7" s="281"/>
      <c r="F7" s="281"/>
    </row>
    <row r="8" spans="1:9" ht="18" customHeight="1" x14ac:dyDescent="0.2">
      <c r="A8" s="281" t="s">
        <v>72</v>
      </c>
      <c r="B8" s="281"/>
      <c r="C8" s="281"/>
      <c r="D8" s="281"/>
      <c r="E8" s="281"/>
      <c r="F8" s="281"/>
    </row>
    <row r="9" spans="1:9" ht="18" customHeight="1" x14ac:dyDescent="0.2">
      <c r="A9" s="299"/>
      <c r="B9" s="299"/>
      <c r="C9" s="299"/>
      <c r="D9" s="299"/>
      <c r="E9" s="299"/>
      <c r="F9" s="299"/>
    </row>
    <row r="10" spans="1:9" ht="30" customHeight="1" x14ac:dyDescent="0.2">
      <c r="A10" s="303" t="s">
        <v>54</v>
      </c>
      <c r="B10" s="303" t="s">
        <v>76</v>
      </c>
      <c r="C10" s="308"/>
      <c r="D10" s="305" t="s">
        <v>184</v>
      </c>
      <c r="E10" s="309" t="s">
        <v>185</v>
      </c>
      <c r="F10" s="305" t="s">
        <v>81</v>
      </c>
    </row>
    <row r="11" spans="1:9" ht="42.75" customHeight="1" x14ac:dyDescent="0.2">
      <c r="A11" s="303"/>
      <c r="B11" s="303"/>
      <c r="C11" s="308"/>
      <c r="D11" s="305"/>
      <c r="E11" s="309"/>
      <c r="F11" s="305"/>
    </row>
    <row r="12" spans="1:9" ht="15.75" customHeight="1" x14ac:dyDescent="0.2">
      <c r="A12" s="95" t="s">
        <v>89</v>
      </c>
      <c r="B12" s="95" t="s">
        <v>90</v>
      </c>
      <c r="C12" s="96" t="s">
        <v>91</v>
      </c>
      <c r="D12" s="95" t="s">
        <v>92</v>
      </c>
      <c r="E12" s="98" t="s">
        <v>173</v>
      </c>
      <c r="F12" s="95" t="s">
        <v>94</v>
      </c>
    </row>
    <row r="13" spans="1:9" ht="40" customHeight="1" x14ac:dyDescent="0.2">
      <c r="A13" s="98">
        <v>1</v>
      </c>
      <c r="B13" s="23"/>
      <c r="C13" s="99">
        <v>3</v>
      </c>
      <c r="D13" s="101">
        <v>0</v>
      </c>
      <c r="E13" s="101">
        <f>C13*D13</f>
        <v>0</v>
      </c>
      <c r="F13" s="102" t="str">
        <f t="shared" ref="F13:F31" si="0">A13&amp;"…...……"</f>
        <v>1…...……</v>
      </c>
    </row>
    <row r="14" spans="1:9" ht="40" customHeight="1" x14ac:dyDescent="0.2">
      <c r="A14" s="98">
        <v>2</v>
      </c>
      <c r="B14" s="23"/>
      <c r="C14" s="99">
        <v>3</v>
      </c>
      <c r="D14" s="101">
        <v>0</v>
      </c>
      <c r="E14" s="101">
        <f t="shared" ref="E14:E33" si="1">C14*D14</f>
        <v>0</v>
      </c>
      <c r="F14" s="102" t="str">
        <f t="shared" si="0"/>
        <v>2…...……</v>
      </c>
    </row>
    <row r="15" spans="1:9" ht="40" customHeight="1" x14ac:dyDescent="0.2">
      <c r="A15" s="98">
        <v>3</v>
      </c>
      <c r="B15" s="23"/>
      <c r="C15" s="99">
        <v>3</v>
      </c>
      <c r="D15" s="101">
        <v>0</v>
      </c>
      <c r="E15" s="101">
        <f t="shared" si="1"/>
        <v>0</v>
      </c>
      <c r="F15" s="102" t="str">
        <f t="shared" si="0"/>
        <v>3…...……</v>
      </c>
    </row>
    <row r="16" spans="1:9" ht="40" customHeight="1" x14ac:dyDescent="0.2">
      <c r="A16" s="98">
        <v>4</v>
      </c>
      <c r="B16" s="23"/>
      <c r="C16" s="99">
        <v>3</v>
      </c>
      <c r="D16" s="101">
        <v>0</v>
      </c>
      <c r="E16" s="101">
        <f t="shared" si="1"/>
        <v>0</v>
      </c>
      <c r="F16" s="102" t="str">
        <f t="shared" si="0"/>
        <v>4…...……</v>
      </c>
    </row>
    <row r="17" spans="1:6" ht="40" customHeight="1" x14ac:dyDescent="0.2">
      <c r="A17" s="98">
        <v>5</v>
      </c>
      <c r="B17" s="23"/>
      <c r="C17" s="99">
        <v>3</v>
      </c>
      <c r="D17" s="101">
        <v>0</v>
      </c>
      <c r="E17" s="101">
        <f t="shared" si="1"/>
        <v>0</v>
      </c>
      <c r="F17" s="102" t="str">
        <f t="shared" si="0"/>
        <v>5…...……</v>
      </c>
    </row>
    <row r="18" spans="1:6" ht="40" customHeight="1" x14ac:dyDescent="0.2">
      <c r="A18" s="98">
        <v>6</v>
      </c>
      <c r="B18" s="23"/>
      <c r="C18" s="99">
        <v>3</v>
      </c>
      <c r="D18" s="101">
        <v>0</v>
      </c>
      <c r="E18" s="101">
        <f t="shared" si="1"/>
        <v>0</v>
      </c>
      <c r="F18" s="102" t="str">
        <f t="shared" si="0"/>
        <v>6…...……</v>
      </c>
    </row>
    <row r="19" spans="1:6" ht="40" customHeight="1" x14ac:dyDescent="0.2">
      <c r="A19" s="98">
        <v>7</v>
      </c>
      <c r="B19" s="23"/>
      <c r="C19" s="99">
        <v>3</v>
      </c>
      <c r="D19" s="101">
        <v>0</v>
      </c>
      <c r="E19" s="101">
        <f t="shared" si="1"/>
        <v>0</v>
      </c>
      <c r="F19" s="102" t="str">
        <f t="shared" si="0"/>
        <v>7…...……</v>
      </c>
    </row>
    <row r="20" spans="1:6" ht="40" customHeight="1" x14ac:dyDescent="0.2">
      <c r="A20" s="98">
        <v>8</v>
      </c>
      <c r="B20" s="23"/>
      <c r="C20" s="99">
        <v>3</v>
      </c>
      <c r="D20" s="101">
        <v>0</v>
      </c>
      <c r="E20" s="101">
        <f t="shared" si="1"/>
        <v>0</v>
      </c>
      <c r="F20" s="102" t="str">
        <f t="shared" si="0"/>
        <v>8…...……</v>
      </c>
    </row>
    <row r="21" spans="1:6" ht="40" customHeight="1" x14ac:dyDescent="0.2">
      <c r="A21" s="98">
        <v>9</v>
      </c>
      <c r="B21" s="23"/>
      <c r="C21" s="99">
        <v>3</v>
      </c>
      <c r="D21" s="101">
        <v>0</v>
      </c>
      <c r="E21" s="101">
        <f t="shared" si="1"/>
        <v>0</v>
      </c>
      <c r="F21" s="102" t="str">
        <f t="shared" si="0"/>
        <v>9…...……</v>
      </c>
    </row>
    <row r="22" spans="1:6" ht="40" customHeight="1" x14ac:dyDescent="0.2">
      <c r="A22" s="98">
        <v>10</v>
      </c>
      <c r="B22" s="23"/>
      <c r="C22" s="99">
        <v>3</v>
      </c>
      <c r="D22" s="101">
        <v>0</v>
      </c>
      <c r="E22" s="101">
        <f t="shared" si="1"/>
        <v>0</v>
      </c>
      <c r="F22" s="102" t="str">
        <f t="shared" si="0"/>
        <v>10…...……</v>
      </c>
    </row>
    <row r="23" spans="1:6" ht="40" customHeight="1" x14ac:dyDescent="0.2">
      <c r="A23" s="98">
        <v>11</v>
      </c>
      <c r="B23" s="23"/>
      <c r="C23" s="99">
        <v>3</v>
      </c>
      <c r="D23" s="101">
        <v>0</v>
      </c>
      <c r="E23" s="101">
        <f t="shared" si="1"/>
        <v>0</v>
      </c>
      <c r="F23" s="102" t="str">
        <f t="shared" si="0"/>
        <v>11…...……</v>
      </c>
    </row>
    <row r="24" spans="1:6" ht="40" customHeight="1" x14ac:dyDescent="0.2">
      <c r="A24" s="98">
        <v>12</v>
      </c>
      <c r="B24" s="23"/>
      <c r="C24" s="99">
        <v>3</v>
      </c>
      <c r="D24" s="101">
        <v>0</v>
      </c>
      <c r="E24" s="101">
        <f t="shared" si="1"/>
        <v>0</v>
      </c>
      <c r="F24" s="102" t="str">
        <f t="shared" si="0"/>
        <v>12…...……</v>
      </c>
    </row>
    <row r="25" spans="1:6" ht="40" customHeight="1" x14ac:dyDescent="0.2">
      <c r="A25" s="98">
        <v>13</v>
      </c>
      <c r="B25" s="23"/>
      <c r="C25" s="99">
        <v>3</v>
      </c>
      <c r="D25" s="101">
        <v>0</v>
      </c>
      <c r="E25" s="101">
        <f t="shared" si="1"/>
        <v>0</v>
      </c>
      <c r="F25" s="102" t="str">
        <f t="shared" si="0"/>
        <v>13…...……</v>
      </c>
    </row>
    <row r="26" spans="1:6" ht="40" customHeight="1" x14ac:dyDescent="0.2">
      <c r="A26" s="98">
        <v>14</v>
      </c>
      <c r="B26" s="23"/>
      <c r="C26" s="99">
        <v>3</v>
      </c>
      <c r="D26" s="101">
        <v>0</v>
      </c>
      <c r="E26" s="101">
        <f t="shared" si="1"/>
        <v>0</v>
      </c>
      <c r="F26" s="102" t="str">
        <f t="shared" si="0"/>
        <v>14…...……</v>
      </c>
    </row>
    <row r="27" spans="1:6" ht="40" customHeight="1" x14ac:dyDescent="0.2">
      <c r="A27" s="98">
        <v>15</v>
      </c>
      <c r="B27" s="23"/>
      <c r="C27" s="99">
        <v>3</v>
      </c>
      <c r="D27" s="101">
        <v>0</v>
      </c>
      <c r="E27" s="101">
        <f t="shared" si="1"/>
        <v>0</v>
      </c>
      <c r="F27" s="102" t="str">
        <f t="shared" si="0"/>
        <v>15…...……</v>
      </c>
    </row>
    <row r="28" spans="1:6" ht="40" customHeight="1" x14ac:dyDescent="0.2">
      <c r="A28" s="98">
        <v>16</v>
      </c>
      <c r="B28" s="23"/>
      <c r="C28" s="99">
        <v>3</v>
      </c>
      <c r="D28" s="101">
        <v>0</v>
      </c>
      <c r="E28" s="101">
        <f t="shared" si="1"/>
        <v>0</v>
      </c>
      <c r="F28" s="102" t="str">
        <f t="shared" si="0"/>
        <v>16…...……</v>
      </c>
    </row>
    <row r="29" spans="1:6" ht="40" customHeight="1" x14ac:dyDescent="0.2">
      <c r="A29" s="98">
        <v>17</v>
      </c>
      <c r="B29" s="23"/>
      <c r="C29" s="99">
        <v>3</v>
      </c>
      <c r="D29" s="101">
        <v>0</v>
      </c>
      <c r="E29" s="101">
        <f t="shared" si="1"/>
        <v>0</v>
      </c>
      <c r="F29" s="102" t="str">
        <f t="shared" si="0"/>
        <v>17…...……</v>
      </c>
    </row>
    <row r="30" spans="1:6" ht="40" customHeight="1" x14ac:dyDescent="0.2">
      <c r="A30" s="98">
        <v>18</v>
      </c>
      <c r="B30" s="23"/>
      <c r="C30" s="99">
        <v>3</v>
      </c>
      <c r="D30" s="101">
        <v>0</v>
      </c>
      <c r="E30" s="101">
        <f t="shared" si="1"/>
        <v>0</v>
      </c>
      <c r="F30" s="102" t="str">
        <f t="shared" si="0"/>
        <v>18…...……</v>
      </c>
    </row>
    <row r="31" spans="1:6" ht="40" customHeight="1" x14ac:dyDescent="0.2">
      <c r="A31" s="98">
        <v>19</v>
      </c>
      <c r="B31" s="23"/>
      <c r="C31" s="99">
        <v>3</v>
      </c>
      <c r="D31" s="101">
        <v>0</v>
      </c>
      <c r="E31" s="101">
        <f t="shared" si="1"/>
        <v>0</v>
      </c>
      <c r="F31" s="102" t="str">
        <f t="shared" si="0"/>
        <v>19…...……</v>
      </c>
    </row>
    <row r="32" spans="1:6" ht="40" customHeight="1" x14ac:dyDescent="0.2">
      <c r="A32" s="98">
        <v>20</v>
      </c>
      <c r="B32" s="23"/>
      <c r="C32" s="99">
        <v>3</v>
      </c>
      <c r="D32" s="101">
        <v>0</v>
      </c>
      <c r="E32" s="101">
        <f t="shared" si="1"/>
        <v>0</v>
      </c>
      <c r="F32" s="102" t="str">
        <f>A32&amp;"…...……"</f>
        <v>20…...……</v>
      </c>
    </row>
    <row r="33" spans="1:13" ht="40" hidden="1" customHeight="1" x14ac:dyDescent="0.2">
      <c r="A33" s="98">
        <v>21</v>
      </c>
      <c r="B33" s="22"/>
      <c r="C33" s="99">
        <v>0</v>
      </c>
      <c r="D33" s="101">
        <v>0</v>
      </c>
      <c r="E33" s="101">
        <f t="shared" si="1"/>
        <v>0</v>
      </c>
      <c r="F33" s="102" t="str">
        <f>A33&amp;"…...……"</f>
        <v>21…...……</v>
      </c>
    </row>
    <row r="34" spans="1:13" ht="27.75" customHeight="1" x14ac:dyDescent="0.2">
      <c r="A34" s="300" t="s">
        <v>175</v>
      </c>
      <c r="B34" s="300"/>
      <c r="C34" s="103">
        <v>0</v>
      </c>
      <c r="D34" s="105">
        <v>0</v>
      </c>
      <c r="E34" s="101">
        <v>0</v>
      </c>
      <c r="F34" s="106"/>
      <c r="I34" s="94"/>
      <c r="M34" s="107"/>
    </row>
    <row r="35" spans="1:13" s="81" customFormat="1" ht="30" customHeight="1" x14ac:dyDescent="0.2">
      <c r="A35" s="301" t="s">
        <v>103</v>
      </c>
      <c r="B35" s="301"/>
      <c r="C35" s="302" t="e">
        <v>#NAME?</v>
      </c>
      <c r="D35" s="302"/>
      <c r="E35" s="302"/>
      <c r="F35" s="302"/>
      <c r="K35" s="108"/>
    </row>
    <row r="36" spans="1:13" ht="14" customHeight="1" x14ac:dyDescent="0.2">
      <c r="F36" s="109"/>
    </row>
    <row r="37" spans="1:13" ht="15.5" customHeight="1" x14ac:dyDescent="0.2">
      <c r="E37" s="270" t="s">
        <v>52</v>
      </c>
      <c r="F37" s="270"/>
    </row>
    <row r="38" spans="1:13" ht="15.5" customHeight="1" x14ac:dyDescent="0.2">
      <c r="A38" s="85" t="s">
        <v>105</v>
      </c>
      <c r="C38" s="111" t="s">
        <v>106</v>
      </c>
      <c r="D38" s="111"/>
      <c r="E38" s="39"/>
      <c r="F38" s="39"/>
    </row>
    <row r="39" spans="1:13" ht="15.5" customHeight="1" x14ac:dyDescent="0.2">
      <c r="A39" s="85" t="s">
        <v>107</v>
      </c>
      <c r="C39" s="111" t="s">
        <v>108</v>
      </c>
      <c r="D39" s="111"/>
      <c r="E39" s="306" t="s">
        <v>109</v>
      </c>
      <c r="F39" s="306"/>
    </row>
    <row r="40" spans="1:13" ht="14" customHeight="1" x14ac:dyDescent="0.2">
      <c r="A40" s="85" t="s">
        <v>53</v>
      </c>
      <c r="C40" s="111"/>
      <c r="D40" s="111"/>
      <c r="E40" s="81"/>
      <c r="F40" s="81"/>
    </row>
    <row r="41" spans="1:13" ht="14" customHeight="1" x14ac:dyDescent="0.2">
      <c r="C41" s="111"/>
      <c r="D41" s="111"/>
      <c r="E41" s="81"/>
      <c r="F41" s="81"/>
    </row>
    <row r="42" spans="1:13" ht="14" customHeight="1" x14ac:dyDescent="0.2">
      <c r="C42" s="111"/>
      <c r="D42" s="111"/>
      <c r="E42" s="81"/>
      <c r="F42" s="81"/>
    </row>
    <row r="43" spans="1:13" ht="14" customHeight="1" x14ac:dyDescent="0.2">
      <c r="C43" s="111"/>
      <c r="D43" s="111"/>
      <c r="E43" s="81"/>
      <c r="F43" s="81"/>
    </row>
    <row r="44" spans="1:13" ht="15" customHeight="1" x14ac:dyDescent="0.2">
      <c r="A44" s="40" t="s">
        <v>8</v>
      </c>
      <c r="B44" s="113"/>
      <c r="C44" s="41" t="s">
        <v>5</v>
      </c>
      <c r="D44" s="41"/>
      <c r="E44" s="41" t="s">
        <v>110</v>
      </c>
      <c r="F44" s="41"/>
    </row>
    <row r="45" spans="1:13" ht="15" customHeight="1" x14ac:dyDescent="0.2">
      <c r="A45" s="40" t="s">
        <v>111</v>
      </c>
      <c r="B45" s="113"/>
      <c r="C45" s="42" t="s">
        <v>112</v>
      </c>
      <c r="D45" s="42"/>
      <c r="E45" s="42" t="s">
        <v>113</v>
      </c>
      <c r="F45" s="42"/>
    </row>
    <row r="46" spans="1:13" ht="14" customHeight="1" x14ac:dyDescent="0.2">
      <c r="C46" s="114"/>
    </row>
  </sheetData>
  <mergeCells count="16">
    <mergeCell ref="E39:F39"/>
    <mergeCell ref="F10:F11"/>
    <mergeCell ref="A34:B34"/>
    <mergeCell ref="A35:B35"/>
    <mergeCell ref="C35:F35"/>
    <mergeCell ref="E37:F37"/>
    <mergeCell ref="A10:A11"/>
    <mergeCell ref="B10:B11"/>
    <mergeCell ref="C10:C11"/>
    <mergeCell ref="D10:D11"/>
    <mergeCell ref="E10:E11"/>
    <mergeCell ref="A5:F5"/>
    <mergeCell ref="A6:F6"/>
    <mergeCell ref="A7:F7"/>
    <mergeCell ref="A8:F8"/>
    <mergeCell ref="A9:F9"/>
  </mergeCells>
  <pageMargins left="0.39370078740157483" right="0.39370078740157483" top="0.49" bottom="0.70866141732283472" header="0.31496062992125984" footer="0.31496062992125984"/>
  <pageSetup scale="85" orientation="portrait" useFirstPageNumber="1" horizontalDpi="120" verticalDpi="7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FF0000"/>
  </sheetPr>
  <dimension ref="A1:O53"/>
  <sheetViews>
    <sheetView zoomScaleNormal="100" workbookViewId="0">
      <selection activeCell="J3" sqref="J3"/>
    </sheetView>
  </sheetViews>
  <sheetFormatPr baseColWidth="10" defaultColWidth="9.1640625" defaultRowHeight="14" customHeight="1" x14ac:dyDescent="0.2"/>
  <cols>
    <col min="1" max="1" width="5.1640625" style="85" customWidth="1"/>
    <col min="2" max="2" width="28.1640625" style="85" customWidth="1"/>
    <col min="3" max="3" width="7.1640625" style="93" customWidth="1"/>
    <col min="4" max="4" width="14.1640625" style="85" customWidth="1"/>
    <col min="5" max="5" width="12.83203125" style="85" customWidth="1"/>
    <col min="6" max="6" width="14" style="85" customWidth="1"/>
    <col min="7" max="7" width="15" style="85" customWidth="1"/>
    <col min="8" max="8" width="12.6640625" style="85" customWidth="1"/>
    <col min="9" max="10" width="9.1640625" style="85" customWidth="1"/>
    <col min="11" max="11" width="11.6640625" style="85" customWidth="1"/>
    <col min="12" max="12" width="10.33203125" style="85" customWidth="1"/>
    <col min="13" max="13" width="10.6640625" style="94" customWidth="1"/>
    <col min="14" max="14" width="9.1640625" style="85" customWidth="1"/>
    <col min="15" max="16384" width="9.1640625" style="85"/>
  </cols>
  <sheetData>
    <row r="1" spans="1:8" ht="18" customHeight="1" x14ac:dyDescent="0.2">
      <c r="A1" s="62" t="s">
        <v>61</v>
      </c>
    </row>
    <row r="2" spans="1:8" ht="18" customHeight="1" x14ac:dyDescent="0.2">
      <c r="A2" s="62" t="s">
        <v>186</v>
      </c>
    </row>
    <row r="3" spans="1:8" ht="18" customHeight="1" x14ac:dyDescent="0.2">
      <c r="A3" s="62" t="s">
        <v>187</v>
      </c>
    </row>
    <row r="4" spans="1:8" ht="18" customHeight="1" x14ac:dyDescent="0.2">
      <c r="G4" s="62"/>
      <c r="H4" s="62"/>
    </row>
    <row r="5" spans="1:8" ht="18" customHeight="1" x14ac:dyDescent="0.2">
      <c r="A5" s="281" t="s">
        <v>168</v>
      </c>
      <c r="B5" s="281"/>
      <c r="C5" s="281"/>
      <c r="D5" s="281"/>
      <c r="E5" s="281"/>
      <c r="F5" s="281"/>
      <c r="G5" s="281"/>
      <c r="H5" s="281"/>
    </row>
    <row r="6" spans="1:8" ht="18" customHeight="1" x14ac:dyDescent="0.2">
      <c r="A6" s="281" t="s">
        <v>188</v>
      </c>
      <c r="B6" s="281"/>
      <c r="C6" s="281"/>
      <c r="D6" s="281"/>
      <c r="E6" s="281"/>
      <c r="F6" s="281"/>
      <c r="G6" s="281"/>
      <c r="H6" s="281"/>
    </row>
    <row r="7" spans="1:8" ht="18" customHeight="1" x14ac:dyDescent="0.2">
      <c r="A7" s="281" t="s">
        <v>189</v>
      </c>
      <c r="B7" s="281"/>
      <c r="C7" s="281"/>
      <c r="D7" s="281"/>
      <c r="E7" s="281"/>
      <c r="F7" s="281"/>
      <c r="G7" s="281"/>
      <c r="H7" s="281"/>
    </row>
    <row r="8" spans="1:8" ht="18" customHeight="1" x14ac:dyDescent="0.2">
      <c r="A8" s="281" t="s">
        <v>190</v>
      </c>
      <c r="B8" s="281"/>
      <c r="C8" s="281"/>
      <c r="D8" s="281"/>
      <c r="E8" s="281"/>
      <c r="F8" s="281"/>
      <c r="G8" s="281"/>
      <c r="H8" s="281"/>
    </row>
    <row r="9" spans="1:8" ht="18" customHeight="1" x14ac:dyDescent="0.2">
      <c r="A9" s="281" t="s">
        <v>191</v>
      </c>
      <c r="B9" s="281"/>
      <c r="C9" s="281"/>
      <c r="D9" s="281"/>
      <c r="E9" s="281"/>
      <c r="F9" s="281"/>
      <c r="G9" s="281"/>
      <c r="H9" s="281"/>
    </row>
    <row r="10" spans="1:8" ht="18" customHeight="1" x14ac:dyDescent="0.2">
      <c r="A10" s="299"/>
      <c r="B10" s="299"/>
      <c r="C10" s="299"/>
      <c r="D10" s="299"/>
      <c r="E10" s="299"/>
      <c r="F10" s="299"/>
      <c r="G10" s="299"/>
      <c r="H10" s="299"/>
    </row>
    <row r="11" spans="1:8" ht="25" customHeight="1" x14ac:dyDescent="0.2">
      <c r="A11" s="303" t="s">
        <v>54</v>
      </c>
      <c r="B11" s="303" t="s">
        <v>76</v>
      </c>
      <c r="C11" s="304" t="s">
        <v>192</v>
      </c>
      <c r="D11" s="310" t="s">
        <v>193</v>
      </c>
      <c r="E11" s="305" t="s">
        <v>194</v>
      </c>
      <c r="F11" s="303" t="s">
        <v>195</v>
      </c>
      <c r="G11" s="307" t="s">
        <v>196</v>
      </c>
      <c r="H11" s="305" t="s">
        <v>197</v>
      </c>
    </row>
    <row r="12" spans="1:8" ht="25" customHeight="1" x14ac:dyDescent="0.2">
      <c r="A12" s="303"/>
      <c r="B12" s="303"/>
      <c r="C12" s="304"/>
      <c r="D12" s="310"/>
      <c r="E12" s="305"/>
      <c r="F12" s="303"/>
      <c r="G12" s="307"/>
      <c r="H12" s="305"/>
    </row>
    <row r="13" spans="1:8" ht="15.75" customHeight="1" x14ac:dyDescent="0.2">
      <c r="A13" s="95" t="s">
        <v>89</v>
      </c>
      <c r="B13" s="95" t="s">
        <v>90</v>
      </c>
      <c r="C13" s="96" t="s">
        <v>91</v>
      </c>
      <c r="D13" s="97" t="s">
        <v>92</v>
      </c>
      <c r="E13" s="98" t="s">
        <v>198</v>
      </c>
      <c r="F13" s="95" t="s">
        <v>94</v>
      </c>
      <c r="G13" s="98" t="s">
        <v>199</v>
      </c>
      <c r="H13" s="95" t="s">
        <v>96</v>
      </c>
    </row>
    <row r="14" spans="1:8" ht="40" customHeight="1" x14ac:dyDescent="0.2">
      <c r="A14" s="98">
        <v>1</v>
      </c>
      <c r="B14" s="23" t="s">
        <v>200</v>
      </c>
      <c r="C14" s="99">
        <v>1</v>
      </c>
      <c r="D14" s="100">
        <v>0</v>
      </c>
      <c r="E14" s="101">
        <f t="shared" ref="E14:E32" si="0">C14*D14</f>
        <v>0</v>
      </c>
      <c r="F14" s="101">
        <v>150000</v>
      </c>
      <c r="G14" s="101">
        <f t="shared" ref="G14:G32" si="1">E14+F14</f>
        <v>150000</v>
      </c>
      <c r="H14" s="102" t="str">
        <f t="shared" ref="H14:H32" si="2">A14&amp;"…...……"</f>
        <v>1…...……</v>
      </c>
    </row>
    <row r="15" spans="1:8" ht="40" customHeight="1" x14ac:dyDescent="0.2">
      <c r="A15" s="98">
        <v>2</v>
      </c>
      <c r="B15" s="23" t="s">
        <v>201</v>
      </c>
      <c r="C15" s="99">
        <v>1</v>
      </c>
      <c r="D15" s="100">
        <v>0</v>
      </c>
      <c r="E15" s="101">
        <f t="shared" si="0"/>
        <v>0</v>
      </c>
      <c r="F15" s="101">
        <v>150000</v>
      </c>
      <c r="G15" s="101">
        <f t="shared" si="1"/>
        <v>150000</v>
      </c>
      <c r="H15" s="102" t="str">
        <f t="shared" si="2"/>
        <v>2…...……</v>
      </c>
    </row>
    <row r="16" spans="1:8" ht="40" customHeight="1" x14ac:dyDescent="0.2">
      <c r="A16" s="98">
        <v>3</v>
      </c>
      <c r="B16" s="23" t="s">
        <v>202</v>
      </c>
      <c r="C16" s="99">
        <v>1</v>
      </c>
      <c r="D16" s="100">
        <v>0</v>
      </c>
      <c r="E16" s="101">
        <f t="shared" si="0"/>
        <v>0</v>
      </c>
      <c r="F16" s="101">
        <v>150000</v>
      </c>
      <c r="G16" s="101">
        <f t="shared" si="1"/>
        <v>150000</v>
      </c>
      <c r="H16" s="102" t="str">
        <f t="shared" si="2"/>
        <v>3…...……</v>
      </c>
    </row>
    <row r="17" spans="1:8" ht="40" customHeight="1" x14ac:dyDescent="0.2">
      <c r="A17" s="98">
        <v>4</v>
      </c>
      <c r="B17" s="23" t="s">
        <v>203</v>
      </c>
      <c r="C17" s="99">
        <v>1</v>
      </c>
      <c r="D17" s="100">
        <v>130000</v>
      </c>
      <c r="E17" s="101">
        <f t="shared" si="0"/>
        <v>130000</v>
      </c>
      <c r="F17" s="101">
        <v>150000</v>
      </c>
      <c r="G17" s="101">
        <f t="shared" si="1"/>
        <v>280000</v>
      </c>
      <c r="H17" s="102" t="str">
        <f t="shared" si="2"/>
        <v>4…...……</v>
      </c>
    </row>
    <row r="18" spans="1:8" ht="40" customHeight="1" x14ac:dyDescent="0.2">
      <c r="A18" s="98">
        <v>5</v>
      </c>
      <c r="B18" s="23" t="s">
        <v>204</v>
      </c>
      <c r="C18" s="99">
        <v>1</v>
      </c>
      <c r="D18" s="100">
        <v>130000</v>
      </c>
      <c r="E18" s="101">
        <f t="shared" si="0"/>
        <v>130000</v>
      </c>
      <c r="F18" s="101">
        <v>150000</v>
      </c>
      <c r="G18" s="101">
        <f t="shared" si="1"/>
        <v>280000</v>
      </c>
      <c r="H18" s="102" t="str">
        <f t="shared" si="2"/>
        <v>5…...……</v>
      </c>
    </row>
    <row r="19" spans="1:8" ht="40" customHeight="1" x14ac:dyDescent="0.2">
      <c r="A19" s="98">
        <v>6</v>
      </c>
      <c r="B19" s="23" t="s">
        <v>17</v>
      </c>
      <c r="C19" s="99">
        <v>1</v>
      </c>
      <c r="D19" s="100">
        <v>130000</v>
      </c>
      <c r="E19" s="101">
        <f t="shared" si="0"/>
        <v>130000</v>
      </c>
      <c r="F19" s="101">
        <v>150000</v>
      </c>
      <c r="G19" s="101">
        <f t="shared" si="1"/>
        <v>280000</v>
      </c>
      <c r="H19" s="102" t="str">
        <f t="shared" si="2"/>
        <v>6…...……</v>
      </c>
    </row>
    <row r="20" spans="1:8" ht="40" customHeight="1" x14ac:dyDescent="0.2">
      <c r="A20" s="98">
        <v>7</v>
      </c>
      <c r="B20" s="23" t="s">
        <v>205</v>
      </c>
      <c r="C20" s="99">
        <v>1</v>
      </c>
      <c r="D20" s="100">
        <v>130000</v>
      </c>
      <c r="E20" s="101">
        <f t="shared" si="0"/>
        <v>130000</v>
      </c>
      <c r="F20" s="101">
        <v>150000</v>
      </c>
      <c r="G20" s="101">
        <f t="shared" si="1"/>
        <v>280000</v>
      </c>
      <c r="H20" s="102" t="str">
        <f t="shared" si="2"/>
        <v>7…...……</v>
      </c>
    </row>
    <row r="21" spans="1:8" ht="40" customHeight="1" x14ac:dyDescent="0.2">
      <c r="A21" s="98">
        <v>8</v>
      </c>
      <c r="B21" s="23" t="s">
        <v>13</v>
      </c>
      <c r="C21" s="99">
        <v>1</v>
      </c>
      <c r="D21" s="100">
        <v>130000</v>
      </c>
      <c r="E21" s="101">
        <f t="shared" si="0"/>
        <v>130000</v>
      </c>
      <c r="F21" s="101">
        <v>150000</v>
      </c>
      <c r="G21" s="101">
        <f t="shared" si="1"/>
        <v>280000</v>
      </c>
      <c r="H21" s="102" t="str">
        <f t="shared" si="2"/>
        <v>8…...……</v>
      </c>
    </row>
    <row r="22" spans="1:8" ht="40" customHeight="1" x14ac:dyDescent="0.2">
      <c r="A22" s="98">
        <v>9</v>
      </c>
      <c r="B22" s="23" t="s">
        <v>15</v>
      </c>
      <c r="C22" s="99">
        <v>1</v>
      </c>
      <c r="D22" s="100">
        <v>130000</v>
      </c>
      <c r="E22" s="101">
        <f t="shared" si="0"/>
        <v>130000</v>
      </c>
      <c r="F22" s="101">
        <v>150000</v>
      </c>
      <c r="G22" s="101">
        <f t="shared" si="1"/>
        <v>280000</v>
      </c>
      <c r="H22" s="102" t="str">
        <f t="shared" si="2"/>
        <v>9…...……</v>
      </c>
    </row>
    <row r="23" spans="1:8" ht="40" customHeight="1" x14ac:dyDescent="0.2">
      <c r="A23" s="98">
        <v>10</v>
      </c>
      <c r="B23" s="23" t="s">
        <v>11</v>
      </c>
      <c r="C23" s="99">
        <v>1</v>
      </c>
      <c r="D23" s="100">
        <v>130000</v>
      </c>
      <c r="E23" s="101">
        <f t="shared" si="0"/>
        <v>130000</v>
      </c>
      <c r="F23" s="101">
        <v>150000</v>
      </c>
      <c r="G23" s="101">
        <f t="shared" si="1"/>
        <v>280000</v>
      </c>
      <c r="H23" s="102" t="str">
        <f t="shared" si="2"/>
        <v>10…...……</v>
      </c>
    </row>
    <row r="24" spans="1:8" ht="40" customHeight="1" x14ac:dyDescent="0.2">
      <c r="A24" s="98">
        <v>11</v>
      </c>
      <c r="B24" s="23" t="s">
        <v>9</v>
      </c>
      <c r="C24" s="99">
        <v>1</v>
      </c>
      <c r="D24" s="100">
        <v>130000</v>
      </c>
      <c r="E24" s="101">
        <f t="shared" si="0"/>
        <v>130000</v>
      </c>
      <c r="F24" s="101">
        <v>150000</v>
      </c>
      <c r="G24" s="101">
        <f t="shared" si="1"/>
        <v>280000</v>
      </c>
      <c r="H24" s="102" t="str">
        <f t="shared" si="2"/>
        <v>11…...……</v>
      </c>
    </row>
    <row r="25" spans="1:8" ht="40" customHeight="1" x14ac:dyDescent="0.2">
      <c r="A25" s="98">
        <v>12</v>
      </c>
      <c r="B25" s="23" t="s">
        <v>206</v>
      </c>
      <c r="C25" s="99">
        <v>1</v>
      </c>
      <c r="D25" s="100">
        <v>130000</v>
      </c>
      <c r="E25" s="101">
        <f t="shared" si="0"/>
        <v>130000</v>
      </c>
      <c r="F25" s="101">
        <v>150000</v>
      </c>
      <c r="G25" s="101">
        <f t="shared" si="1"/>
        <v>280000</v>
      </c>
      <c r="H25" s="102" t="str">
        <f t="shared" si="2"/>
        <v>12…...……</v>
      </c>
    </row>
    <row r="26" spans="1:8" ht="40" customHeight="1" x14ac:dyDescent="0.2">
      <c r="A26" s="98">
        <v>13</v>
      </c>
      <c r="B26" s="23" t="s">
        <v>6</v>
      </c>
      <c r="C26" s="99">
        <v>1</v>
      </c>
      <c r="D26" s="100">
        <v>130000</v>
      </c>
      <c r="E26" s="101">
        <f t="shared" si="0"/>
        <v>130000</v>
      </c>
      <c r="F26" s="101">
        <v>150000</v>
      </c>
      <c r="G26" s="101">
        <f t="shared" si="1"/>
        <v>280000</v>
      </c>
      <c r="H26" s="102" t="str">
        <f t="shared" si="2"/>
        <v>13…...……</v>
      </c>
    </row>
    <row r="27" spans="1:8" ht="40" customHeight="1" x14ac:dyDescent="0.2">
      <c r="A27" s="98">
        <v>14</v>
      </c>
      <c r="B27" s="23" t="s">
        <v>12</v>
      </c>
      <c r="C27" s="99">
        <v>1</v>
      </c>
      <c r="D27" s="100">
        <v>130000</v>
      </c>
      <c r="E27" s="101">
        <f t="shared" si="0"/>
        <v>130000</v>
      </c>
      <c r="F27" s="101">
        <v>150000</v>
      </c>
      <c r="G27" s="101">
        <f t="shared" si="1"/>
        <v>280000</v>
      </c>
      <c r="H27" s="102" t="str">
        <f t="shared" si="2"/>
        <v>14…...……</v>
      </c>
    </row>
    <row r="28" spans="1:8" ht="40" customHeight="1" x14ac:dyDescent="0.2">
      <c r="A28" s="98">
        <v>15</v>
      </c>
      <c r="B28" s="23" t="s">
        <v>2</v>
      </c>
      <c r="C28" s="99">
        <v>1</v>
      </c>
      <c r="D28" s="100">
        <v>130000</v>
      </c>
      <c r="E28" s="101">
        <f t="shared" si="0"/>
        <v>130000</v>
      </c>
      <c r="F28" s="101">
        <v>150000</v>
      </c>
      <c r="G28" s="101">
        <f t="shared" si="1"/>
        <v>280000</v>
      </c>
      <c r="H28" s="102" t="str">
        <f t="shared" si="2"/>
        <v>15…...……</v>
      </c>
    </row>
    <row r="29" spans="1:8" ht="40" customHeight="1" x14ac:dyDescent="0.2">
      <c r="A29" s="98">
        <v>16</v>
      </c>
      <c r="B29" s="23" t="s">
        <v>7</v>
      </c>
      <c r="C29" s="99">
        <v>1</v>
      </c>
      <c r="D29" s="100">
        <v>130000</v>
      </c>
      <c r="E29" s="101">
        <f t="shared" si="0"/>
        <v>130000</v>
      </c>
      <c r="F29" s="101">
        <v>150000</v>
      </c>
      <c r="G29" s="101">
        <f t="shared" si="1"/>
        <v>280000</v>
      </c>
      <c r="H29" s="102" t="str">
        <f t="shared" si="2"/>
        <v>16…...……</v>
      </c>
    </row>
    <row r="30" spans="1:8" ht="40" customHeight="1" x14ac:dyDescent="0.2">
      <c r="A30" s="98">
        <v>17</v>
      </c>
      <c r="B30" s="23" t="s">
        <v>5</v>
      </c>
      <c r="C30" s="99">
        <v>1</v>
      </c>
      <c r="D30" s="100">
        <v>130000</v>
      </c>
      <c r="E30" s="101">
        <f t="shared" si="0"/>
        <v>130000</v>
      </c>
      <c r="F30" s="101">
        <v>150000</v>
      </c>
      <c r="G30" s="101">
        <f t="shared" si="1"/>
        <v>280000</v>
      </c>
      <c r="H30" s="102" t="str">
        <f t="shared" si="2"/>
        <v>17…...……</v>
      </c>
    </row>
    <row r="31" spans="1:8" ht="40" customHeight="1" x14ac:dyDescent="0.2">
      <c r="A31" s="98">
        <v>18</v>
      </c>
      <c r="B31" s="23" t="s">
        <v>3</v>
      </c>
      <c r="C31" s="99">
        <v>1</v>
      </c>
      <c r="D31" s="100">
        <v>130000</v>
      </c>
      <c r="E31" s="101">
        <f t="shared" si="0"/>
        <v>130000</v>
      </c>
      <c r="F31" s="101">
        <v>150000</v>
      </c>
      <c r="G31" s="101">
        <f t="shared" si="1"/>
        <v>280000</v>
      </c>
      <c r="H31" s="102" t="str">
        <f t="shared" si="2"/>
        <v>18…...……</v>
      </c>
    </row>
    <row r="32" spans="1:8" ht="40" customHeight="1" x14ac:dyDescent="0.2">
      <c r="A32" s="98">
        <v>19</v>
      </c>
      <c r="B32" s="23" t="s">
        <v>0</v>
      </c>
      <c r="C32" s="99">
        <v>1</v>
      </c>
      <c r="D32" s="100">
        <v>130000</v>
      </c>
      <c r="E32" s="101">
        <f t="shared" si="0"/>
        <v>130000</v>
      </c>
      <c r="F32" s="101">
        <v>150000</v>
      </c>
      <c r="G32" s="101">
        <f t="shared" si="1"/>
        <v>280000</v>
      </c>
      <c r="H32" s="102" t="str">
        <f t="shared" si="2"/>
        <v>19…...……</v>
      </c>
    </row>
    <row r="33" spans="1:15" ht="27.75" customHeight="1" x14ac:dyDescent="0.2">
      <c r="A33" s="300" t="s">
        <v>175</v>
      </c>
      <c r="B33" s="300"/>
      <c r="C33" s="103">
        <f>SUM(C14:C32)</f>
        <v>19</v>
      </c>
      <c r="D33" s="104">
        <f>SUM(D14:D32)</f>
        <v>2080000</v>
      </c>
      <c r="E33" s="105">
        <f>SUM(E14:E32)</f>
        <v>2080000</v>
      </c>
      <c r="F33" s="105">
        <f>SUM(F14:F32)</f>
        <v>2850000</v>
      </c>
      <c r="G33" s="105">
        <f>SUM(G14:G32)</f>
        <v>4930000</v>
      </c>
      <c r="H33" s="106"/>
      <c r="K33" s="94"/>
      <c r="O33" s="107"/>
    </row>
    <row r="34" spans="1:15" s="81" customFormat="1" ht="30" customHeight="1" x14ac:dyDescent="0.2">
      <c r="A34" s="301" t="s">
        <v>103</v>
      </c>
      <c r="B34" s="301"/>
      <c r="C34" s="302" t="e">
        <v>#NAME?</v>
      </c>
      <c r="D34" s="302"/>
      <c r="E34" s="302"/>
      <c r="F34" s="302"/>
      <c r="G34" s="302"/>
      <c r="H34" s="302"/>
      <c r="M34" s="108"/>
    </row>
    <row r="35" spans="1:15" ht="14" customHeight="1" x14ac:dyDescent="0.2">
      <c r="H35" s="109"/>
    </row>
    <row r="36" spans="1:15" ht="15.5" customHeight="1" x14ac:dyDescent="0.2">
      <c r="G36" s="270" t="s">
        <v>207</v>
      </c>
      <c r="H36" s="270"/>
    </row>
    <row r="37" spans="1:15" ht="14" customHeight="1" x14ac:dyDescent="0.2">
      <c r="A37" s="85" t="s">
        <v>105</v>
      </c>
      <c r="C37" s="117" t="s">
        <v>106</v>
      </c>
      <c r="D37" s="115"/>
    </row>
    <row r="38" spans="1:15" ht="14" customHeight="1" x14ac:dyDescent="0.2">
      <c r="A38" s="85" t="s">
        <v>107</v>
      </c>
      <c r="C38" s="117" t="s">
        <v>108</v>
      </c>
      <c r="D38" s="115"/>
      <c r="G38" s="296" t="s">
        <v>109</v>
      </c>
      <c r="H38" s="296"/>
    </row>
    <row r="39" spans="1:15" ht="14" customHeight="1" x14ac:dyDescent="0.2">
      <c r="A39" s="85" t="s">
        <v>53</v>
      </c>
      <c r="C39" s="117"/>
      <c r="D39" s="115"/>
      <c r="G39" s="81"/>
      <c r="H39" s="81"/>
    </row>
    <row r="40" spans="1:15" ht="14" customHeight="1" x14ac:dyDescent="0.2">
      <c r="C40" s="117"/>
      <c r="D40" s="115"/>
      <c r="G40" s="81"/>
      <c r="H40" s="81"/>
    </row>
    <row r="41" spans="1:15" ht="14" customHeight="1" x14ac:dyDescent="0.2">
      <c r="C41" s="117"/>
      <c r="D41" s="115"/>
      <c r="G41" s="81"/>
      <c r="H41" s="81"/>
    </row>
    <row r="42" spans="1:15" ht="14" customHeight="1" x14ac:dyDescent="0.2">
      <c r="C42" s="117"/>
      <c r="D42" s="115"/>
      <c r="G42" s="81"/>
      <c r="H42" s="81"/>
    </row>
    <row r="43" spans="1:15" ht="15" customHeight="1" x14ac:dyDescent="0.2">
      <c r="A43" s="113" t="s">
        <v>208</v>
      </c>
      <c r="B43" s="113"/>
      <c r="C43" s="311" t="s">
        <v>147</v>
      </c>
      <c r="D43" s="311"/>
      <c r="G43" s="267" t="s">
        <v>5</v>
      </c>
      <c r="H43" s="267"/>
    </row>
    <row r="44" spans="1:15" ht="15" customHeight="1" x14ac:dyDescent="0.2">
      <c r="A44" s="113" t="s">
        <v>209</v>
      </c>
      <c r="B44" s="113"/>
      <c r="C44" s="118" t="s">
        <v>150</v>
      </c>
      <c r="D44" s="118"/>
      <c r="G44" s="42" t="s">
        <v>112</v>
      </c>
      <c r="H44" s="42"/>
    </row>
    <row r="49" spans="4:4" ht="14" customHeight="1" x14ac:dyDescent="0.2">
      <c r="D49" s="116"/>
    </row>
    <row r="50" spans="4:4" ht="14" customHeight="1" x14ac:dyDescent="0.2">
      <c r="D50" s="116"/>
    </row>
    <row r="51" spans="4:4" ht="14" customHeight="1" x14ac:dyDescent="0.2">
      <c r="D51" s="116"/>
    </row>
    <row r="52" spans="4:4" ht="14" customHeight="1" x14ac:dyDescent="0.2">
      <c r="D52" s="116"/>
    </row>
    <row r="53" spans="4:4" ht="14" customHeight="1" x14ac:dyDescent="0.2">
      <c r="D53" s="116"/>
    </row>
  </sheetData>
  <mergeCells count="21">
    <mergeCell ref="C43:D43"/>
    <mergeCell ref="G43:H43"/>
    <mergeCell ref="A33:B33"/>
    <mergeCell ref="A34:B34"/>
    <mergeCell ref="C34:H34"/>
    <mergeCell ref="G36:H36"/>
    <mergeCell ref="G38:H38"/>
    <mergeCell ref="A10:H10"/>
    <mergeCell ref="A11:A12"/>
    <mergeCell ref="B11:B12"/>
    <mergeCell ref="C11:C12"/>
    <mergeCell ref="D11:D12"/>
    <mergeCell ref="E11:E12"/>
    <mergeCell ref="F11:F12"/>
    <mergeCell ref="G11:G12"/>
    <mergeCell ref="H11:H12"/>
    <mergeCell ref="A5:H5"/>
    <mergeCell ref="A6:H6"/>
    <mergeCell ref="A7:H7"/>
    <mergeCell ref="A8:H8"/>
    <mergeCell ref="A9:H9"/>
  </mergeCells>
  <pageMargins left="0.39370078740157483" right="0.39370078740157483" top="0.49" bottom="0.70866141732283472" header="0.31496062992125984" footer="0.31496062992125984"/>
  <pageSetup scale="85" orientation="portrait" useFirstPageNumber="1" horizontalDpi="120" verticalDpi="7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07D61E5-DE47-4C65-94D0-4E6CE928A3F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4</vt:i4>
      </vt:variant>
    </vt:vector>
  </HeadingPairs>
  <TitlesOfParts>
    <vt:vector size="15" baseType="lpstr">
      <vt:lpstr>Permohonan Dana</vt:lpstr>
      <vt:lpstr>Rincian Biaya</vt:lpstr>
      <vt:lpstr>Panitia</vt:lpstr>
      <vt:lpstr>Moderator</vt:lpstr>
      <vt:lpstr>Narsum PNS</vt:lpstr>
      <vt:lpstr>Narasumber</vt:lpstr>
      <vt:lpstr>Instruktur</vt:lpstr>
      <vt:lpstr>Perjadin</vt:lpstr>
      <vt:lpstr>Transport</vt:lpstr>
      <vt:lpstr>RDK</vt:lpstr>
      <vt:lpstr>Perjadin Akt II</vt:lpstr>
      <vt:lpstr>Perjadin!Print_Titles</vt:lpstr>
      <vt:lpstr>'Perjadin Akt II'!Print_Titles</vt:lpstr>
      <vt:lpstr>RDK!Print_Titles</vt:lpstr>
      <vt:lpstr>Transport!Print_Titles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2018-07-24T02:31:05Z</cp:lastPrinted>
  <dcterms:created xsi:type="dcterms:W3CDTF">2013-09-06T07:34:33Z</dcterms:created>
  <dcterms:modified xsi:type="dcterms:W3CDTF">2026-06-25T00:59:35Z</dcterms:modified>
</cp:coreProperties>
</file>