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66925"/>
  <xr:revisionPtr revIDLastSave="0" documentId="13_ncr:1_{06F1C33C-3F3B-4C72-B5BD-982CF4CE308C}" xr6:coauthVersionLast="47" xr6:coauthVersionMax="47" xr10:uidLastSave="{00000000-0000-0000-0000-000000000000}"/>
  <bookViews>
    <workbookView xWindow="-120" yWindow="-120" windowWidth="29040" windowHeight="15720" tabRatio="836" firstSheet="2" activeTab="2" xr2:uid="{00000000-000D-0000-FFFF-FFFF00000000}"/>
  </bookViews>
  <sheets>
    <sheet name="RKA 2024" sheetId="9" state="hidden" r:id="rId1"/>
    <sheet name="RAB Full 2026" sheetId="19" state="hidden" r:id="rId2"/>
    <sheet name="RAB Rev Terakhir" sheetId="35" r:id="rId3"/>
    <sheet name="RAB Semula Menjadi" sheetId="31" r:id="rId4"/>
    <sheet name="Rekap" sheetId="23" r:id="rId5"/>
    <sheet name="Indikatif 2025" sheetId="7" state="hidden" r:id="rId6"/>
    <sheet name="RAB Pagu Tambahan" sheetId="11" state="hidden" r:id="rId7"/>
    <sheet name="4472.BDB.001" sheetId="12" state="hidden" r:id="rId8"/>
    <sheet name="4472.BDB.002" sheetId="13" state="hidden" r:id="rId9"/>
    <sheet name="RPD" sheetId="34" r:id="rId10"/>
    <sheet name="RAB 7733.BDB.001" sheetId="33" r:id="rId11"/>
    <sheet name="RAB 7733.BDB.002" sheetId="25" r:id="rId12"/>
    <sheet name="RAB 7733.BEJ.001" sheetId="14" r:id="rId13"/>
    <sheet name="6392.EBB.951" sheetId="21" state="hidden" r:id="rId14"/>
    <sheet name="6392.EBA.962" sheetId="15" state="hidden" r:id="rId15"/>
    <sheet name="RAB 7735.EBA.962" sheetId="27" r:id="rId16"/>
    <sheet name="RAB 7735.EBA.994" sheetId="16" r:id="rId17"/>
    <sheet name="RAB 7735.EBA.956" sheetId="26" r:id="rId18"/>
    <sheet name="RAB 7735.EBB.951" sheetId="28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____________________________________________________________________________________________________ERR1" localSheetId="7">{#N/A,#N/A,FALSE,"M.42"}</definedName>
    <definedName name="________________________________________________________________________________________________________ERR1" localSheetId="8">{#N/A,#N/A,FALSE,"M.42"}</definedName>
    <definedName name="________________________________________________________________________________________________________ERR1" localSheetId="14">{#N/A,#N/A,FALSE,"M.42"}</definedName>
    <definedName name="________________________________________________________________________________________________________ERR1" localSheetId="13">{#N/A,#N/A,FALSE,"M.42"}</definedName>
    <definedName name="________________________________________________________________________________________________________ERR1" localSheetId="11">{#N/A,#N/A,FALSE,"M.42"}</definedName>
    <definedName name="________________________________________________________________________________________________________ERR1" localSheetId="12">{#N/A,#N/A,FALSE,"M.42"}</definedName>
    <definedName name="________________________________________________________________________________________________________ERR1" localSheetId="17">{#N/A,#N/A,FALSE,"M.42"}</definedName>
    <definedName name="________________________________________________________________________________________________________ERR1" localSheetId="15">{#N/A,#N/A,FALSE,"M.42"}</definedName>
    <definedName name="________________________________________________________________________________________________________ERR1" localSheetId="16">{#N/A,#N/A,FALSE,"M.42"}</definedName>
    <definedName name="________________________________________________________________________________________________________ERR1" localSheetId="18">{#N/A,#N/A,FALSE,"M.42"}</definedName>
    <definedName name="________________________________________________________________________________________________________ERR1" localSheetId="1">{#N/A,#N/A,FALSE,"M.42"}</definedName>
    <definedName name="________________________________________________________________________________________________________ERR1" localSheetId="6">{#N/A,#N/A,FALSE,"M.42"}</definedName>
    <definedName name="________________________________________________________________________________________________________ERR1" localSheetId="2">{#N/A,#N/A,FALSE,"M.42"}</definedName>
    <definedName name="________________________________________________________________________________________________________ERR1" localSheetId="3">{#N/A,#N/A,FALSE,"M.42"}</definedName>
    <definedName name="________________________________________________________________________________________________________ERR1" localSheetId="0">{#N/A,#N/A,FALSE,"M.42"}</definedName>
    <definedName name="________________________________________________________________________________________________________ERR1" localSheetId="9">{#N/A,#N/A,FALSE,"M.42"}</definedName>
    <definedName name="________________________________________________________________________________________________________ERR1">{#N/A,#N/A,FALSE,"M.42"}</definedName>
    <definedName name="______________________________________________________________________________________________________ERR1" localSheetId="7">{#N/A,#N/A,FALSE,"M.42"}</definedName>
    <definedName name="______________________________________________________________________________________________________ERR1" localSheetId="8">{#N/A,#N/A,FALSE,"M.42"}</definedName>
    <definedName name="______________________________________________________________________________________________________ERR1" localSheetId="14">{#N/A,#N/A,FALSE,"M.42"}</definedName>
    <definedName name="______________________________________________________________________________________________________ERR1" localSheetId="13">{#N/A,#N/A,FALSE,"M.42"}</definedName>
    <definedName name="______________________________________________________________________________________________________ERR1" localSheetId="11">{#N/A,#N/A,FALSE,"M.42"}</definedName>
    <definedName name="______________________________________________________________________________________________________ERR1" localSheetId="12">{#N/A,#N/A,FALSE,"M.42"}</definedName>
    <definedName name="______________________________________________________________________________________________________ERR1" localSheetId="17">{#N/A,#N/A,FALSE,"M.42"}</definedName>
    <definedName name="______________________________________________________________________________________________________ERR1" localSheetId="15">{#N/A,#N/A,FALSE,"M.42"}</definedName>
    <definedName name="______________________________________________________________________________________________________ERR1" localSheetId="16">{#N/A,#N/A,FALSE,"M.42"}</definedName>
    <definedName name="______________________________________________________________________________________________________ERR1" localSheetId="18">{#N/A,#N/A,FALSE,"M.42"}</definedName>
    <definedName name="______________________________________________________________________________________________________ERR1" localSheetId="1">{#N/A,#N/A,FALSE,"M.42"}</definedName>
    <definedName name="______________________________________________________________________________________________________ERR1" localSheetId="6">{#N/A,#N/A,FALSE,"M.42"}</definedName>
    <definedName name="______________________________________________________________________________________________________ERR1" localSheetId="2">{#N/A,#N/A,FALSE,"M.42"}</definedName>
    <definedName name="______________________________________________________________________________________________________ERR1" localSheetId="3">{#N/A,#N/A,FALSE,"M.42"}</definedName>
    <definedName name="______________________________________________________________________________________________________ERR1" localSheetId="0">{#N/A,#N/A,FALSE,"M.42"}</definedName>
    <definedName name="______________________________________________________________________________________________________ERR1" localSheetId="9">{#N/A,#N/A,FALSE,"M.42"}</definedName>
    <definedName name="______________________________________________________________________________________________________ERR1">{#N/A,#N/A,FALSE,"M.42"}</definedName>
    <definedName name="____________________________________________________________________________________________________ERR1" localSheetId="7">{#N/A,#N/A,FALSE,"M.42"}</definedName>
    <definedName name="____________________________________________________________________________________________________ERR1" localSheetId="8">{#N/A,#N/A,FALSE,"M.42"}</definedName>
    <definedName name="____________________________________________________________________________________________________ERR1" localSheetId="14">{#N/A,#N/A,FALSE,"M.42"}</definedName>
    <definedName name="____________________________________________________________________________________________________ERR1" localSheetId="13">{#N/A,#N/A,FALSE,"M.42"}</definedName>
    <definedName name="____________________________________________________________________________________________________ERR1" localSheetId="11">{#N/A,#N/A,FALSE,"M.42"}</definedName>
    <definedName name="____________________________________________________________________________________________________ERR1" localSheetId="12">{#N/A,#N/A,FALSE,"M.42"}</definedName>
    <definedName name="____________________________________________________________________________________________________ERR1" localSheetId="17">{#N/A,#N/A,FALSE,"M.42"}</definedName>
    <definedName name="____________________________________________________________________________________________________ERR1" localSheetId="15">{#N/A,#N/A,FALSE,"M.42"}</definedName>
    <definedName name="____________________________________________________________________________________________________ERR1" localSheetId="16">{#N/A,#N/A,FALSE,"M.42"}</definedName>
    <definedName name="____________________________________________________________________________________________________ERR1" localSheetId="18">{#N/A,#N/A,FALSE,"M.42"}</definedName>
    <definedName name="____________________________________________________________________________________________________ERR1" localSheetId="1">{#N/A,#N/A,FALSE,"M.42"}</definedName>
    <definedName name="____________________________________________________________________________________________________ERR1" localSheetId="6">{#N/A,#N/A,FALSE,"M.42"}</definedName>
    <definedName name="____________________________________________________________________________________________________ERR1" localSheetId="2">{#N/A,#N/A,FALSE,"M.42"}</definedName>
    <definedName name="____________________________________________________________________________________________________ERR1" localSheetId="3">{#N/A,#N/A,FALSE,"M.42"}</definedName>
    <definedName name="____________________________________________________________________________________________________ERR1" localSheetId="0">{#N/A,#N/A,FALSE,"M.42"}</definedName>
    <definedName name="____________________________________________________________________________________________________ERR1" localSheetId="9">{#N/A,#N/A,FALSE,"M.42"}</definedName>
    <definedName name="____________________________________________________________________________________________________ERR1">{#N/A,#N/A,FALSE,"M.42"}</definedName>
    <definedName name="__________________________________________________________________________________________________ERR1" localSheetId="7">{#N/A,#N/A,FALSE,"M.42"}</definedName>
    <definedName name="__________________________________________________________________________________________________ERR1" localSheetId="8">{#N/A,#N/A,FALSE,"M.42"}</definedName>
    <definedName name="__________________________________________________________________________________________________ERR1" localSheetId="14">{#N/A,#N/A,FALSE,"M.42"}</definedName>
    <definedName name="__________________________________________________________________________________________________ERR1" localSheetId="13">{#N/A,#N/A,FALSE,"M.42"}</definedName>
    <definedName name="__________________________________________________________________________________________________ERR1" localSheetId="11">{#N/A,#N/A,FALSE,"M.42"}</definedName>
    <definedName name="__________________________________________________________________________________________________ERR1" localSheetId="12">{#N/A,#N/A,FALSE,"M.42"}</definedName>
    <definedName name="__________________________________________________________________________________________________ERR1" localSheetId="17">{#N/A,#N/A,FALSE,"M.42"}</definedName>
    <definedName name="__________________________________________________________________________________________________ERR1" localSheetId="15">{#N/A,#N/A,FALSE,"M.42"}</definedName>
    <definedName name="__________________________________________________________________________________________________ERR1" localSheetId="16">{#N/A,#N/A,FALSE,"M.42"}</definedName>
    <definedName name="__________________________________________________________________________________________________ERR1" localSheetId="18">{#N/A,#N/A,FALSE,"M.42"}</definedName>
    <definedName name="__________________________________________________________________________________________________ERR1" localSheetId="1">{#N/A,#N/A,FALSE,"M.42"}</definedName>
    <definedName name="__________________________________________________________________________________________________ERR1" localSheetId="6">{#N/A,#N/A,FALSE,"M.42"}</definedName>
    <definedName name="__________________________________________________________________________________________________ERR1" localSheetId="2">{#N/A,#N/A,FALSE,"M.42"}</definedName>
    <definedName name="__________________________________________________________________________________________________ERR1" localSheetId="3">{#N/A,#N/A,FALSE,"M.42"}</definedName>
    <definedName name="__________________________________________________________________________________________________ERR1" localSheetId="0">{#N/A,#N/A,FALSE,"M.42"}</definedName>
    <definedName name="__________________________________________________________________________________________________ERR1" localSheetId="9">{#N/A,#N/A,FALSE,"M.42"}</definedName>
    <definedName name="__________________________________________________________________________________________________ERR1">{#N/A,#N/A,FALSE,"M.42"}</definedName>
    <definedName name="________________________________________________________________________________________________ERR1" localSheetId="7">{#N/A,#N/A,FALSE,"M.42"}</definedName>
    <definedName name="________________________________________________________________________________________________ERR1" localSheetId="8">{#N/A,#N/A,FALSE,"M.42"}</definedName>
    <definedName name="________________________________________________________________________________________________ERR1" localSheetId="14">{#N/A,#N/A,FALSE,"M.42"}</definedName>
    <definedName name="________________________________________________________________________________________________ERR1" localSheetId="13">{#N/A,#N/A,FALSE,"M.42"}</definedName>
    <definedName name="________________________________________________________________________________________________ERR1" localSheetId="11">{#N/A,#N/A,FALSE,"M.42"}</definedName>
    <definedName name="________________________________________________________________________________________________ERR1" localSheetId="12">{#N/A,#N/A,FALSE,"M.42"}</definedName>
    <definedName name="________________________________________________________________________________________________ERR1" localSheetId="17">{#N/A,#N/A,FALSE,"M.42"}</definedName>
    <definedName name="________________________________________________________________________________________________ERR1" localSheetId="15">{#N/A,#N/A,FALSE,"M.42"}</definedName>
    <definedName name="________________________________________________________________________________________________ERR1" localSheetId="16">{#N/A,#N/A,FALSE,"M.42"}</definedName>
    <definedName name="________________________________________________________________________________________________ERR1" localSheetId="18">{#N/A,#N/A,FALSE,"M.42"}</definedName>
    <definedName name="________________________________________________________________________________________________ERR1" localSheetId="1">{#N/A,#N/A,FALSE,"M.42"}</definedName>
    <definedName name="________________________________________________________________________________________________ERR1" localSheetId="6">{#N/A,#N/A,FALSE,"M.42"}</definedName>
    <definedName name="________________________________________________________________________________________________ERR1" localSheetId="2">{#N/A,#N/A,FALSE,"M.42"}</definedName>
    <definedName name="________________________________________________________________________________________________ERR1" localSheetId="3">{#N/A,#N/A,FALSE,"M.42"}</definedName>
    <definedName name="________________________________________________________________________________________________ERR1" localSheetId="0">{#N/A,#N/A,FALSE,"M.42"}</definedName>
    <definedName name="________________________________________________________________________________________________ERR1" localSheetId="9">{#N/A,#N/A,FALSE,"M.42"}</definedName>
    <definedName name="________________________________________________________________________________________________ERR1">{#N/A,#N/A,FALSE,"M.42"}</definedName>
    <definedName name="______________________________________________________________________________________________ERR1" localSheetId="7">{#N/A,#N/A,FALSE,"M.42"}</definedName>
    <definedName name="______________________________________________________________________________________________ERR1" localSheetId="8">{#N/A,#N/A,FALSE,"M.42"}</definedName>
    <definedName name="______________________________________________________________________________________________ERR1" localSheetId="14">{#N/A,#N/A,FALSE,"M.42"}</definedName>
    <definedName name="______________________________________________________________________________________________ERR1" localSheetId="13">{#N/A,#N/A,FALSE,"M.42"}</definedName>
    <definedName name="______________________________________________________________________________________________ERR1" localSheetId="11">{#N/A,#N/A,FALSE,"M.42"}</definedName>
    <definedName name="______________________________________________________________________________________________ERR1" localSheetId="12">{#N/A,#N/A,FALSE,"M.42"}</definedName>
    <definedName name="______________________________________________________________________________________________ERR1" localSheetId="17">{#N/A,#N/A,FALSE,"M.42"}</definedName>
    <definedName name="______________________________________________________________________________________________ERR1" localSheetId="15">{#N/A,#N/A,FALSE,"M.42"}</definedName>
    <definedName name="______________________________________________________________________________________________ERR1" localSheetId="16">{#N/A,#N/A,FALSE,"M.42"}</definedName>
    <definedName name="______________________________________________________________________________________________ERR1" localSheetId="18">{#N/A,#N/A,FALSE,"M.42"}</definedName>
    <definedName name="______________________________________________________________________________________________ERR1" localSheetId="1">{#N/A,#N/A,FALSE,"M.42"}</definedName>
    <definedName name="______________________________________________________________________________________________ERR1" localSheetId="6">{#N/A,#N/A,FALSE,"M.42"}</definedName>
    <definedName name="______________________________________________________________________________________________ERR1" localSheetId="2">{#N/A,#N/A,FALSE,"M.42"}</definedName>
    <definedName name="______________________________________________________________________________________________ERR1" localSheetId="3">{#N/A,#N/A,FALSE,"M.42"}</definedName>
    <definedName name="______________________________________________________________________________________________ERR1" localSheetId="0">{#N/A,#N/A,FALSE,"M.42"}</definedName>
    <definedName name="______________________________________________________________________________________________ERR1" localSheetId="9">{#N/A,#N/A,FALSE,"M.42"}</definedName>
    <definedName name="______________________________________________________________________________________________ERR1">{#N/A,#N/A,FALSE,"M.42"}</definedName>
    <definedName name="____________________________________________________________________________________________ERR1" localSheetId="7">{#N/A,#N/A,FALSE,"M.42"}</definedName>
    <definedName name="____________________________________________________________________________________________ERR1" localSheetId="8">{#N/A,#N/A,FALSE,"M.42"}</definedName>
    <definedName name="____________________________________________________________________________________________ERR1" localSheetId="14">{#N/A,#N/A,FALSE,"M.42"}</definedName>
    <definedName name="____________________________________________________________________________________________ERR1" localSheetId="13">{#N/A,#N/A,FALSE,"M.42"}</definedName>
    <definedName name="____________________________________________________________________________________________ERR1" localSheetId="11">{#N/A,#N/A,FALSE,"M.42"}</definedName>
    <definedName name="____________________________________________________________________________________________ERR1" localSheetId="12">{#N/A,#N/A,FALSE,"M.42"}</definedName>
    <definedName name="____________________________________________________________________________________________ERR1" localSheetId="17">{#N/A,#N/A,FALSE,"M.42"}</definedName>
    <definedName name="____________________________________________________________________________________________ERR1" localSheetId="15">{#N/A,#N/A,FALSE,"M.42"}</definedName>
    <definedName name="____________________________________________________________________________________________ERR1" localSheetId="16">{#N/A,#N/A,FALSE,"M.42"}</definedName>
    <definedName name="____________________________________________________________________________________________ERR1" localSheetId="18">{#N/A,#N/A,FALSE,"M.42"}</definedName>
    <definedName name="____________________________________________________________________________________________ERR1" localSheetId="1">{#N/A,#N/A,FALSE,"M.42"}</definedName>
    <definedName name="____________________________________________________________________________________________ERR1" localSheetId="6">{#N/A,#N/A,FALSE,"M.42"}</definedName>
    <definedName name="____________________________________________________________________________________________ERR1" localSheetId="2">{#N/A,#N/A,FALSE,"M.42"}</definedName>
    <definedName name="____________________________________________________________________________________________ERR1" localSheetId="3">{#N/A,#N/A,FALSE,"M.42"}</definedName>
    <definedName name="____________________________________________________________________________________________ERR1" localSheetId="0">{#N/A,#N/A,FALSE,"M.42"}</definedName>
    <definedName name="____________________________________________________________________________________________ERR1" localSheetId="9">{#N/A,#N/A,FALSE,"M.42"}</definedName>
    <definedName name="____________________________________________________________________________________________ERR1">{#N/A,#N/A,FALSE,"M.42"}</definedName>
    <definedName name="__________________________________________________________________________________________ERR1" localSheetId="7">{#N/A,#N/A,FALSE,"M.42"}</definedName>
    <definedName name="__________________________________________________________________________________________ERR1" localSheetId="8">{#N/A,#N/A,FALSE,"M.42"}</definedName>
    <definedName name="__________________________________________________________________________________________ERR1" localSheetId="14">{#N/A,#N/A,FALSE,"M.42"}</definedName>
    <definedName name="__________________________________________________________________________________________ERR1" localSheetId="13">{#N/A,#N/A,FALSE,"M.42"}</definedName>
    <definedName name="__________________________________________________________________________________________ERR1" localSheetId="11">{#N/A,#N/A,FALSE,"M.42"}</definedName>
    <definedName name="__________________________________________________________________________________________ERR1" localSheetId="12">{#N/A,#N/A,FALSE,"M.42"}</definedName>
    <definedName name="__________________________________________________________________________________________ERR1" localSheetId="17">{#N/A,#N/A,FALSE,"M.42"}</definedName>
    <definedName name="__________________________________________________________________________________________ERR1" localSheetId="15">{#N/A,#N/A,FALSE,"M.42"}</definedName>
    <definedName name="__________________________________________________________________________________________ERR1" localSheetId="16">{#N/A,#N/A,FALSE,"M.42"}</definedName>
    <definedName name="__________________________________________________________________________________________ERR1" localSheetId="18">{#N/A,#N/A,FALSE,"M.42"}</definedName>
    <definedName name="__________________________________________________________________________________________ERR1" localSheetId="1">{#N/A,#N/A,FALSE,"M.42"}</definedName>
    <definedName name="__________________________________________________________________________________________ERR1" localSheetId="6">{#N/A,#N/A,FALSE,"M.42"}</definedName>
    <definedName name="__________________________________________________________________________________________ERR1" localSheetId="2">{#N/A,#N/A,FALSE,"M.42"}</definedName>
    <definedName name="__________________________________________________________________________________________ERR1" localSheetId="3">{#N/A,#N/A,FALSE,"M.42"}</definedName>
    <definedName name="__________________________________________________________________________________________ERR1" localSheetId="0">{#N/A,#N/A,FALSE,"M.42"}</definedName>
    <definedName name="__________________________________________________________________________________________ERR1" localSheetId="9">{#N/A,#N/A,FALSE,"M.42"}</definedName>
    <definedName name="__________________________________________________________________________________________ERR1">{#N/A,#N/A,FALSE,"M.42"}</definedName>
    <definedName name="________________________________________________________________________________________ERR1" localSheetId="7">{#N/A,#N/A,FALSE,"M.42"}</definedName>
    <definedName name="________________________________________________________________________________________ERR1" localSheetId="8">{#N/A,#N/A,FALSE,"M.42"}</definedName>
    <definedName name="________________________________________________________________________________________ERR1" localSheetId="14">{#N/A,#N/A,FALSE,"M.42"}</definedName>
    <definedName name="________________________________________________________________________________________ERR1" localSheetId="13">{#N/A,#N/A,FALSE,"M.42"}</definedName>
    <definedName name="________________________________________________________________________________________ERR1" localSheetId="11">{#N/A,#N/A,FALSE,"M.42"}</definedName>
    <definedName name="________________________________________________________________________________________ERR1" localSheetId="12">{#N/A,#N/A,FALSE,"M.42"}</definedName>
    <definedName name="________________________________________________________________________________________ERR1" localSheetId="17">{#N/A,#N/A,FALSE,"M.42"}</definedName>
    <definedName name="________________________________________________________________________________________ERR1" localSheetId="15">{#N/A,#N/A,FALSE,"M.42"}</definedName>
    <definedName name="________________________________________________________________________________________ERR1" localSheetId="16">{#N/A,#N/A,FALSE,"M.42"}</definedName>
    <definedName name="________________________________________________________________________________________ERR1" localSheetId="18">{#N/A,#N/A,FALSE,"M.42"}</definedName>
    <definedName name="________________________________________________________________________________________ERR1" localSheetId="1">{#N/A,#N/A,FALSE,"M.42"}</definedName>
    <definedName name="________________________________________________________________________________________ERR1" localSheetId="6">{#N/A,#N/A,FALSE,"M.42"}</definedName>
    <definedName name="________________________________________________________________________________________ERR1" localSheetId="2">{#N/A,#N/A,FALSE,"M.42"}</definedName>
    <definedName name="________________________________________________________________________________________ERR1" localSheetId="3">{#N/A,#N/A,FALSE,"M.42"}</definedName>
    <definedName name="________________________________________________________________________________________ERR1" localSheetId="0">{#N/A,#N/A,FALSE,"M.42"}</definedName>
    <definedName name="________________________________________________________________________________________ERR1" localSheetId="9">{#N/A,#N/A,FALSE,"M.42"}</definedName>
    <definedName name="________________________________________________________________________________________ERR1">{#N/A,#N/A,FALSE,"M.42"}</definedName>
    <definedName name="______________________________________________________________________________________ERR1" localSheetId="7">{#N/A,#N/A,FALSE,"M.42"}</definedName>
    <definedName name="______________________________________________________________________________________ERR1" localSheetId="8">{#N/A,#N/A,FALSE,"M.42"}</definedName>
    <definedName name="______________________________________________________________________________________ERR1" localSheetId="14">{#N/A,#N/A,FALSE,"M.42"}</definedName>
    <definedName name="______________________________________________________________________________________ERR1" localSheetId="13">{#N/A,#N/A,FALSE,"M.42"}</definedName>
    <definedName name="______________________________________________________________________________________ERR1" localSheetId="11">{#N/A,#N/A,FALSE,"M.42"}</definedName>
    <definedName name="______________________________________________________________________________________ERR1" localSheetId="12">{#N/A,#N/A,FALSE,"M.42"}</definedName>
    <definedName name="______________________________________________________________________________________ERR1" localSheetId="17">{#N/A,#N/A,FALSE,"M.42"}</definedName>
    <definedName name="______________________________________________________________________________________ERR1" localSheetId="15">{#N/A,#N/A,FALSE,"M.42"}</definedName>
    <definedName name="______________________________________________________________________________________ERR1" localSheetId="16">{#N/A,#N/A,FALSE,"M.42"}</definedName>
    <definedName name="______________________________________________________________________________________ERR1" localSheetId="18">{#N/A,#N/A,FALSE,"M.42"}</definedName>
    <definedName name="______________________________________________________________________________________ERR1" localSheetId="1">{#N/A,#N/A,FALSE,"M.42"}</definedName>
    <definedName name="______________________________________________________________________________________ERR1" localSheetId="6">{#N/A,#N/A,FALSE,"M.42"}</definedName>
    <definedName name="______________________________________________________________________________________ERR1" localSheetId="2">{#N/A,#N/A,FALSE,"M.42"}</definedName>
    <definedName name="______________________________________________________________________________________ERR1" localSheetId="3">{#N/A,#N/A,FALSE,"M.42"}</definedName>
    <definedName name="______________________________________________________________________________________ERR1" localSheetId="0">{#N/A,#N/A,FALSE,"M.42"}</definedName>
    <definedName name="______________________________________________________________________________________ERR1" localSheetId="9">{#N/A,#N/A,FALSE,"M.42"}</definedName>
    <definedName name="______________________________________________________________________________________ERR1">{#N/A,#N/A,FALSE,"M.42"}</definedName>
    <definedName name="____________________________________________________________________________________ERR1" localSheetId="7">{#N/A,#N/A,FALSE,"M.42"}</definedName>
    <definedName name="____________________________________________________________________________________ERR1" localSheetId="8">{#N/A,#N/A,FALSE,"M.42"}</definedName>
    <definedName name="____________________________________________________________________________________ERR1" localSheetId="14">{#N/A,#N/A,FALSE,"M.42"}</definedName>
    <definedName name="____________________________________________________________________________________ERR1" localSheetId="13">{#N/A,#N/A,FALSE,"M.42"}</definedName>
    <definedName name="____________________________________________________________________________________ERR1" localSheetId="11">{#N/A,#N/A,FALSE,"M.42"}</definedName>
    <definedName name="____________________________________________________________________________________ERR1" localSheetId="12">{#N/A,#N/A,FALSE,"M.42"}</definedName>
    <definedName name="____________________________________________________________________________________ERR1" localSheetId="17">{#N/A,#N/A,FALSE,"M.42"}</definedName>
    <definedName name="____________________________________________________________________________________ERR1" localSheetId="15">{#N/A,#N/A,FALSE,"M.42"}</definedName>
    <definedName name="____________________________________________________________________________________ERR1" localSheetId="16">{#N/A,#N/A,FALSE,"M.42"}</definedName>
    <definedName name="____________________________________________________________________________________ERR1" localSheetId="18">{#N/A,#N/A,FALSE,"M.42"}</definedName>
    <definedName name="____________________________________________________________________________________ERR1" localSheetId="1">{#N/A,#N/A,FALSE,"M.42"}</definedName>
    <definedName name="____________________________________________________________________________________ERR1" localSheetId="6">{#N/A,#N/A,FALSE,"M.42"}</definedName>
    <definedName name="____________________________________________________________________________________ERR1" localSheetId="2">{#N/A,#N/A,FALSE,"M.42"}</definedName>
    <definedName name="____________________________________________________________________________________ERR1" localSheetId="3">{#N/A,#N/A,FALSE,"M.42"}</definedName>
    <definedName name="____________________________________________________________________________________ERR1" localSheetId="0">{#N/A,#N/A,FALSE,"M.42"}</definedName>
    <definedName name="____________________________________________________________________________________ERR1" localSheetId="9">{#N/A,#N/A,FALSE,"M.42"}</definedName>
    <definedName name="____________________________________________________________________________________ERR1">{#N/A,#N/A,FALSE,"M.42"}</definedName>
    <definedName name="__________________________________________________________________________________ERR1" localSheetId="7">{#N/A,#N/A,FALSE,"M.42"}</definedName>
    <definedName name="__________________________________________________________________________________ERR1" localSheetId="8">{#N/A,#N/A,FALSE,"M.42"}</definedName>
    <definedName name="__________________________________________________________________________________ERR1" localSheetId="14">{#N/A,#N/A,FALSE,"M.42"}</definedName>
    <definedName name="__________________________________________________________________________________ERR1" localSheetId="13">{#N/A,#N/A,FALSE,"M.42"}</definedName>
    <definedName name="__________________________________________________________________________________ERR1" localSheetId="11">{#N/A,#N/A,FALSE,"M.42"}</definedName>
    <definedName name="__________________________________________________________________________________ERR1" localSheetId="12">{#N/A,#N/A,FALSE,"M.42"}</definedName>
    <definedName name="__________________________________________________________________________________ERR1" localSheetId="17">{#N/A,#N/A,FALSE,"M.42"}</definedName>
    <definedName name="__________________________________________________________________________________ERR1" localSheetId="15">{#N/A,#N/A,FALSE,"M.42"}</definedName>
    <definedName name="__________________________________________________________________________________ERR1" localSheetId="16">{#N/A,#N/A,FALSE,"M.42"}</definedName>
    <definedName name="__________________________________________________________________________________ERR1" localSheetId="18">{#N/A,#N/A,FALSE,"M.42"}</definedName>
    <definedName name="__________________________________________________________________________________ERR1" localSheetId="1">{#N/A,#N/A,FALSE,"M.42"}</definedName>
    <definedName name="__________________________________________________________________________________ERR1" localSheetId="6">{#N/A,#N/A,FALSE,"M.42"}</definedName>
    <definedName name="__________________________________________________________________________________ERR1" localSheetId="2">{#N/A,#N/A,FALSE,"M.42"}</definedName>
    <definedName name="__________________________________________________________________________________ERR1" localSheetId="3">{#N/A,#N/A,FALSE,"M.42"}</definedName>
    <definedName name="__________________________________________________________________________________ERR1" localSheetId="0">{#N/A,#N/A,FALSE,"M.42"}</definedName>
    <definedName name="__________________________________________________________________________________ERR1" localSheetId="9">{#N/A,#N/A,FALSE,"M.42"}</definedName>
    <definedName name="__________________________________________________________________________________ERR1">{#N/A,#N/A,FALSE,"M.42"}</definedName>
    <definedName name="________________________________________________________________________________ERR1" localSheetId="7">{#N/A,#N/A,FALSE,"M.42"}</definedName>
    <definedName name="________________________________________________________________________________ERR1" localSheetId="8">{#N/A,#N/A,FALSE,"M.42"}</definedName>
    <definedName name="________________________________________________________________________________ERR1" localSheetId="14">{#N/A,#N/A,FALSE,"M.42"}</definedName>
    <definedName name="________________________________________________________________________________ERR1" localSheetId="13">{#N/A,#N/A,FALSE,"M.42"}</definedName>
    <definedName name="________________________________________________________________________________ERR1" localSheetId="11">{#N/A,#N/A,FALSE,"M.42"}</definedName>
    <definedName name="________________________________________________________________________________ERR1" localSheetId="12">{#N/A,#N/A,FALSE,"M.42"}</definedName>
    <definedName name="________________________________________________________________________________ERR1" localSheetId="17">{#N/A,#N/A,FALSE,"M.42"}</definedName>
    <definedName name="________________________________________________________________________________ERR1" localSheetId="15">{#N/A,#N/A,FALSE,"M.42"}</definedName>
    <definedName name="________________________________________________________________________________ERR1" localSheetId="16">{#N/A,#N/A,FALSE,"M.42"}</definedName>
    <definedName name="________________________________________________________________________________ERR1" localSheetId="18">{#N/A,#N/A,FALSE,"M.42"}</definedName>
    <definedName name="________________________________________________________________________________ERR1" localSheetId="1">{#N/A,#N/A,FALSE,"M.42"}</definedName>
    <definedName name="________________________________________________________________________________ERR1" localSheetId="6">{#N/A,#N/A,FALSE,"M.42"}</definedName>
    <definedName name="________________________________________________________________________________ERR1" localSheetId="2">{#N/A,#N/A,FALSE,"M.42"}</definedName>
    <definedName name="________________________________________________________________________________ERR1" localSheetId="3">{#N/A,#N/A,FALSE,"M.42"}</definedName>
    <definedName name="________________________________________________________________________________ERR1" localSheetId="0">{#N/A,#N/A,FALSE,"M.42"}</definedName>
    <definedName name="________________________________________________________________________________ERR1" localSheetId="9">{#N/A,#N/A,FALSE,"M.42"}</definedName>
    <definedName name="________________________________________________________________________________ERR1">{#N/A,#N/A,FALSE,"M.42"}</definedName>
    <definedName name="______________________________________________________________________________ERR1" localSheetId="7">{#N/A,#N/A,FALSE,"M.42"}</definedName>
    <definedName name="______________________________________________________________________________ERR1" localSheetId="8">{#N/A,#N/A,FALSE,"M.42"}</definedName>
    <definedName name="______________________________________________________________________________ERR1" localSheetId="14">{#N/A,#N/A,FALSE,"M.42"}</definedName>
    <definedName name="______________________________________________________________________________ERR1" localSheetId="13">{#N/A,#N/A,FALSE,"M.42"}</definedName>
    <definedName name="______________________________________________________________________________ERR1" localSheetId="11">{#N/A,#N/A,FALSE,"M.42"}</definedName>
    <definedName name="______________________________________________________________________________ERR1" localSheetId="12">{#N/A,#N/A,FALSE,"M.42"}</definedName>
    <definedName name="______________________________________________________________________________ERR1" localSheetId="17">{#N/A,#N/A,FALSE,"M.42"}</definedName>
    <definedName name="______________________________________________________________________________ERR1" localSheetId="15">{#N/A,#N/A,FALSE,"M.42"}</definedName>
    <definedName name="______________________________________________________________________________ERR1" localSheetId="16">{#N/A,#N/A,FALSE,"M.42"}</definedName>
    <definedName name="______________________________________________________________________________ERR1" localSheetId="18">{#N/A,#N/A,FALSE,"M.42"}</definedName>
    <definedName name="______________________________________________________________________________ERR1" localSheetId="1">{#N/A,#N/A,FALSE,"M.42"}</definedName>
    <definedName name="______________________________________________________________________________ERR1" localSheetId="6">{#N/A,#N/A,FALSE,"M.42"}</definedName>
    <definedName name="______________________________________________________________________________ERR1" localSheetId="2">{#N/A,#N/A,FALSE,"M.42"}</definedName>
    <definedName name="______________________________________________________________________________ERR1" localSheetId="3">{#N/A,#N/A,FALSE,"M.42"}</definedName>
    <definedName name="______________________________________________________________________________ERR1" localSheetId="0">{#N/A,#N/A,FALSE,"M.42"}</definedName>
    <definedName name="______________________________________________________________________________ERR1" localSheetId="9">{#N/A,#N/A,FALSE,"M.42"}</definedName>
    <definedName name="______________________________________________________________________________ERR1">{#N/A,#N/A,FALSE,"M.42"}</definedName>
    <definedName name="____________________________________________________________________________ERR1" localSheetId="7">{#N/A,#N/A,FALSE,"M.42"}</definedName>
    <definedName name="____________________________________________________________________________ERR1" localSheetId="8">{#N/A,#N/A,FALSE,"M.42"}</definedName>
    <definedName name="____________________________________________________________________________ERR1" localSheetId="14">{#N/A,#N/A,FALSE,"M.42"}</definedName>
    <definedName name="____________________________________________________________________________ERR1" localSheetId="13">{#N/A,#N/A,FALSE,"M.42"}</definedName>
    <definedName name="____________________________________________________________________________ERR1" localSheetId="11">{#N/A,#N/A,FALSE,"M.42"}</definedName>
    <definedName name="____________________________________________________________________________ERR1" localSheetId="12">{#N/A,#N/A,FALSE,"M.42"}</definedName>
    <definedName name="____________________________________________________________________________ERR1" localSheetId="17">{#N/A,#N/A,FALSE,"M.42"}</definedName>
    <definedName name="____________________________________________________________________________ERR1" localSheetId="15">{#N/A,#N/A,FALSE,"M.42"}</definedName>
    <definedName name="____________________________________________________________________________ERR1" localSheetId="16">{#N/A,#N/A,FALSE,"M.42"}</definedName>
    <definedName name="____________________________________________________________________________ERR1" localSheetId="18">{#N/A,#N/A,FALSE,"M.42"}</definedName>
    <definedName name="____________________________________________________________________________ERR1" localSheetId="1">{#N/A,#N/A,FALSE,"M.42"}</definedName>
    <definedName name="____________________________________________________________________________ERR1" localSheetId="6">{#N/A,#N/A,FALSE,"M.42"}</definedName>
    <definedName name="____________________________________________________________________________ERR1" localSheetId="2">{#N/A,#N/A,FALSE,"M.42"}</definedName>
    <definedName name="____________________________________________________________________________ERR1" localSheetId="3">{#N/A,#N/A,FALSE,"M.42"}</definedName>
    <definedName name="____________________________________________________________________________ERR1" localSheetId="0">{#N/A,#N/A,FALSE,"M.42"}</definedName>
    <definedName name="____________________________________________________________________________ERR1" localSheetId="9">{#N/A,#N/A,FALSE,"M.42"}</definedName>
    <definedName name="____________________________________________________________________________ERR1">{#N/A,#N/A,FALSE,"M.42"}</definedName>
    <definedName name="__________________________________________________________________________ERR1" localSheetId="7">{#N/A,#N/A,FALSE,"M.42"}</definedName>
    <definedName name="__________________________________________________________________________ERR1" localSheetId="8">{#N/A,#N/A,FALSE,"M.42"}</definedName>
    <definedName name="__________________________________________________________________________ERR1" localSheetId="14">{#N/A,#N/A,FALSE,"M.42"}</definedName>
    <definedName name="__________________________________________________________________________ERR1" localSheetId="13">{#N/A,#N/A,FALSE,"M.42"}</definedName>
    <definedName name="__________________________________________________________________________ERR1" localSheetId="11">{#N/A,#N/A,FALSE,"M.42"}</definedName>
    <definedName name="__________________________________________________________________________ERR1" localSheetId="12">{#N/A,#N/A,FALSE,"M.42"}</definedName>
    <definedName name="__________________________________________________________________________ERR1" localSheetId="17">{#N/A,#N/A,FALSE,"M.42"}</definedName>
    <definedName name="__________________________________________________________________________ERR1" localSheetId="15">{#N/A,#N/A,FALSE,"M.42"}</definedName>
    <definedName name="__________________________________________________________________________ERR1" localSheetId="16">{#N/A,#N/A,FALSE,"M.42"}</definedName>
    <definedName name="__________________________________________________________________________ERR1" localSheetId="18">{#N/A,#N/A,FALSE,"M.42"}</definedName>
    <definedName name="__________________________________________________________________________ERR1" localSheetId="1">{#N/A,#N/A,FALSE,"M.42"}</definedName>
    <definedName name="__________________________________________________________________________ERR1" localSheetId="6">{#N/A,#N/A,FALSE,"M.42"}</definedName>
    <definedName name="__________________________________________________________________________ERR1" localSheetId="2">{#N/A,#N/A,FALSE,"M.42"}</definedName>
    <definedName name="__________________________________________________________________________ERR1" localSheetId="3">{#N/A,#N/A,FALSE,"M.42"}</definedName>
    <definedName name="__________________________________________________________________________ERR1" localSheetId="0">{#N/A,#N/A,FALSE,"M.42"}</definedName>
    <definedName name="__________________________________________________________________________ERR1" localSheetId="9">{#N/A,#N/A,FALSE,"M.42"}</definedName>
    <definedName name="__________________________________________________________________________ERR1">{#N/A,#N/A,FALSE,"M.42"}</definedName>
    <definedName name="________________________________________________________________________ERR1" localSheetId="7">{#N/A,#N/A,FALSE,"M.42"}</definedName>
    <definedName name="________________________________________________________________________ERR1" localSheetId="8">{#N/A,#N/A,FALSE,"M.42"}</definedName>
    <definedName name="________________________________________________________________________ERR1" localSheetId="14">{#N/A,#N/A,FALSE,"M.42"}</definedName>
    <definedName name="________________________________________________________________________ERR1" localSheetId="13">{#N/A,#N/A,FALSE,"M.42"}</definedName>
    <definedName name="________________________________________________________________________ERR1" localSheetId="11">{#N/A,#N/A,FALSE,"M.42"}</definedName>
    <definedName name="________________________________________________________________________ERR1" localSheetId="12">{#N/A,#N/A,FALSE,"M.42"}</definedName>
    <definedName name="________________________________________________________________________ERR1" localSheetId="17">{#N/A,#N/A,FALSE,"M.42"}</definedName>
    <definedName name="________________________________________________________________________ERR1" localSheetId="15">{#N/A,#N/A,FALSE,"M.42"}</definedName>
    <definedName name="________________________________________________________________________ERR1" localSheetId="16">{#N/A,#N/A,FALSE,"M.42"}</definedName>
    <definedName name="________________________________________________________________________ERR1" localSheetId="18">{#N/A,#N/A,FALSE,"M.42"}</definedName>
    <definedName name="________________________________________________________________________ERR1" localSheetId="1">{#N/A,#N/A,FALSE,"M.42"}</definedName>
    <definedName name="________________________________________________________________________ERR1" localSheetId="6">{#N/A,#N/A,FALSE,"M.42"}</definedName>
    <definedName name="________________________________________________________________________ERR1" localSheetId="2">{#N/A,#N/A,FALSE,"M.42"}</definedName>
    <definedName name="________________________________________________________________________ERR1" localSheetId="3">{#N/A,#N/A,FALSE,"M.42"}</definedName>
    <definedName name="________________________________________________________________________ERR1" localSheetId="0">{#N/A,#N/A,FALSE,"M.42"}</definedName>
    <definedName name="________________________________________________________________________ERR1" localSheetId="9">{#N/A,#N/A,FALSE,"M.42"}</definedName>
    <definedName name="________________________________________________________________________ERR1">{#N/A,#N/A,FALSE,"M.42"}</definedName>
    <definedName name="______________________________________________________________________ERR1" localSheetId="7">{#N/A,#N/A,FALSE,"M.42"}</definedName>
    <definedName name="______________________________________________________________________ERR1" localSheetId="8">{#N/A,#N/A,FALSE,"M.42"}</definedName>
    <definedName name="______________________________________________________________________ERR1" localSheetId="14">{#N/A,#N/A,FALSE,"M.42"}</definedName>
    <definedName name="______________________________________________________________________ERR1" localSheetId="13">{#N/A,#N/A,FALSE,"M.42"}</definedName>
    <definedName name="______________________________________________________________________ERR1" localSheetId="11">{#N/A,#N/A,FALSE,"M.42"}</definedName>
    <definedName name="______________________________________________________________________ERR1" localSheetId="12">{#N/A,#N/A,FALSE,"M.42"}</definedName>
    <definedName name="______________________________________________________________________ERR1" localSheetId="17">{#N/A,#N/A,FALSE,"M.42"}</definedName>
    <definedName name="______________________________________________________________________ERR1" localSheetId="15">{#N/A,#N/A,FALSE,"M.42"}</definedName>
    <definedName name="______________________________________________________________________ERR1" localSheetId="16">{#N/A,#N/A,FALSE,"M.42"}</definedName>
    <definedName name="______________________________________________________________________ERR1" localSheetId="18">{#N/A,#N/A,FALSE,"M.42"}</definedName>
    <definedName name="______________________________________________________________________ERR1" localSheetId="1">{#N/A,#N/A,FALSE,"M.42"}</definedName>
    <definedName name="______________________________________________________________________ERR1" localSheetId="6">{#N/A,#N/A,FALSE,"M.42"}</definedName>
    <definedName name="______________________________________________________________________ERR1" localSheetId="2">{#N/A,#N/A,FALSE,"M.42"}</definedName>
    <definedName name="______________________________________________________________________ERR1" localSheetId="3">{#N/A,#N/A,FALSE,"M.42"}</definedName>
    <definedName name="______________________________________________________________________ERR1" localSheetId="0">{#N/A,#N/A,FALSE,"M.42"}</definedName>
    <definedName name="______________________________________________________________________ERR1" localSheetId="9">{#N/A,#N/A,FALSE,"M.42"}</definedName>
    <definedName name="______________________________________________________________________ERR1">{#N/A,#N/A,FALSE,"M.42"}</definedName>
    <definedName name="____________________________________________________________________ERR1" localSheetId="7">{#N/A,#N/A,FALSE,"M.42"}</definedName>
    <definedName name="____________________________________________________________________ERR1" localSheetId="8">{#N/A,#N/A,FALSE,"M.42"}</definedName>
    <definedName name="____________________________________________________________________ERR1" localSheetId="14">{#N/A,#N/A,FALSE,"M.42"}</definedName>
    <definedName name="____________________________________________________________________ERR1" localSheetId="13">{#N/A,#N/A,FALSE,"M.42"}</definedName>
    <definedName name="____________________________________________________________________ERR1" localSheetId="11">{#N/A,#N/A,FALSE,"M.42"}</definedName>
    <definedName name="____________________________________________________________________ERR1" localSheetId="12">{#N/A,#N/A,FALSE,"M.42"}</definedName>
    <definedName name="____________________________________________________________________ERR1" localSheetId="17">{#N/A,#N/A,FALSE,"M.42"}</definedName>
    <definedName name="____________________________________________________________________ERR1" localSheetId="15">{#N/A,#N/A,FALSE,"M.42"}</definedName>
    <definedName name="____________________________________________________________________ERR1" localSheetId="16">{#N/A,#N/A,FALSE,"M.42"}</definedName>
    <definedName name="____________________________________________________________________ERR1" localSheetId="18">{#N/A,#N/A,FALSE,"M.42"}</definedName>
    <definedName name="____________________________________________________________________ERR1" localSheetId="1">{#N/A,#N/A,FALSE,"M.42"}</definedName>
    <definedName name="____________________________________________________________________ERR1" localSheetId="6">{#N/A,#N/A,FALSE,"M.42"}</definedName>
    <definedName name="____________________________________________________________________ERR1" localSheetId="2">{#N/A,#N/A,FALSE,"M.42"}</definedName>
    <definedName name="____________________________________________________________________ERR1" localSheetId="3">{#N/A,#N/A,FALSE,"M.42"}</definedName>
    <definedName name="____________________________________________________________________ERR1" localSheetId="0">{#N/A,#N/A,FALSE,"M.42"}</definedName>
    <definedName name="____________________________________________________________________ERR1" localSheetId="9">{#N/A,#N/A,FALSE,"M.42"}</definedName>
    <definedName name="____________________________________________________________________ERR1">{#N/A,#N/A,FALSE,"M.42"}</definedName>
    <definedName name="__________________________________________________________________ERR1" localSheetId="7">{#N/A,#N/A,FALSE,"M.42"}</definedName>
    <definedName name="__________________________________________________________________ERR1" localSheetId="8">{#N/A,#N/A,FALSE,"M.42"}</definedName>
    <definedName name="__________________________________________________________________ERR1" localSheetId="14">{#N/A,#N/A,FALSE,"M.42"}</definedName>
    <definedName name="__________________________________________________________________ERR1" localSheetId="13">{#N/A,#N/A,FALSE,"M.42"}</definedName>
    <definedName name="__________________________________________________________________ERR1" localSheetId="11">{#N/A,#N/A,FALSE,"M.42"}</definedName>
    <definedName name="__________________________________________________________________ERR1" localSheetId="12">{#N/A,#N/A,FALSE,"M.42"}</definedName>
    <definedName name="__________________________________________________________________ERR1" localSheetId="17">{#N/A,#N/A,FALSE,"M.42"}</definedName>
    <definedName name="__________________________________________________________________ERR1" localSheetId="15">{#N/A,#N/A,FALSE,"M.42"}</definedName>
    <definedName name="__________________________________________________________________ERR1" localSheetId="16">{#N/A,#N/A,FALSE,"M.42"}</definedName>
    <definedName name="__________________________________________________________________ERR1" localSheetId="18">{#N/A,#N/A,FALSE,"M.42"}</definedName>
    <definedName name="__________________________________________________________________ERR1" localSheetId="1">{#N/A,#N/A,FALSE,"M.42"}</definedName>
    <definedName name="__________________________________________________________________ERR1" localSheetId="6">{#N/A,#N/A,FALSE,"M.42"}</definedName>
    <definedName name="__________________________________________________________________ERR1" localSheetId="2">{#N/A,#N/A,FALSE,"M.42"}</definedName>
    <definedName name="__________________________________________________________________ERR1" localSheetId="3">{#N/A,#N/A,FALSE,"M.42"}</definedName>
    <definedName name="__________________________________________________________________ERR1" localSheetId="0">{#N/A,#N/A,FALSE,"M.42"}</definedName>
    <definedName name="__________________________________________________________________ERR1" localSheetId="9">{#N/A,#N/A,FALSE,"M.42"}</definedName>
    <definedName name="__________________________________________________________________ERR1">{#N/A,#N/A,FALSE,"M.42"}</definedName>
    <definedName name="________________________________________________________________ERR1" localSheetId="7">{#N/A,#N/A,FALSE,"M.42"}</definedName>
    <definedName name="________________________________________________________________ERR1" localSheetId="8">{#N/A,#N/A,FALSE,"M.42"}</definedName>
    <definedName name="________________________________________________________________ERR1" localSheetId="14">{#N/A,#N/A,FALSE,"M.42"}</definedName>
    <definedName name="________________________________________________________________ERR1" localSheetId="13">{#N/A,#N/A,FALSE,"M.42"}</definedName>
    <definedName name="________________________________________________________________ERR1" localSheetId="11">{#N/A,#N/A,FALSE,"M.42"}</definedName>
    <definedName name="________________________________________________________________ERR1" localSheetId="12">{#N/A,#N/A,FALSE,"M.42"}</definedName>
    <definedName name="________________________________________________________________ERR1" localSheetId="17">{#N/A,#N/A,FALSE,"M.42"}</definedName>
    <definedName name="________________________________________________________________ERR1" localSheetId="15">{#N/A,#N/A,FALSE,"M.42"}</definedName>
    <definedName name="________________________________________________________________ERR1" localSheetId="16">{#N/A,#N/A,FALSE,"M.42"}</definedName>
    <definedName name="________________________________________________________________ERR1" localSheetId="18">{#N/A,#N/A,FALSE,"M.42"}</definedName>
    <definedName name="________________________________________________________________ERR1" localSheetId="1">{#N/A,#N/A,FALSE,"M.42"}</definedName>
    <definedName name="________________________________________________________________ERR1" localSheetId="6">{#N/A,#N/A,FALSE,"M.42"}</definedName>
    <definedName name="________________________________________________________________ERR1" localSheetId="2">{#N/A,#N/A,FALSE,"M.42"}</definedName>
    <definedName name="________________________________________________________________ERR1" localSheetId="3">{#N/A,#N/A,FALSE,"M.42"}</definedName>
    <definedName name="________________________________________________________________ERR1" localSheetId="0">{#N/A,#N/A,FALSE,"M.42"}</definedName>
    <definedName name="________________________________________________________________ERR1" localSheetId="9">{#N/A,#N/A,FALSE,"M.42"}</definedName>
    <definedName name="________________________________________________________________ERR1">{#N/A,#N/A,FALSE,"M.42"}</definedName>
    <definedName name="______________________________________________________________ERR1" localSheetId="7">{#N/A,#N/A,FALSE,"M.42"}</definedName>
    <definedName name="______________________________________________________________ERR1" localSheetId="8">{#N/A,#N/A,FALSE,"M.42"}</definedName>
    <definedName name="______________________________________________________________ERR1" localSheetId="14">{#N/A,#N/A,FALSE,"M.42"}</definedName>
    <definedName name="______________________________________________________________ERR1" localSheetId="13">{#N/A,#N/A,FALSE,"M.42"}</definedName>
    <definedName name="______________________________________________________________ERR1" localSheetId="11">{#N/A,#N/A,FALSE,"M.42"}</definedName>
    <definedName name="______________________________________________________________ERR1" localSheetId="12">{#N/A,#N/A,FALSE,"M.42"}</definedName>
    <definedName name="______________________________________________________________ERR1" localSheetId="17">{#N/A,#N/A,FALSE,"M.42"}</definedName>
    <definedName name="______________________________________________________________ERR1" localSheetId="15">{#N/A,#N/A,FALSE,"M.42"}</definedName>
    <definedName name="______________________________________________________________ERR1" localSheetId="16">{#N/A,#N/A,FALSE,"M.42"}</definedName>
    <definedName name="______________________________________________________________ERR1" localSheetId="18">{#N/A,#N/A,FALSE,"M.42"}</definedName>
    <definedName name="______________________________________________________________ERR1" localSheetId="1">{#N/A,#N/A,FALSE,"M.42"}</definedName>
    <definedName name="______________________________________________________________ERR1" localSheetId="6">{#N/A,#N/A,FALSE,"M.42"}</definedName>
    <definedName name="______________________________________________________________ERR1" localSheetId="2">{#N/A,#N/A,FALSE,"M.42"}</definedName>
    <definedName name="______________________________________________________________ERR1" localSheetId="3">{#N/A,#N/A,FALSE,"M.42"}</definedName>
    <definedName name="______________________________________________________________ERR1" localSheetId="0">{#N/A,#N/A,FALSE,"M.42"}</definedName>
    <definedName name="______________________________________________________________ERR1" localSheetId="9">{#N/A,#N/A,FALSE,"M.42"}</definedName>
    <definedName name="______________________________________________________________ERR1">{#N/A,#N/A,FALSE,"M.42"}</definedName>
    <definedName name="____________________________________________________________ERR1" localSheetId="7">{#N/A,#N/A,FALSE,"M.42"}</definedName>
    <definedName name="____________________________________________________________ERR1" localSheetId="8">{#N/A,#N/A,FALSE,"M.42"}</definedName>
    <definedName name="____________________________________________________________ERR1" localSheetId="14">{#N/A,#N/A,FALSE,"M.42"}</definedName>
    <definedName name="____________________________________________________________ERR1" localSheetId="13">{#N/A,#N/A,FALSE,"M.42"}</definedName>
    <definedName name="____________________________________________________________ERR1" localSheetId="11">{#N/A,#N/A,FALSE,"M.42"}</definedName>
    <definedName name="____________________________________________________________ERR1" localSheetId="12">{#N/A,#N/A,FALSE,"M.42"}</definedName>
    <definedName name="____________________________________________________________ERR1" localSheetId="17">{#N/A,#N/A,FALSE,"M.42"}</definedName>
    <definedName name="____________________________________________________________ERR1" localSheetId="15">{#N/A,#N/A,FALSE,"M.42"}</definedName>
    <definedName name="____________________________________________________________ERR1" localSheetId="16">{#N/A,#N/A,FALSE,"M.42"}</definedName>
    <definedName name="____________________________________________________________ERR1" localSheetId="18">{#N/A,#N/A,FALSE,"M.42"}</definedName>
    <definedName name="____________________________________________________________ERR1" localSheetId="1">{#N/A,#N/A,FALSE,"M.42"}</definedName>
    <definedName name="____________________________________________________________ERR1" localSheetId="6">{#N/A,#N/A,FALSE,"M.42"}</definedName>
    <definedName name="____________________________________________________________ERR1" localSheetId="2">{#N/A,#N/A,FALSE,"M.42"}</definedName>
    <definedName name="____________________________________________________________ERR1" localSheetId="3">{#N/A,#N/A,FALSE,"M.42"}</definedName>
    <definedName name="____________________________________________________________ERR1" localSheetId="0">{#N/A,#N/A,FALSE,"M.42"}</definedName>
    <definedName name="____________________________________________________________ERR1" localSheetId="9">{#N/A,#N/A,FALSE,"M.42"}</definedName>
    <definedName name="____________________________________________________________ERR1">{#N/A,#N/A,FALSE,"M.42"}</definedName>
    <definedName name="__________________________________________________________ERR1" localSheetId="7">{#N/A,#N/A,FALSE,"M.42"}</definedName>
    <definedName name="__________________________________________________________ERR1" localSheetId="8">{#N/A,#N/A,FALSE,"M.42"}</definedName>
    <definedName name="__________________________________________________________ERR1" localSheetId="14">{#N/A,#N/A,FALSE,"M.42"}</definedName>
    <definedName name="__________________________________________________________ERR1" localSheetId="13">{#N/A,#N/A,FALSE,"M.42"}</definedName>
    <definedName name="__________________________________________________________ERR1" localSheetId="11">{#N/A,#N/A,FALSE,"M.42"}</definedName>
    <definedName name="__________________________________________________________ERR1" localSheetId="12">{#N/A,#N/A,FALSE,"M.42"}</definedName>
    <definedName name="__________________________________________________________ERR1" localSheetId="17">{#N/A,#N/A,FALSE,"M.42"}</definedName>
    <definedName name="__________________________________________________________ERR1" localSheetId="15">{#N/A,#N/A,FALSE,"M.42"}</definedName>
    <definedName name="__________________________________________________________ERR1" localSheetId="16">{#N/A,#N/A,FALSE,"M.42"}</definedName>
    <definedName name="__________________________________________________________ERR1" localSheetId="18">{#N/A,#N/A,FALSE,"M.42"}</definedName>
    <definedName name="__________________________________________________________ERR1" localSheetId="1">{#N/A,#N/A,FALSE,"M.42"}</definedName>
    <definedName name="__________________________________________________________ERR1" localSheetId="6">{#N/A,#N/A,FALSE,"M.42"}</definedName>
    <definedName name="__________________________________________________________ERR1" localSheetId="2">{#N/A,#N/A,FALSE,"M.42"}</definedName>
    <definedName name="__________________________________________________________ERR1" localSheetId="3">{#N/A,#N/A,FALSE,"M.42"}</definedName>
    <definedName name="__________________________________________________________ERR1" localSheetId="0">{#N/A,#N/A,FALSE,"M.42"}</definedName>
    <definedName name="__________________________________________________________ERR1" localSheetId="9">{#N/A,#N/A,FALSE,"M.42"}</definedName>
    <definedName name="__________________________________________________________ERR1">{#N/A,#N/A,FALSE,"M.42"}</definedName>
    <definedName name="________________________________________________________ERR1" localSheetId="7">{#N/A,#N/A,FALSE,"M.42"}</definedName>
    <definedName name="________________________________________________________ERR1" localSheetId="8">{#N/A,#N/A,FALSE,"M.42"}</definedName>
    <definedName name="________________________________________________________ERR1" localSheetId="14">{#N/A,#N/A,FALSE,"M.42"}</definedName>
    <definedName name="________________________________________________________ERR1" localSheetId="13">{#N/A,#N/A,FALSE,"M.42"}</definedName>
    <definedName name="________________________________________________________ERR1" localSheetId="11">{#N/A,#N/A,FALSE,"M.42"}</definedName>
    <definedName name="________________________________________________________ERR1" localSheetId="12">{#N/A,#N/A,FALSE,"M.42"}</definedName>
    <definedName name="________________________________________________________ERR1" localSheetId="17">{#N/A,#N/A,FALSE,"M.42"}</definedName>
    <definedName name="________________________________________________________ERR1" localSheetId="15">{#N/A,#N/A,FALSE,"M.42"}</definedName>
    <definedName name="________________________________________________________ERR1" localSheetId="16">{#N/A,#N/A,FALSE,"M.42"}</definedName>
    <definedName name="________________________________________________________ERR1" localSheetId="18">{#N/A,#N/A,FALSE,"M.42"}</definedName>
    <definedName name="________________________________________________________ERR1" localSheetId="1">{#N/A,#N/A,FALSE,"M.42"}</definedName>
    <definedName name="________________________________________________________ERR1" localSheetId="6">{#N/A,#N/A,FALSE,"M.42"}</definedName>
    <definedName name="________________________________________________________ERR1" localSheetId="2">{#N/A,#N/A,FALSE,"M.42"}</definedName>
    <definedName name="________________________________________________________ERR1" localSheetId="3">{#N/A,#N/A,FALSE,"M.42"}</definedName>
    <definedName name="________________________________________________________ERR1" localSheetId="0">{#N/A,#N/A,FALSE,"M.42"}</definedName>
    <definedName name="________________________________________________________ERR1" localSheetId="9">{#N/A,#N/A,FALSE,"M.42"}</definedName>
    <definedName name="________________________________________________________ERR1">{#N/A,#N/A,FALSE,"M.42"}</definedName>
    <definedName name="______________________________________________________ERR1" localSheetId="7">{#N/A,#N/A,FALSE,"M.42"}</definedName>
    <definedName name="______________________________________________________ERR1" localSheetId="8">{#N/A,#N/A,FALSE,"M.42"}</definedName>
    <definedName name="______________________________________________________ERR1" localSheetId="14">{#N/A,#N/A,FALSE,"M.42"}</definedName>
    <definedName name="______________________________________________________ERR1" localSheetId="13">{#N/A,#N/A,FALSE,"M.42"}</definedName>
    <definedName name="______________________________________________________ERR1" localSheetId="11">{#N/A,#N/A,FALSE,"M.42"}</definedName>
    <definedName name="______________________________________________________ERR1" localSheetId="12">{#N/A,#N/A,FALSE,"M.42"}</definedName>
    <definedName name="______________________________________________________ERR1" localSheetId="17">{#N/A,#N/A,FALSE,"M.42"}</definedName>
    <definedName name="______________________________________________________ERR1" localSheetId="15">{#N/A,#N/A,FALSE,"M.42"}</definedName>
    <definedName name="______________________________________________________ERR1" localSheetId="16">{#N/A,#N/A,FALSE,"M.42"}</definedName>
    <definedName name="______________________________________________________ERR1" localSheetId="18">{#N/A,#N/A,FALSE,"M.42"}</definedName>
    <definedName name="______________________________________________________ERR1" localSheetId="1">{#N/A,#N/A,FALSE,"M.42"}</definedName>
    <definedName name="______________________________________________________ERR1" localSheetId="6">{#N/A,#N/A,FALSE,"M.42"}</definedName>
    <definedName name="______________________________________________________ERR1" localSheetId="2">{#N/A,#N/A,FALSE,"M.42"}</definedName>
    <definedName name="______________________________________________________ERR1" localSheetId="3">{#N/A,#N/A,FALSE,"M.42"}</definedName>
    <definedName name="______________________________________________________ERR1" localSheetId="0">{#N/A,#N/A,FALSE,"M.42"}</definedName>
    <definedName name="______________________________________________________ERR1" localSheetId="9">{#N/A,#N/A,FALSE,"M.42"}</definedName>
    <definedName name="______________________________________________________ERR1">{#N/A,#N/A,FALSE,"M.42"}</definedName>
    <definedName name="____________________________________________________ERR1" localSheetId="7">{#N/A,#N/A,FALSE,"M.42"}</definedName>
    <definedName name="____________________________________________________ERR1" localSheetId="8">{#N/A,#N/A,FALSE,"M.42"}</definedName>
    <definedName name="____________________________________________________ERR1" localSheetId="14">{#N/A,#N/A,FALSE,"M.42"}</definedName>
    <definedName name="____________________________________________________ERR1" localSheetId="13">{#N/A,#N/A,FALSE,"M.42"}</definedName>
    <definedName name="____________________________________________________ERR1" localSheetId="11">{#N/A,#N/A,FALSE,"M.42"}</definedName>
    <definedName name="____________________________________________________ERR1" localSheetId="12">{#N/A,#N/A,FALSE,"M.42"}</definedName>
    <definedName name="____________________________________________________ERR1" localSheetId="17">{#N/A,#N/A,FALSE,"M.42"}</definedName>
    <definedName name="____________________________________________________ERR1" localSheetId="15">{#N/A,#N/A,FALSE,"M.42"}</definedName>
    <definedName name="____________________________________________________ERR1" localSheetId="16">{#N/A,#N/A,FALSE,"M.42"}</definedName>
    <definedName name="____________________________________________________ERR1" localSheetId="18">{#N/A,#N/A,FALSE,"M.42"}</definedName>
    <definedName name="____________________________________________________ERR1" localSheetId="1">{#N/A,#N/A,FALSE,"M.42"}</definedName>
    <definedName name="____________________________________________________ERR1" localSheetId="6">{#N/A,#N/A,FALSE,"M.42"}</definedName>
    <definedName name="____________________________________________________ERR1" localSheetId="2">{#N/A,#N/A,FALSE,"M.42"}</definedName>
    <definedName name="____________________________________________________ERR1" localSheetId="3">{#N/A,#N/A,FALSE,"M.42"}</definedName>
    <definedName name="____________________________________________________ERR1" localSheetId="0">{#N/A,#N/A,FALSE,"M.42"}</definedName>
    <definedName name="____________________________________________________ERR1" localSheetId="9">{#N/A,#N/A,FALSE,"M.42"}</definedName>
    <definedName name="____________________________________________________ERR1">{#N/A,#N/A,FALSE,"M.42"}</definedName>
    <definedName name="__________________________________________________ERR1" localSheetId="7">{#N/A,#N/A,FALSE,"M.42"}</definedName>
    <definedName name="__________________________________________________ERR1" localSheetId="8">{#N/A,#N/A,FALSE,"M.42"}</definedName>
    <definedName name="__________________________________________________ERR1" localSheetId="14">{#N/A,#N/A,FALSE,"M.42"}</definedName>
    <definedName name="__________________________________________________ERR1" localSheetId="13">{#N/A,#N/A,FALSE,"M.42"}</definedName>
    <definedName name="__________________________________________________ERR1" localSheetId="11">{#N/A,#N/A,FALSE,"M.42"}</definedName>
    <definedName name="__________________________________________________ERR1" localSheetId="12">{#N/A,#N/A,FALSE,"M.42"}</definedName>
    <definedName name="__________________________________________________ERR1" localSheetId="17">{#N/A,#N/A,FALSE,"M.42"}</definedName>
    <definedName name="__________________________________________________ERR1" localSheetId="15">{#N/A,#N/A,FALSE,"M.42"}</definedName>
    <definedName name="__________________________________________________ERR1" localSheetId="16">{#N/A,#N/A,FALSE,"M.42"}</definedName>
    <definedName name="__________________________________________________ERR1" localSheetId="18">{#N/A,#N/A,FALSE,"M.42"}</definedName>
    <definedName name="__________________________________________________ERR1" localSheetId="1">{#N/A,#N/A,FALSE,"M.42"}</definedName>
    <definedName name="__________________________________________________ERR1" localSheetId="6">{#N/A,#N/A,FALSE,"M.42"}</definedName>
    <definedName name="__________________________________________________ERR1" localSheetId="2">{#N/A,#N/A,FALSE,"M.42"}</definedName>
    <definedName name="__________________________________________________ERR1" localSheetId="3">{#N/A,#N/A,FALSE,"M.42"}</definedName>
    <definedName name="__________________________________________________ERR1" localSheetId="0">{#N/A,#N/A,FALSE,"M.42"}</definedName>
    <definedName name="__________________________________________________ERR1" localSheetId="9">{#N/A,#N/A,FALSE,"M.42"}</definedName>
    <definedName name="__________________________________________________ERR1">{#N/A,#N/A,FALSE,"M.42"}</definedName>
    <definedName name="________________________________________________ERR1" localSheetId="7">{#N/A,#N/A,FALSE,"M.42"}</definedName>
    <definedName name="________________________________________________ERR1" localSheetId="8">{#N/A,#N/A,FALSE,"M.42"}</definedName>
    <definedName name="________________________________________________ERR1" localSheetId="14">{#N/A,#N/A,FALSE,"M.42"}</definedName>
    <definedName name="________________________________________________ERR1" localSheetId="13">{#N/A,#N/A,FALSE,"M.42"}</definedName>
    <definedName name="________________________________________________ERR1" localSheetId="11">{#N/A,#N/A,FALSE,"M.42"}</definedName>
    <definedName name="________________________________________________ERR1" localSheetId="12">{#N/A,#N/A,FALSE,"M.42"}</definedName>
    <definedName name="________________________________________________ERR1" localSheetId="17">{#N/A,#N/A,FALSE,"M.42"}</definedName>
    <definedName name="________________________________________________ERR1" localSheetId="15">{#N/A,#N/A,FALSE,"M.42"}</definedName>
    <definedName name="________________________________________________ERR1" localSheetId="16">{#N/A,#N/A,FALSE,"M.42"}</definedName>
    <definedName name="________________________________________________ERR1" localSheetId="18">{#N/A,#N/A,FALSE,"M.42"}</definedName>
    <definedName name="________________________________________________ERR1" localSheetId="1">{#N/A,#N/A,FALSE,"M.42"}</definedName>
    <definedName name="________________________________________________ERR1" localSheetId="6">{#N/A,#N/A,FALSE,"M.42"}</definedName>
    <definedName name="________________________________________________ERR1" localSheetId="2">{#N/A,#N/A,FALSE,"M.42"}</definedName>
    <definedName name="________________________________________________ERR1" localSheetId="3">{#N/A,#N/A,FALSE,"M.42"}</definedName>
    <definedName name="________________________________________________ERR1" localSheetId="0">{#N/A,#N/A,FALSE,"M.42"}</definedName>
    <definedName name="________________________________________________ERR1" localSheetId="9">{#N/A,#N/A,FALSE,"M.42"}</definedName>
    <definedName name="________________________________________________ERR1">{#N/A,#N/A,FALSE,"M.42"}</definedName>
    <definedName name="______________________________________________ERR1" localSheetId="7">{#N/A,#N/A,FALSE,"M.42"}</definedName>
    <definedName name="______________________________________________ERR1" localSheetId="8">{#N/A,#N/A,FALSE,"M.42"}</definedName>
    <definedName name="______________________________________________ERR1" localSheetId="14">{#N/A,#N/A,FALSE,"M.42"}</definedName>
    <definedName name="______________________________________________ERR1" localSheetId="13">{#N/A,#N/A,FALSE,"M.42"}</definedName>
    <definedName name="______________________________________________ERR1" localSheetId="11">{#N/A,#N/A,FALSE,"M.42"}</definedName>
    <definedName name="______________________________________________ERR1" localSheetId="12">{#N/A,#N/A,FALSE,"M.42"}</definedName>
    <definedName name="______________________________________________ERR1" localSheetId="17">{#N/A,#N/A,FALSE,"M.42"}</definedName>
    <definedName name="______________________________________________ERR1" localSheetId="15">{#N/A,#N/A,FALSE,"M.42"}</definedName>
    <definedName name="______________________________________________ERR1" localSheetId="16">{#N/A,#N/A,FALSE,"M.42"}</definedName>
    <definedName name="______________________________________________ERR1" localSheetId="18">{#N/A,#N/A,FALSE,"M.42"}</definedName>
    <definedName name="______________________________________________ERR1" localSheetId="1">{#N/A,#N/A,FALSE,"M.42"}</definedName>
    <definedName name="______________________________________________ERR1" localSheetId="6">{#N/A,#N/A,FALSE,"M.42"}</definedName>
    <definedName name="______________________________________________ERR1" localSheetId="2">{#N/A,#N/A,FALSE,"M.42"}</definedName>
    <definedName name="______________________________________________ERR1" localSheetId="3">{#N/A,#N/A,FALSE,"M.42"}</definedName>
    <definedName name="______________________________________________ERR1" localSheetId="0">{#N/A,#N/A,FALSE,"M.42"}</definedName>
    <definedName name="______________________________________________ERR1" localSheetId="9">{#N/A,#N/A,FALSE,"M.42"}</definedName>
    <definedName name="______________________________________________ERR1">{#N/A,#N/A,FALSE,"M.42"}</definedName>
    <definedName name="____________________________________________ERR1" localSheetId="7">{#N/A,#N/A,FALSE,"M.42"}</definedName>
    <definedName name="____________________________________________ERR1" localSheetId="8">{#N/A,#N/A,FALSE,"M.42"}</definedName>
    <definedName name="____________________________________________ERR1" localSheetId="14">{#N/A,#N/A,FALSE,"M.42"}</definedName>
    <definedName name="____________________________________________ERR1" localSheetId="13">{#N/A,#N/A,FALSE,"M.42"}</definedName>
    <definedName name="____________________________________________ERR1" localSheetId="11">{#N/A,#N/A,FALSE,"M.42"}</definedName>
    <definedName name="____________________________________________ERR1" localSheetId="12">{#N/A,#N/A,FALSE,"M.42"}</definedName>
    <definedName name="____________________________________________ERR1" localSheetId="17">{#N/A,#N/A,FALSE,"M.42"}</definedName>
    <definedName name="____________________________________________ERR1" localSheetId="15">{#N/A,#N/A,FALSE,"M.42"}</definedName>
    <definedName name="____________________________________________ERR1" localSheetId="16">{#N/A,#N/A,FALSE,"M.42"}</definedName>
    <definedName name="____________________________________________ERR1" localSheetId="18">{#N/A,#N/A,FALSE,"M.42"}</definedName>
    <definedName name="____________________________________________ERR1" localSheetId="1">{#N/A,#N/A,FALSE,"M.42"}</definedName>
    <definedName name="____________________________________________ERR1" localSheetId="6">{#N/A,#N/A,FALSE,"M.42"}</definedName>
    <definedName name="____________________________________________ERR1" localSheetId="2">{#N/A,#N/A,FALSE,"M.42"}</definedName>
    <definedName name="____________________________________________ERR1" localSheetId="3">{#N/A,#N/A,FALSE,"M.42"}</definedName>
    <definedName name="____________________________________________ERR1" localSheetId="0">{#N/A,#N/A,FALSE,"M.42"}</definedName>
    <definedName name="____________________________________________ERR1" localSheetId="9">{#N/A,#N/A,FALSE,"M.42"}</definedName>
    <definedName name="____________________________________________ERR1">{#N/A,#N/A,FALSE,"M.42"}</definedName>
    <definedName name="__________________________________________ERR1" localSheetId="7">{#N/A,#N/A,FALSE,"M.42"}</definedName>
    <definedName name="__________________________________________ERR1" localSheetId="8">{#N/A,#N/A,FALSE,"M.42"}</definedName>
    <definedName name="__________________________________________ERR1" localSheetId="14">{#N/A,#N/A,FALSE,"M.42"}</definedName>
    <definedName name="__________________________________________ERR1" localSheetId="13">{#N/A,#N/A,FALSE,"M.42"}</definedName>
    <definedName name="__________________________________________ERR1" localSheetId="11">{#N/A,#N/A,FALSE,"M.42"}</definedName>
    <definedName name="__________________________________________ERR1" localSheetId="12">{#N/A,#N/A,FALSE,"M.42"}</definedName>
    <definedName name="__________________________________________ERR1" localSheetId="17">{#N/A,#N/A,FALSE,"M.42"}</definedName>
    <definedName name="__________________________________________ERR1" localSheetId="15">{#N/A,#N/A,FALSE,"M.42"}</definedName>
    <definedName name="__________________________________________ERR1" localSheetId="16">{#N/A,#N/A,FALSE,"M.42"}</definedName>
    <definedName name="__________________________________________ERR1" localSheetId="18">{#N/A,#N/A,FALSE,"M.42"}</definedName>
    <definedName name="__________________________________________ERR1" localSheetId="1">{#N/A,#N/A,FALSE,"M.42"}</definedName>
    <definedName name="__________________________________________ERR1" localSheetId="6">{#N/A,#N/A,FALSE,"M.42"}</definedName>
    <definedName name="__________________________________________ERR1" localSheetId="2">{#N/A,#N/A,FALSE,"M.42"}</definedName>
    <definedName name="__________________________________________ERR1" localSheetId="3">{#N/A,#N/A,FALSE,"M.42"}</definedName>
    <definedName name="__________________________________________ERR1" localSheetId="0">{#N/A,#N/A,FALSE,"M.42"}</definedName>
    <definedName name="__________________________________________ERR1" localSheetId="9">{#N/A,#N/A,FALSE,"M.42"}</definedName>
    <definedName name="__________________________________________ERR1">{#N/A,#N/A,FALSE,"M.42"}</definedName>
    <definedName name="________________________________________ERR1" localSheetId="7">{#N/A,#N/A,FALSE,"M.42"}</definedName>
    <definedName name="________________________________________ERR1" localSheetId="8">{#N/A,#N/A,FALSE,"M.42"}</definedName>
    <definedName name="________________________________________ERR1" localSheetId="14">{#N/A,#N/A,FALSE,"M.42"}</definedName>
    <definedName name="________________________________________ERR1" localSheetId="13">{#N/A,#N/A,FALSE,"M.42"}</definedName>
    <definedName name="________________________________________ERR1" localSheetId="11">{#N/A,#N/A,FALSE,"M.42"}</definedName>
    <definedName name="________________________________________ERR1" localSheetId="12">{#N/A,#N/A,FALSE,"M.42"}</definedName>
    <definedName name="________________________________________ERR1" localSheetId="17">{#N/A,#N/A,FALSE,"M.42"}</definedName>
    <definedName name="________________________________________ERR1" localSheetId="15">{#N/A,#N/A,FALSE,"M.42"}</definedName>
    <definedName name="________________________________________ERR1" localSheetId="16">{#N/A,#N/A,FALSE,"M.42"}</definedName>
    <definedName name="________________________________________ERR1" localSheetId="18">{#N/A,#N/A,FALSE,"M.42"}</definedName>
    <definedName name="________________________________________ERR1" localSheetId="1">{#N/A,#N/A,FALSE,"M.42"}</definedName>
    <definedName name="________________________________________ERR1" localSheetId="6">{#N/A,#N/A,FALSE,"M.42"}</definedName>
    <definedName name="________________________________________ERR1" localSheetId="2">{#N/A,#N/A,FALSE,"M.42"}</definedName>
    <definedName name="________________________________________ERR1" localSheetId="3">{#N/A,#N/A,FALSE,"M.42"}</definedName>
    <definedName name="________________________________________ERR1" localSheetId="0">{#N/A,#N/A,FALSE,"M.42"}</definedName>
    <definedName name="________________________________________ERR1" localSheetId="9">{#N/A,#N/A,FALSE,"M.42"}</definedName>
    <definedName name="________________________________________ERR1">{#N/A,#N/A,FALSE,"M.42"}</definedName>
    <definedName name="______________________________________ERR1" localSheetId="7">{#N/A,#N/A,FALSE,"M.42"}</definedName>
    <definedName name="______________________________________ERR1" localSheetId="8">{#N/A,#N/A,FALSE,"M.42"}</definedName>
    <definedName name="______________________________________ERR1" localSheetId="14">{#N/A,#N/A,FALSE,"M.42"}</definedName>
    <definedName name="______________________________________ERR1" localSheetId="13">{#N/A,#N/A,FALSE,"M.42"}</definedName>
    <definedName name="______________________________________ERR1" localSheetId="11">{#N/A,#N/A,FALSE,"M.42"}</definedName>
    <definedName name="______________________________________ERR1" localSheetId="12">{#N/A,#N/A,FALSE,"M.42"}</definedName>
    <definedName name="______________________________________ERR1" localSheetId="17">{#N/A,#N/A,FALSE,"M.42"}</definedName>
    <definedName name="______________________________________ERR1" localSheetId="15">{#N/A,#N/A,FALSE,"M.42"}</definedName>
    <definedName name="______________________________________ERR1" localSheetId="16">{#N/A,#N/A,FALSE,"M.42"}</definedName>
    <definedName name="______________________________________ERR1" localSheetId="18">{#N/A,#N/A,FALSE,"M.42"}</definedName>
    <definedName name="______________________________________ERR1" localSheetId="1">{#N/A,#N/A,FALSE,"M.42"}</definedName>
    <definedName name="______________________________________ERR1" localSheetId="6">{#N/A,#N/A,FALSE,"M.42"}</definedName>
    <definedName name="______________________________________ERR1" localSheetId="2">{#N/A,#N/A,FALSE,"M.42"}</definedName>
    <definedName name="______________________________________ERR1" localSheetId="3">{#N/A,#N/A,FALSE,"M.42"}</definedName>
    <definedName name="______________________________________ERR1" localSheetId="0">{#N/A,#N/A,FALSE,"M.42"}</definedName>
    <definedName name="______________________________________ERR1" localSheetId="9">{#N/A,#N/A,FALSE,"M.42"}</definedName>
    <definedName name="______________________________________ERR1">{#N/A,#N/A,FALSE,"M.42"}</definedName>
    <definedName name="____________________________________ERR1" localSheetId="7">{#N/A,#N/A,FALSE,"M.42"}</definedName>
    <definedName name="____________________________________ERR1" localSheetId="8">{#N/A,#N/A,FALSE,"M.42"}</definedName>
    <definedName name="____________________________________ERR1" localSheetId="14">{#N/A,#N/A,FALSE,"M.42"}</definedName>
    <definedName name="____________________________________ERR1" localSheetId="13">{#N/A,#N/A,FALSE,"M.42"}</definedName>
    <definedName name="____________________________________ERR1" localSheetId="11">{#N/A,#N/A,FALSE,"M.42"}</definedName>
    <definedName name="____________________________________ERR1" localSheetId="12">{#N/A,#N/A,FALSE,"M.42"}</definedName>
    <definedName name="____________________________________ERR1" localSheetId="17">{#N/A,#N/A,FALSE,"M.42"}</definedName>
    <definedName name="____________________________________ERR1" localSheetId="15">{#N/A,#N/A,FALSE,"M.42"}</definedName>
    <definedName name="____________________________________ERR1" localSheetId="16">{#N/A,#N/A,FALSE,"M.42"}</definedName>
    <definedName name="____________________________________ERR1" localSheetId="18">{#N/A,#N/A,FALSE,"M.42"}</definedName>
    <definedName name="____________________________________ERR1" localSheetId="1">{#N/A,#N/A,FALSE,"M.42"}</definedName>
    <definedName name="____________________________________ERR1" localSheetId="6">{#N/A,#N/A,FALSE,"M.42"}</definedName>
    <definedName name="____________________________________ERR1" localSheetId="2">{#N/A,#N/A,FALSE,"M.42"}</definedName>
    <definedName name="____________________________________ERR1" localSheetId="3">{#N/A,#N/A,FALSE,"M.42"}</definedName>
    <definedName name="____________________________________ERR1" localSheetId="0">{#N/A,#N/A,FALSE,"M.42"}</definedName>
    <definedName name="____________________________________ERR1" localSheetId="9">{#N/A,#N/A,FALSE,"M.42"}</definedName>
    <definedName name="____________________________________ERR1">{#N/A,#N/A,FALSE,"M.42"}</definedName>
    <definedName name="__________________________________ERR1" localSheetId="7">{#N/A,#N/A,FALSE,"M.42"}</definedName>
    <definedName name="__________________________________ERR1" localSheetId="8">{#N/A,#N/A,FALSE,"M.42"}</definedName>
    <definedName name="__________________________________ERR1" localSheetId="14">{#N/A,#N/A,FALSE,"M.42"}</definedName>
    <definedName name="__________________________________ERR1" localSheetId="13">{#N/A,#N/A,FALSE,"M.42"}</definedName>
    <definedName name="__________________________________ERR1" localSheetId="11">{#N/A,#N/A,FALSE,"M.42"}</definedName>
    <definedName name="__________________________________ERR1" localSheetId="12">{#N/A,#N/A,FALSE,"M.42"}</definedName>
    <definedName name="__________________________________ERR1" localSheetId="17">{#N/A,#N/A,FALSE,"M.42"}</definedName>
    <definedName name="__________________________________ERR1" localSheetId="15">{#N/A,#N/A,FALSE,"M.42"}</definedName>
    <definedName name="__________________________________ERR1" localSheetId="16">{#N/A,#N/A,FALSE,"M.42"}</definedName>
    <definedName name="__________________________________ERR1" localSheetId="18">{#N/A,#N/A,FALSE,"M.42"}</definedName>
    <definedName name="__________________________________ERR1" localSheetId="1">{#N/A,#N/A,FALSE,"M.42"}</definedName>
    <definedName name="__________________________________ERR1" localSheetId="6">{#N/A,#N/A,FALSE,"M.42"}</definedName>
    <definedName name="__________________________________ERR1" localSheetId="2">{#N/A,#N/A,FALSE,"M.42"}</definedName>
    <definedName name="__________________________________ERR1" localSheetId="3">{#N/A,#N/A,FALSE,"M.42"}</definedName>
    <definedName name="__________________________________ERR1" localSheetId="0">{#N/A,#N/A,FALSE,"M.42"}</definedName>
    <definedName name="__________________________________ERR1" localSheetId="9">{#N/A,#N/A,FALSE,"M.42"}</definedName>
    <definedName name="__________________________________ERR1">{#N/A,#N/A,FALSE,"M.42"}</definedName>
    <definedName name="________________________________ERR1" localSheetId="7">{#N/A,#N/A,FALSE,"M.42"}</definedName>
    <definedName name="________________________________ERR1" localSheetId="8">{#N/A,#N/A,FALSE,"M.42"}</definedName>
    <definedName name="________________________________ERR1" localSheetId="14">{#N/A,#N/A,FALSE,"M.42"}</definedName>
    <definedName name="________________________________ERR1" localSheetId="13">{#N/A,#N/A,FALSE,"M.42"}</definedName>
    <definedName name="________________________________ERR1" localSheetId="11">{#N/A,#N/A,FALSE,"M.42"}</definedName>
    <definedName name="________________________________ERR1" localSheetId="12">{#N/A,#N/A,FALSE,"M.42"}</definedName>
    <definedName name="________________________________ERR1" localSheetId="17">{#N/A,#N/A,FALSE,"M.42"}</definedName>
    <definedName name="________________________________ERR1" localSheetId="15">{#N/A,#N/A,FALSE,"M.42"}</definedName>
    <definedName name="________________________________ERR1" localSheetId="16">{#N/A,#N/A,FALSE,"M.42"}</definedName>
    <definedName name="________________________________ERR1" localSheetId="18">{#N/A,#N/A,FALSE,"M.42"}</definedName>
    <definedName name="________________________________ERR1" localSheetId="1">{#N/A,#N/A,FALSE,"M.42"}</definedName>
    <definedName name="________________________________ERR1" localSheetId="6">{#N/A,#N/A,FALSE,"M.42"}</definedName>
    <definedName name="________________________________ERR1" localSheetId="2">{#N/A,#N/A,FALSE,"M.42"}</definedName>
    <definedName name="________________________________ERR1" localSheetId="3">{#N/A,#N/A,FALSE,"M.42"}</definedName>
    <definedName name="________________________________ERR1" localSheetId="0">{#N/A,#N/A,FALSE,"M.42"}</definedName>
    <definedName name="________________________________ERR1" localSheetId="9">{#N/A,#N/A,FALSE,"M.42"}</definedName>
    <definedName name="________________________________ERR1">{#N/A,#N/A,FALSE,"M.42"}</definedName>
    <definedName name="______________________________ERR1" localSheetId="7">{#N/A,#N/A,FALSE,"M.42"}</definedName>
    <definedName name="______________________________ERR1" localSheetId="8">{#N/A,#N/A,FALSE,"M.42"}</definedName>
    <definedName name="______________________________ERR1" localSheetId="14">{#N/A,#N/A,FALSE,"M.42"}</definedName>
    <definedName name="______________________________ERR1" localSheetId="13">{#N/A,#N/A,FALSE,"M.42"}</definedName>
    <definedName name="______________________________ERR1" localSheetId="11">{#N/A,#N/A,FALSE,"M.42"}</definedName>
    <definedName name="______________________________ERR1" localSheetId="12">{#N/A,#N/A,FALSE,"M.42"}</definedName>
    <definedName name="______________________________ERR1" localSheetId="17">{#N/A,#N/A,FALSE,"M.42"}</definedName>
    <definedName name="______________________________ERR1" localSheetId="15">{#N/A,#N/A,FALSE,"M.42"}</definedName>
    <definedName name="______________________________ERR1" localSheetId="16">{#N/A,#N/A,FALSE,"M.42"}</definedName>
    <definedName name="______________________________ERR1" localSheetId="18">{#N/A,#N/A,FALSE,"M.42"}</definedName>
    <definedName name="______________________________ERR1" localSheetId="1">{#N/A,#N/A,FALSE,"M.42"}</definedName>
    <definedName name="______________________________ERR1" localSheetId="6">{#N/A,#N/A,FALSE,"M.42"}</definedName>
    <definedName name="______________________________ERR1" localSheetId="2">{#N/A,#N/A,FALSE,"M.42"}</definedName>
    <definedName name="______________________________ERR1" localSheetId="3">{#N/A,#N/A,FALSE,"M.42"}</definedName>
    <definedName name="______________________________ERR1" localSheetId="0">{#N/A,#N/A,FALSE,"M.42"}</definedName>
    <definedName name="______________________________ERR1" localSheetId="9">{#N/A,#N/A,FALSE,"M.42"}</definedName>
    <definedName name="______________________________ERR1">{#N/A,#N/A,FALSE,"M.42"}</definedName>
    <definedName name="____________________________ERR1" localSheetId="7">{#N/A,#N/A,FALSE,"M.42"}</definedName>
    <definedName name="____________________________ERR1" localSheetId="8">{#N/A,#N/A,FALSE,"M.42"}</definedName>
    <definedName name="____________________________ERR1" localSheetId="14">{#N/A,#N/A,FALSE,"M.42"}</definedName>
    <definedName name="____________________________ERR1" localSheetId="13">{#N/A,#N/A,FALSE,"M.42"}</definedName>
    <definedName name="____________________________ERR1" localSheetId="11">{#N/A,#N/A,FALSE,"M.42"}</definedName>
    <definedName name="____________________________ERR1" localSheetId="12">{#N/A,#N/A,FALSE,"M.42"}</definedName>
    <definedName name="____________________________ERR1" localSheetId="17">{#N/A,#N/A,FALSE,"M.42"}</definedName>
    <definedName name="____________________________ERR1" localSheetId="15">{#N/A,#N/A,FALSE,"M.42"}</definedName>
    <definedName name="____________________________ERR1" localSheetId="16">{#N/A,#N/A,FALSE,"M.42"}</definedName>
    <definedName name="____________________________ERR1" localSheetId="18">{#N/A,#N/A,FALSE,"M.42"}</definedName>
    <definedName name="____________________________ERR1" localSheetId="1">{#N/A,#N/A,FALSE,"M.42"}</definedName>
    <definedName name="____________________________ERR1" localSheetId="6">{#N/A,#N/A,FALSE,"M.42"}</definedName>
    <definedName name="____________________________ERR1" localSheetId="2">{#N/A,#N/A,FALSE,"M.42"}</definedName>
    <definedName name="____________________________ERR1" localSheetId="3">{#N/A,#N/A,FALSE,"M.42"}</definedName>
    <definedName name="____________________________ERR1" localSheetId="0">{#N/A,#N/A,FALSE,"M.42"}</definedName>
    <definedName name="____________________________ERR1" localSheetId="9">{#N/A,#N/A,FALSE,"M.42"}</definedName>
    <definedName name="____________________________ERR1">{#N/A,#N/A,FALSE,"M.42"}</definedName>
    <definedName name="__________________________ERR1" localSheetId="7">{#N/A,#N/A,FALSE,"M.42"}</definedName>
    <definedName name="__________________________ERR1" localSheetId="8">{#N/A,#N/A,FALSE,"M.42"}</definedName>
    <definedName name="__________________________ERR1" localSheetId="14">{#N/A,#N/A,FALSE,"M.42"}</definedName>
    <definedName name="__________________________ERR1" localSheetId="13">{#N/A,#N/A,FALSE,"M.42"}</definedName>
    <definedName name="__________________________ERR1" localSheetId="11">{#N/A,#N/A,FALSE,"M.42"}</definedName>
    <definedName name="__________________________ERR1" localSheetId="12">{#N/A,#N/A,FALSE,"M.42"}</definedName>
    <definedName name="__________________________ERR1" localSheetId="17">{#N/A,#N/A,FALSE,"M.42"}</definedName>
    <definedName name="__________________________ERR1" localSheetId="15">{#N/A,#N/A,FALSE,"M.42"}</definedName>
    <definedName name="__________________________ERR1" localSheetId="16">{#N/A,#N/A,FALSE,"M.42"}</definedName>
    <definedName name="__________________________ERR1" localSheetId="18">{#N/A,#N/A,FALSE,"M.42"}</definedName>
    <definedName name="__________________________ERR1" localSheetId="1">{#N/A,#N/A,FALSE,"M.42"}</definedName>
    <definedName name="__________________________ERR1" localSheetId="6">{#N/A,#N/A,FALSE,"M.42"}</definedName>
    <definedName name="__________________________ERR1" localSheetId="2">{#N/A,#N/A,FALSE,"M.42"}</definedName>
    <definedName name="__________________________ERR1" localSheetId="3">{#N/A,#N/A,FALSE,"M.42"}</definedName>
    <definedName name="__________________________ERR1" localSheetId="0">{#N/A,#N/A,FALSE,"M.42"}</definedName>
    <definedName name="__________________________ERR1" localSheetId="9">{#N/A,#N/A,FALSE,"M.42"}</definedName>
    <definedName name="__________________________ERR1">{#N/A,#N/A,FALSE,"M.42"}</definedName>
    <definedName name="________________________ERR1" localSheetId="7">{#N/A,#N/A,FALSE,"M.42"}</definedName>
    <definedName name="________________________ERR1" localSheetId="8">{#N/A,#N/A,FALSE,"M.42"}</definedName>
    <definedName name="________________________ERR1" localSheetId="14">{#N/A,#N/A,FALSE,"M.42"}</definedName>
    <definedName name="________________________ERR1" localSheetId="13">{#N/A,#N/A,FALSE,"M.42"}</definedName>
    <definedName name="________________________ERR1" localSheetId="11">{#N/A,#N/A,FALSE,"M.42"}</definedName>
    <definedName name="________________________ERR1" localSheetId="12">{#N/A,#N/A,FALSE,"M.42"}</definedName>
    <definedName name="________________________ERR1" localSheetId="17">{#N/A,#N/A,FALSE,"M.42"}</definedName>
    <definedName name="________________________ERR1" localSheetId="15">{#N/A,#N/A,FALSE,"M.42"}</definedName>
    <definedName name="________________________ERR1" localSheetId="16">{#N/A,#N/A,FALSE,"M.42"}</definedName>
    <definedName name="________________________ERR1" localSheetId="18">{#N/A,#N/A,FALSE,"M.42"}</definedName>
    <definedName name="________________________ERR1" localSheetId="1">{#N/A,#N/A,FALSE,"M.42"}</definedName>
    <definedName name="________________________ERR1" localSheetId="6">{#N/A,#N/A,FALSE,"M.42"}</definedName>
    <definedName name="________________________ERR1" localSheetId="2">{#N/A,#N/A,FALSE,"M.42"}</definedName>
    <definedName name="________________________ERR1" localSheetId="3">{#N/A,#N/A,FALSE,"M.42"}</definedName>
    <definedName name="________________________ERR1" localSheetId="0">{#N/A,#N/A,FALSE,"M.42"}</definedName>
    <definedName name="________________________ERR1" localSheetId="9">{#N/A,#N/A,FALSE,"M.42"}</definedName>
    <definedName name="________________________ERR1">{#N/A,#N/A,FALSE,"M.42"}</definedName>
    <definedName name="______________________ERR1" localSheetId="7">{#N/A,#N/A,FALSE,"M.42"}</definedName>
    <definedName name="______________________ERR1" localSheetId="8">{#N/A,#N/A,FALSE,"M.42"}</definedName>
    <definedName name="______________________ERR1" localSheetId="14">{#N/A,#N/A,FALSE,"M.42"}</definedName>
    <definedName name="______________________ERR1" localSheetId="13">{#N/A,#N/A,FALSE,"M.42"}</definedName>
    <definedName name="______________________ERR1" localSheetId="11">{#N/A,#N/A,FALSE,"M.42"}</definedName>
    <definedName name="______________________ERR1" localSheetId="12">{#N/A,#N/A,FALSE,"M.42"}</definedName>
    <definedName name="______________________ERR1" localSheetId="17">{#N/A,#N/A,FALSE,"M.42"}</definedName>
    <definedName name="______________________ERR1" localSheetId="15">{#N/A,#N/A,FALSE,"M.42"}</definedName>
    <definedName name="______________________ERR1" localSheetId="16">{#N/A,#N/A,FALSE,"M.42"}</definedName>
    <definedName name="______________________ERR1" localSheetId="18">{#N/A,#N/A,FALSE,"M.42"}</definedName>
    <definedName name="______________________ERR1" localSheetId="1">{#N/A,#N/A,FALSE,"M.42"}</definedName>
    <definedName name="______________________ERR1" localSheetId="6">{#N/A,#N/A,FALSE,"M.42"}</definedName>
    <definedName name="______________________ERR1" localSheetId="2">{#N/A,#N/A,FALSE,"M.42"}</definedName>
    <definedName name="______________________ERR1" localSheetId="3">{#N/A,#N/A,FALSE,"M.42"}</definedName>
    <definedName name="______________________ERR1" localSheetId="0">{#N/A,#N/A,FALSE,"M.42"}</definedName>
    <definedName name="______________________ERR1" localSheetId="9">{#N/A,#N/A,FALSE,"M.42"}</definedName>
    <definedName name="______________________ERR1">{#N/A,#N/A,FALSE,"M.42"}</definedName>
    <definedName name="______________________kl09" localSheetId="7">{#N/A,#N/A,FALSE,"M.01"}</definedName>
    <definedName name="______________________kl09" localSheetId="8">{#N/A,#N/A,FALSE,"M.01"}</definedName>
    <definedName name="______________________kl09" localSheetId="14">{#N/A,#N/A,FALSE,"M.01"}</definedName>
    <definedName name="______________________kl09" localSheetId="13">{#N/A,#N/A,FALSE,"M.01"}</definedName>
    <definedName name="______________________kl09" localSheetId="11">{#N/A,#N/A,FALSE,"M.01"}</definedName>
    <definedName name="______________________kl09" localSheetId="12">{#N/A,#N/A,FALSE,"M.01"}</definedName>
    <definedName name="______________________kl09" localSheetId="17">{#N/A,#N/A,FALSE,"M.01"}</definedName>
    <definedName name="______________________kl09" localSheetId="15">{#N/A,#N/A,FALSE,"M.01"}</definedName>
    <definedName name="______________________kl09" localSheetId="16">{#N/A,#N/A,FALSE,"M.01"}</definedName>
    <definedName name="______________________kl09" localSheetId="18">{#N/A,#N/A,FALSE,"M.01"}</definedName>
    <definedName name="______________________kl09" localSheetId="1">{#N/A,#N/A,FALSE,"M.01"}</definedName>
    <definedName name="______________________kl09" localSheetId="6">{#N/A,#N/A,FALSE,"M.01"}</definedName>
    <definedName name="______________________kl09" localSheetId="2">{#N/A,#N/A,FALSE,"M.01"}</definedName>
    <definedName name="______________________kl09" localSheetId="3">{#N/A,#N/A,FALSE,"M.01"}</definedName>
    <definedName name="______________________kl09" localSheetId="0">{#N/A,#N/A,FALSE,"M.01"}</definedName>
    <definedName name="______________________kl09" localSheetId="9">{#N/A,#N/A,FALSE,"M.01"}</definedName>
    <definedName name="______________________kl09">{#N/A,#N/A,FALSE,"M.01"}</definedName>
    <definedName name="_____________________kl09" localSheetId="7">{#N/A,#N/A,FALSE,"M.01"}</definedName>
    <definedName name="_____________________kl09" localSheetId="8">{#N/A,#N/A,FALSE,"M.01"}</definedName>
    <definedName name="_____________________kl09" localSheetId="14">{#N/A,#N/A,FALSE,"M.01"}</definedName>
    <definedName name="_____________________kl09" localSheetId="13">{#N/A,#N/A,FALSE,"M.01"}</definedName>
    <definedName name="_____________________kl09" localSheetId="11">{#N/A,#N/A,FALSE,"M.01"}</definedName>
    <definedName name="_____________________kl09" localSheetId="12">{#N/A,#N/A,FALSE,"M.01"}</definedName>
    <definedName name="_____________________kl09" localSheetId="17">{#N/A,#N/A,FALSE,"M.01"}</definedName>
    <definedName name="_____________________kl09" localSheetId="15">{#N/A,#N/A,FALSE,"M.01"}</definedName>
    <definedName name="_____________________kl09" localSheetId="16">{#N/A,#N/A,FALSE,"M.01"}</definedName>
    <definedName name="_____________________kl09" localSheetId="18">{#N/A,#N/A,FALSE,"M.01"}</definedName>
    <definedName name="_____________________kl09" localSheetId="1">{#N/A,#N/A,FALSE,"M.01"}</definedName>
    <definedName name="_____________________kl09" localSheetId="6">{#N/A,#N/A,FALSE,"M.01"}</definedName>
    <definedName name="_____________________kl09" localSheetId="2">{#N/A,#N/A,FALSE,"M.01"}</definedName>
    <definedName name="_____________________kl09" localSheetId="3">{#N/A,#N/A,FALSE,"M.01"}</definedName>
    <definedName name="_____________________kl09" localSheetId="0">{#N/A,#N/A,FALSE,"M.01"}</definedName>
    <definedName name="_____________________kl09" localSheetId="9">{#N/A,#N/A,FALSE,"M.01"}</definedName>
    <definedName name="_____________________kl09">{#N/A,#N/A,FALSE,"M.01"}</definedName>
    <definedName name="____________________ERR1" localSheetId="7">{#N/A,#N/A,FALSE,"M.42"}</definedName>
    <definedName name="____________________ERR1" localSheetId="8">{#N/A,#N/A,FALSE,"M.42"}</definedName>
    <definedName name="____________________ERR1" localSheetId="14">{#N/A,#N/A,FALSE,"M.42"}</definedName>
    <definedName name="____________________ERR1" localSheetId="13">{#N/A,#N/A,FALSE,"M.42"}</definedName>
    <definedName name="____________________ERR1" localSheetId="11">{#N/A,#N/A,FALSE,"M.42"}</definedName>
    <definedName name="____________________ERR1" localSheetId="12">{#N/A,#N/A,FALSE,"M.42"}</definedName>
    <definedName name="____________________ERR1" localSheetId="17">{#N/A,#N/A,FALSE,"M.42"}</definedName>
    <definedName name="____________________ERR1" localSheetId="15">{#N/A,#N/A,FALSE,"M.42"}</definedName>
    <definedName name="____________________ERR1" localSheetId="16">{#N/A,#N/A,FALSE,"M.42"}</definedName>
    <definedName name="____________________ERR1" localSheetId="18">{#N/A,#N/A,FALSE,"M.42"}</definedName>
    <definedName name="____________________ERR1" localSheetId="1">{#N/A,#N/A,FALSE,"M.42"}</definedName>
    <definedName name="____________________ERR1" localSheetId="6">{#N/A,#N/A,FALSE,"M.42"}</definedName>
    <definedName name="____________________ERR1" localSheetId="2">{#N/A,#N/A,FALSE,"M.42"}</definedName>
    <definedName name="____________________ERR1" localSheetId="3">{#N/A,#N/A,FALSE,"M.42"}</definedName>
    <definedName name="____________________ERR1" localSheetId="0">{#N/A,#N/A,FALSE,"M.42"}</definedName>
    <definedName name="____________________ERR1" localSheetId="9">{#N/A,#N/A,FALSE,"M.42"}</definedName>
    <definedName name="____________________ERR1">{#N/A,#N/A,FALSE,"M.42"}</definedName>
    <definedName name="____________________kl09" localSheetId="7">{#N/A,#N/A,FALSE,"M.01"}</definedName>
    <definedName name="____________________kl09" localSheetId="8">{#N/A,#N/A,FALSE,"M.01"}</definedName>
    <definedName name="____________________kl09" localSheetId="14">{#N/A,#N/A,FALSE,"M.01"}</definedName>
    <definedName name="____________________kl09" localSheetId="13">{#N/A,#N/A,FALSE,"M.01"}</definedName>
    <definedName name="____________________kl09" localSheetId="11">{#N/A,#N/A,FALSE,"M.01"}</definedName>
    <definedName name="____________________kl09" localSheetId="12">{#N/A,#N/A,FALSE,"M.01"}</definedName>
    <definedName name="____________________kl09" localSheetId="17">{#N/A,#N/A,FALSE,"M.01"}</definedName>
    <definedName name="____________________kl09" localSheetId="15">{#N/A,#N/A,FALSE,"M.01"}</definedName>
    <definedName name="____________________kl09" localSheetId="16">{#N/A,#N/A,FALSE,"M.01"}</definedName>
    <definedName name="____________________kl09" localSheetId="18">{#N/A,#N/A,FALSE,"M.01"}</definedName>
    <definedName name="____________________kl09" localSheetId="1">{#N/A,#N/A,FALSE,"M.01"}</definedName>
    <definedName name="____________________kl09" localSheetId="6">{#N/A,#N/A,FALSE,"M.01"}</definedName>
    <definedName name="____________________kl09" localSheetId="2">{#N/A,#N/A,FALSE,"M.01"}</definedName>
    <definedName name="____________________kl09" localSheetId="3">{#N/A,#N/A,FALSE,"M.01"}</definedName>
    <definedName name="____________________kl09" localSheetId="0">{#N/A,#N/A,FALSE,"M.01"}</definedName>
    <definedName name="____________________kl09" localSheetId="9">{#N/A,#N/A,FALSE,"M.01"}</definedName>
    <definedName name="____________________kl09">{#N/A,#N/A,FALSE,"M.01"}</definedName>
    <definedName name="___________________kl09" localSheetId="7">{#N/A,#N/A,FALSE,"M.01"}</definedName>
    <definedName name="___________________kl09" localSheetId="8">{#N/A,#N/A,FALSE,"M.01"}</definedName>
    <definedName name="___________________kl09" localSheetId="14">{#N/A,#N/A,FALSE,"M.01"}</definedName>
    <definedName name="___________________kl09" localSheetId="13">{#N/A,#N/A,FALSE,"M.01"}</definedName>
    <definedName name="___________________kl09" localSheetId="11">{#N/A,#N/A,FALSE,"M.01"}</definedName>
    <definedName name="___________________kl09" localSheetId="12">{#N/A,#N/A,FALSE,"M.01"}</definedName>
    <definedName name="___________________kl09" localSheetId="17">{#N/A,#N/A,FALSE,"M.01"}</definedName>
    <definedName name="___________________kl09" localSheetId="15">{#N/A,#N/A,FALSE,"M.01"}</definedName>
    <definedName name="___________________kl09" localSheetId="16">{#N/A,#N/A,FALSE,"M.01"}</definedName>
    <definedName name="___________________kl09" localSheetId="18">{#N/A,#N/A,FALSE,"M.01"}</definedName>
    <definedName name="___________________kl09" localSheetId="1">{#N/A,#N/A,FALSE,"M.01"}</definedName>
    <definedName name="___________________kl09" localSheetId="6">{#N/A,#N/A,FALSE,"M.01"}</definedName>
    <definedName name="___________________kl09" localSheetId="2">{#N/A,#N/A,FALSE,"M.01"}</definedName>
    <definedName name="___________________kl09" localSheetId="3">{#N/A,#N/A,FALSE,"M.01"}</definedName>
    <definedName name="___________________kl09" localSheetId="0">{#N/A,#N/A,FALSE,"M.01"}</definedName>
    <definedName name="___________________kl09" localSheetId="9">{#N/A,#N/A,FALSE,"M.01"}</definedName>
    <definedName name="___________________kl09">{#N/A,#N/A,FALSE,"M.01"}</definedName>
    <definedName name="__________________ERR1" localSheetId="7">{#N/A,#N/A,FALSE,"M.42"}</definedName>
    <definedName name="__________________ERR1" localSheetId="8">{#N/A,#N/A,FALSE,"M.42"}</definedName>
    <definedName name="__________________ERR1" localSheetId="14">{#N/A,#N/A,FALSE,"M.42"}</definedName>
    <definedName name="__________________ERR1" localSheetId="13">{#N/A,#N/A,FALSE,"M.42"}</definedName>
    <definedName name="__________________ERR1" localSheetId="11">{#N/A,#N/A,FALSE,"M.42"}</definedName>
    <definedName name="__________________ERR1" localSheetId="12">{#N/A,#N/A,FALSE,"M.42"}</definedName>
    <definedName name="__________________ERR1" localSheetId="17">{#N/A,#N/A,FALSE,"M.42"}</definedName>
    <definedName name="__________________ERR1" localSheetId="15">{#N/A,#N/A,FALSE,"M.42"}</definedName>
    <definedName name="__________________ERR1" localSheetId="16">{#N/A,#N/A,FALSE,"M.42"}</definedName>
    <definedName name="__________________ERR1" localSheetId="18">{#N/A,#N/A,FALSE,"M.42"}</definedName>
    <definedName name="__________________ERR1" localSheetId="1">{#N/A,#N/A,FALSE,"M.42"}</definedName>
    <definedName name="__________________ERR1" localSheetId="6">{#N/A,#N/A,FALSE,"M.42"}</definedName>
    <definedName name="__________________ERR1" localSheetId="2">{#N/A,#N/A,FALSE,"M.42"}</definedName>
    <definedName name="__________________ERR1" localSheetId="3">{#N/A,#N/A,FALSE,"M.42"}</definedName>
    <definedName name="__________________ERR1" localSheetId="0">{#N/A,#N/A,FALSE,"M.42"}</definedName>
    <definedName name="__________________ERR1" localSheetId="9">{#N/A,#N/A,FALSE,"M.42"}</definedName>
    <definedName name="__________________ERR1">{#N/A,#N/A,FALSE,"M.42"}</definedName>
    <definedName name="__________________RIP2" localSheetId="7">{#N/A,#N/A,FALSE,"M.01"}</definedName>
    <definedName name="__________________RIP2" localSheetId="8">{#N/A,#N/A,FALSE,"M.01"}</definedName>
    <definedName name="__________________RIP2" localSheetId="14">{#N/A,#N/A,FALSE,"M.01"}</definedName>
    <definedName name="__________________RIP2" localSheetId="13">{#N/A,#N/A,FALSE,"M.01"}</definedName>
    <definedName name="__________________RIP2" localSheetId="11">{#N/A,#N/A,FALSE,"M.01"}</definedName>
    <definedName name="__________________RIP2" localSheetId="12">{#N/A,#N/A,FALSE,"M.01"}</definedName>
    <definedName name="__________________RIP2" localSheetId="17">{#N/A,#N/A,FALSE,"M.01"}</definedName>
    <definedName name="__________________RIP2" localSheetId="15">{#N/A,#N/A,FALSE,"M.01"}</definedName>
    <definedName name="__________________RIP2" localSheetId="16">{#N/A,#N/A,FALSE,"M.01"}</definedName>
    <definedName name="__________________RIP2" localSheetId="18">{#N/A,#N/A,FALSE,"M.01"}</definedName>
    <definedName name="__________________RIP2" localSheetId="1">{#N/A,#N/A,FALSE,"M.01"}</definedName>
    <definedName name="__________________RIP2" localSheetId="6">{#N/A,#N/A,FALSE,"M.01"}</definedName>
    <definedName name="__________________RIP2" localSheetId="2">{#N/A,#N/A,FALSE,"M.01"}</definedName>
    <definedName name="__________________RIP2" localSheetId="3">{#N/A,#N/A,FALSE,"M.01"}</definedName>
    <definedName name="__________________RIP2" localSheetId="0">{#N/A,#N/A,FALSE,"M.01"}</definedName>
    <definedName name="__________________RIP2" localSheetId="9">{#N/A,#N/A,FALSE,"M.01"}</definedName>
    <definedName name="__________________RIP2">{#N/A,#N/A,FALSE,"M.01"}</definedName>
    <definedName name="__________________RIP3" localSheetId="7">{#N/A,#N/A,FALSE,"M.41"}</definedName>
    <definedName name="__________________RIP3" localSheetId="8">{#N/A,#N/A,FALSE,"M.41"}</definedName>
    <definedName name="__________________RIP3" localSheetId="14">{#N/A,#N/A,FALSE,"M.41"}</definedName>
    <definedName name="__________________RIP3" localSheetId="13">{#N/A,#N/A,FALSE,"M.41"}</definedName>
    <definedName name="__________________RIP3" localSheetId="11">{#N/A,#N/A,FALSE,"M.41"}</definedName>
    <definedName name="__________________RIP3" localSheetId="12">{#N/A,#N/A,FALSE,"M.41"}</definedName>
    <definedName name="__________________RIP3" localSheetId="17">{#N/A,#N/A,FALSE,"M.41"}</definedName>
    <definedName name="__________________RIP3" localSheetId="15">{#N/A,#N/A,FALSE,"M.41"}</definedName>
    <definedName name="__________________RIP3" localSheetId="16">{#N/A,#N/A,FALSE,"M.41"}</definedName>
    <definedName name="__________________RIP3" localSheetId="18">{#N/A,#N/A,FALSE,"M.41"}</definedName>
    <definedName name="__________________RIP3" localSheetId="1">{#N/A,#N/A,FALSE,"M.41"}</definedName>
    <definedName name="__________________RIP3" localSheetId="6">{#N/A,#N/A,FALSE,"M.41"}</definedName>
    <definedName name="__________________RIP3" localSheetId="2">{#N/A,#N/A,FALSE,"M.41"}</definedName>
    <definedName name="__________________RIP3" localSheetId="3">{#N/A,#N/A,FALSE,"M.41"}</definedName>
    <definedName name="__________________RIP3" localSheetId="0">{#N/A,#N/A,FALSE,"M.41"}</definedName>
    <definedName name="__________________RIP3" localSheetId="9">{#N/A,#N/A,FALSE,"M.41"}</definedName>
    <definedName name="__________________RIP3">{#N/A,#N/A,FALSE,"M.41"}</definedName>
    <definedName name="__________________TH1" localSheetId="7">{#N/A,#N/A,FALSE,"M.34"}</definedName>
    <definedName name="__________________TH1" localSheetId="8">{#N/A,#N/A,FALSE,"M.34"}</definedName>
    <definedName name="__________________TH1" localSheetId="14">{#N/A,#N/A,FALSE,"M.34"}</definedName>
    <definedName name="__________________TH1" localSheetId="13">{#N/A,#N/A,FALSE,"M.34"}</definedName>
    <definedName name="__________________TH1" localSheetId="11">{#N/A,#N/A,FALSE,"M.34"}</definedName>
    <definedName name="__________________TH1" localSheetId="12">{#N/A,#N/A,FALSE,"M.34"}</definedName>
    <definedName name="__________________TH1" localSheetId="17">{#N/A,#N/A,FALSE,"M.34"}</definedName>
    <definedName name="__________________TH1" localSheetId="15">{#N/A,#N/A,FALSE,"M.34"}</definedName>
    <definedName name="__________________TH1" localSheetId="16">{#N/A,#N/A,FALSE,"M.34"}</definedName>
    <definedName name="__________________TH1" localSheetId="18">{#N/A,#N/A,FALSE,"M.34"}</definedName>
    <definedName name="__________________TH1" localSheetId="1">{#N/A,#N/A,FALSE,"M.34"}</definedName>
    <definedName name="__________________TH1" localSheetId="6">{#N/A,#N/A,FALSE,"M.34"}</definedName>
    <definedName name="__________________TH1" localSheetId="2">{#N/A,#N/A,FALSE,"M.34"}</definedName>
    <definedName name="__________________TH1" localSheetId="3">{#N/A,#N/A,FALSE,"M.34"}</definedName>
    <definedName name="__________________TH1" localSheetId="0">{#N/A,#N/A,FALSE,"M.34"}</definedName>
    <definedName name="__________________TH1" localSheetId="9">{#N/A,#N/A,FALSE,"M.34"}</definedName>
    <definedName name="__________________TH1">{#N/A,#N/A,FALSE,"M.34"}</definedName>
    <definedName name="__________________th2" localSheetId="7">{#N/A,#N/A,FALSE,"M.42"}</definedName>
    <definedName name="__________________th2" localSheetId="8">{#N/A,#N/A,FALSE,"M.42"}</definedName>
    <definedName name="__________________th2" localSheetId="14">{#N/A,#N/A,FALSE,"M.42"}</definedName>
    <definedName name="__________________th2" localSheetId="13">{#N/A,#N/A,FALSE,"M.42"}</definedName>
    <definedName name="__________________th2" localSheetId="11">{#N/A,#N/A,FALSE,"M.42"}</definedName>
    <definedName name="__________________th2" localSheetId="12">{#N/A,#N/A,FALSE,"M.42"}</definedName>
    <definedName name="__________________th2" localSheetId="17">{#N/A,#N/A,FALSE,"M.42"}</definedName>
    <definedName name="__________________th2" localSheetId="15">{#N/A,#N/A,FALSE,"M.42"}</definedName>
    <definedName name="__________________th2" localSheetId="16">{#N/A,#N/A,FALSE,"M.42"}</definedName>
    <definedName name="__________________th2" localSheetId="18">{#N/A,#N/A,FALSE,"M.42"}</definedName>
    <definedName name="__________________th2" localSheetId="1">{#N/A,#N/A,FALSE,"M.42"}</definedName>
    <definedName name="__________________th2" localSheetId="6">{#N/A,#N/A,FALSE,"M.42"}</definedName>
    <definedName name="__________________th2" localSheetId="2">{#N/A,#N/A,FALSE,"M.42"}</definedName>
    <definedName name="__________________th2" localSheetId="3">{#N/A,#N/A,FALSE,"M.42"}</definedName>
    <definedName name="__________________th2" localSheetId="0">{#N/A,#N/A,FALSE,"M.42"}</definedName>
    <definedName name="__________________th2" localSheetId="9">{#N/A,#N/A,FALSE,"M.42"}</definedName>
    <definedName name="__________________th2">{#N/A,#N/A,FALSE,"M.42"}</definedName>
    <definedName name="_________________kl09" localSheetId="7">{#N/A,#N/A,FALSE,"M.01"}</definedName>
    <definedName name="_________________kl09" localSheetId="8">{#N/A,#N/A,FALSE,"M.01"}</definedName>
    <definedName name="_________________kl09" localSheetId="14">{#N/A,#N/A,FALSE,"M.01"}</definedName>
    <definedName name="_________________kl09" localSheetId="13">{#N/A,#N/A,FALSE,"M.01"}</definedName>
    <definedName name="_________________kl09" localSheetId="11">{#N/A,#N/A,FALSE,"M.01"}</definedName>
    <definedName name="_________________kl09" localSheetId="12">{#N/A,#N/A,FALSE,"M.01"}</definedName>
    <definedName name="_________________kl09" localSheetId="17">{#N/A,#N/A,FALSE,"M.01"}</definedName>
    <definedName name="_________________kl09" localSheetId="15">{#N/A,#N/A,FALSE,"M.01"}</definedName>
    <definedName name="_________________kl09" localSheetId="16">{#N/A,#N/A,FALSE,"M.01"}</definedName>
    <definedName name="_________________kl09" localSheetId="18">{#N/A,#N/A,FALSE,"M.01"}</definedName>
    <definedName name="_________________kl09" localSheetId="1">{#N/A,#N/A,FALSE,"M.01"}</definedName>
    <definedName name="_________________kl09" localSheetId="6">{#N/A,#N/A,FALSE,"M.01"}</definedName>
    <definedName name="_________________kl09" localSheetId="2">{#N/A,#N/A,FALSE,"M.01"}</definedName>
    <definedName name="_________________kl09" localSheetId="3">{#N/A,#N/A,FALSE,"M.01"}</definedName>
    <definedName name="_________________kl09" localSheetId="0">{#N/A,#N/A,FALSE,"M.01"}</definedName>
    <definedName name="_________________kl09" localSheetId="9">{#N/A,#N/A,FALSE,"M.01"}</definedName>
    <definedName name="_________________kl09">{#N/A,#N/A,FALSE,"M.01"}</definedName>
    <definedName name="_________________RIP2" localSheetId="7">{#N/A,#N/A,FALSE,"M.01"}</definedName>
    <definedName name="_________________RIP2" localSheetId="8">{#N/A,#N/A,FALSE,"M.01"}</definedName>
    <definedName name="_________________RIP2" localSheetId="14">{#N/A,#N/A,FALSE,"M.01"}</definedName>
    <definedName name="_________________RIP2" localSheetId="13">{#N/A,#N/A,FALSE,"M.01"}</definedName>
    <definedName name="_________________RIP2" localSheetId="11">{#N/A,#N/A,FALSE,"M.01"}</definedName>
    <definedName name="_________________RIP2" localSheetId="12">{#N/A,#N/A,FALSE,"M.01"}</definedName>
    <definedName name="_________________RIP2" localSheetId="17">{#N/A,#N/A,FALSE,"M.01"}</definedName>
    <definedName name="_________________RIP2" localSheetId="15">{#N/A,#N/A,FALSE,"M.01"}</definedName>
    <definedName name="_________________RIP2" localSheetId="16">{#N/A,#N/A,FALSE,"M.01"}</definedName>
    <definedName name="_________________RIP2" localSheetId="18">{#N/A,#N/A,FALSE,"M.01"}</definedName>
    <definedName name="_________________RIP2" localSheetId="1">{#N/A,#N/A,FALSE,"M.01"}</definedName>
    <definedName name="_________________RIP2" localSheetId="6">{#N/A,#N/A,FALSE,"M.01"}</definedName>
    <definedName name="_________________RIP2" localSheetId="2">{#N/A,#N/A,FALSE,"M.01"}</definedName>
    <definedName name="_________________RIP2" localSheetId="3">{#N/A,#N/A,FALSE,"M.01"}</definedName>
    <definedName name="_________________RIP2" localSheetId="0">{#N/A,#N/A,FALSE,"M.01"}</definedName>
    <definedName name="_________________RIP2" localSheetId="9">{#N/A,#N/A,FALSE,"M.01"}</definedName>
    <definedName name="_________________RIP2">{#N/A,#N/A,FALSE,"M.01"}</definedName>
    <definedName name="_________________RIP3" localSheetId="7">{#N/A,#N/A,FALSE,"M.41"}</definedName>
    <definedName name="_________________RIP3" localSheetId="8">{#N/A,#N/A,FALSE,"M.41"}</definedName>
    <definedName name="_________________RIP3" localSheetId="14">{#N/A,#N/A,FALSE,"M.41"}</definedName>
    <definedName name="_________________RIP3" localSheetId="13">{#N/A,#N/A,FALSE,"M.41"}</definedName>
    <definedName name="_________________RIP3" localSheetId="11">{#N/A,#N/A,FALSE,"M.41"}</definedName>
    <definedName name="_________________RIP3" localSheetId="12">{#N/A,#N/A,FALSE,"M.41"}</definedName>
    <definedName name="_________________RIP3" localSheetId="17">{#N/A,#N/A,FALSE,"M.41"}</definedName>
    <definedName name="_________________RIP3" localSheetId="15">{#N/A,#N/A,FALSE,"M.41"}</definedName>
    <definedName name="_________________RIP3" localSheetId="16">{#N/A,#N/A,FALSE,"M.41"}</definedName>
    <definedName name="_________________RIP3" localSheetId="18">{#N/A,#N/A,FALSE,"M.41"}</definedName>
    <definedName name="_________________RIP3" localSheetId="1">{#N/A,#N/A,FALSE,"M.41"}</definedName>
    <definedName name="_________________RIP3" localSheetId="6">{#N/A,#N/A,FALSE,"M.41"}</definedName>
    <definedName name="_________________RIP3" localSheetId="2">{#N/A,#N/A,FALSE,"M.41"}</definedName>
    <definedName name="_________________RIP3" localSheetId="3">{#N/A,#N/A,FALSE,"M.41"}</definedName>
    <definedName name="_________________RIP3" localSheetId="0">{#N/A,#N/A,FALSE,"M.41"}</definedName>
    <definedName name="_________________RIP3" localSheetId="9">{#N/A,#N/A,FALSE,"M.41"}</definedName>
    <definedName name="_________________RIP3">{#N/A,#N/A,FALSE,"M.41"}</definedName>
    <definedName name="_________________TH1" localSheetId="7">{#N/A,#N/A,FALSE,"M.34"}</definedName>
    <definedName name="_________________TH1" localSheetId="8">{#N/A,#N/A,FALSE,"M.34"}</definedName>
    <definedName name="_________________TH1" localSheetId="14">{#N/A,#N/A,FALSE,"M.34"}</definedName>
    <definedName name="_________________TH1" localSheetId="13">{#N/A,#N/A,FALSE,"M.34"}</definedName>
    <definedName name="_________________TH1" localSheetId="11">{#N/A,#N/A,FALSE,"M.34"}</definedName>
    <definedName name="_________________TH1" localSheetId="12">{#N/A,#N/A,FALSE,"M.34"}</definedName>
    <definedName name="_________________TH1" localSheetId="17">{#N/A,#N/A,FALSE,"M.34"}</definedName>
    <definedName name="_________________TH1" localSheetId="15">{#N/A,#N/A,FALSE,"M.34"}</definedName>
    <definedName name="_________________TH1" localSheetId="16">{#N/A,#N/A,FALSE,"M.34"}</definedName>
    <definedName name="_________________TH1" localSheetId="18">{#N/A,#N/A,FALSE,"M.34"}</definedName>
    <definedName name="_________________TH1" localSheetId="1">{#N/A,#N/A,FALSE,"M.34"}</definedName>
    <definedName name="_________________TH1" localSheetId="6">{#N/A,#N/A,FALSE,"M.34"}</definedName>
    <definedName name="_________________TH1" localSheetId="2">{#N/A,#N/A,FALSE,"M.34"}</definedName>
    <definedName name="_________________TH1" localSheetId="3">{#N/A,#N/A,FALSE,"M.34"}</definedName>
    <definedName name="_________________TH1" localSheetId="0">{#N/A,#N/A,FALSE,"M.34"}</definedName>
    <definedName name="_________________TH1" localSheetId="9">{#N/A,#N/A,FALSE,"M.34"}</definedName>
    <definedName name="_________________TH1">{#N/A,#N/A,FALSE,"M.34"}</definedName>
    <definedName name="_________________th2" localSheetId="7">{#N/A,#N/A,FALSE,"M.42"}</definedName>
    <definedName name="_________________th2" localSheetId="8">{#N/A,#N/A,FALSE,"M.42"}</definedName>
    <definedName name="_________________th2" localSheetId="14">{#N/A,#N/A,FALSE,"M.42"}</definedName>
    <definedName name="_________________th2" localSheetId="13">{#N/A,#N/A,FALSE,"M.42"}</definedName>
    <definedName name="_________________th2" localSheetId="11">{#N/A,#N/A,FALSE,"M.42"}</definedName>
    <definedName name="_________________th2" localSheetId="12">{#N/A,#N/A,FALSE,"M.42"}</definedName>
    <definedName name="_________________th2" localSheetId="17">{#N/A,#N/A,FALSE,"M.42"}</definedName>
    <definedName name="_________________th2" localSheetId="15">{#N/A,#N/A,FALSE,"M.42"}</definedName>
    <definedName name="_________________th2" localSheetId="16">{#N/A,#N/A,FALSE,"M.42"}</definedName>
    <definedName name="_________________th2" localSheetId="18">{#N/A,#N/A,FALSE,"M.42"}</definedName>
    <definedName name="_________________th2" localSheetId="1">{#N/A,#N/A,FALSE,"M.42"}</definedName>
    <definedName name="_________________th2" localSheetId="6">{#N/A,#N/A,FALSE,"M.42"}</definedName>
    <definedName name="_________________th2" localSheetId="2">{#N/A,#N/A,FALSE,"M.42"}</definedName>
    <definedName name="_________________th2" localSheetId="3">{#N/A,#N/A,FALSE,"M.42"}</definedName>
    <definedName name="_________________th2" localSheetId="0">{#N/A,#N/A,FALSE,"M.42"}</definedName>
    <definedName name="_________________th2" localSheetId="9">{#N/A,#N/A,FALSE,"M.42"}</definedName>
    <definedName name="_________________th2">{#N/A,#N/A,FALSE,"M.42"}</definedName>
    <definedName name="________________ERR1" localSheetId="7">{#N/A,#N/A,FALSE,"M.42"}</definedName>
    <definedName name="________________ERR1" localSheetId="8">{#N/A,#N/A,FALSE,"M.42"}</definedName>
    <definedName name="________________ERR1" localSheetId="14">{#N/A,#N/A,FALSE,"M.42"}</definedName>
    <definedName name="________________ERR1" localSheetId="13">{#N/A,#N/A,FALSE,"M.42"}</definedName>
    <definedName name="________________ERR1" localSheetId="11">{#N/A,#N/A,FALSE,"M.42"}</definedName>
    <definedName name="________________ERR1" localSheetId="12">{#N/A,#N/A,FALSE,"M.42"}</definedName>
    <definedName name="________________ERR1" localSheetId="17">{#N/A,#N/A,FALSE,"M.42"}</definedName>
    <definedName name="________________ERR1" localSheetId="15">{#N/A,#N/A,FALSE,"M.42"}</definedName>
    <definedName name="________________ERR1" localSheetId="16">{#N/A,#N/A,FALSE,"M.42"}</definedName>
    <definedName name="________________ERR1" localSheetId="18">{#N/A,#N/A,FALSE,"M.42"}</definedName>
    <definedName name="________________ERR1" localSheetId="1">{#N/A,#N/A,FALSE,"M.42"}</definedName>
    <definedName name="________________ERR1" localSheetId="6">{#N/A,#N/A,FALSE,"M.42"}</definedName>
    <definedName name="________________ERR1" localSheetId="2">{#N/A,#N/A,FALSE,"M.42"}</definedName>
    <definedName name="________________ERR1" localSheetId="3">{#N/A,#N/A,FALSE,"M.42"}</definedName>
    <definedName name="________________ERR1" localSheetId="0">{#N/A,#N/A,FALSE,"M.42"}</definedName>
    <definedName name="________________ERR1" localSheetId="9">{#N/A,#N/A,FALSE,"M.42"}</definedName>
    <definedName name="________________ERR1">{#N/A,#N/A,FALSE,"M.42"}</definedName>
    <definedName name="________________kl09" localSheetId="7">{#N/A,#N/A,FALSE,"M.01"}</definedName>
    <definedName name="________________kl09" localSheetId="8">{#N/A,#N/A,FALSE,"M.01"}</definedName>
    <definedName name="________________kl09" localSheetId="14">{#N/A,#N/A,FALSE,"M.01"}</definedName>
    <definedName name="________________kl09" localSheetId="13">{#N/A,#N/A,FALSE,"M.01"}</definedName>
    <definedName name="________________kl09" localSheetId="11">{#N/A,#N/A,FALSE,"M.01"}</definedName>
    <definedName name="________________kl09" localSheetId="12">{#N/A,#N/A,FALSE,"M.01"}</definedName>
    <definedName name="________________kl09" localSheetId="17">{#N/A,#N/A,FALSE,"M.01"}</definedName>
    <definedName name="________________kl09" localSheetId="15">{#N/A,#N/A,FALSE,"M.01"}</definedName>
    <definedName name="________________kl09" localSheetId="16">{#N/A,#N/A,FALSE,"M.01"}</definedName>
    <definedName name="________________kl09" localSheetId="18">{#N/A,#N/A,FALSE,"M.01"}</definedName>
    <definedName name="________________kl09" localSheetId="1">{#N/A,#N/A,FALSE,"M.01"}</definedName>
    <definedName name="________________kl09" localSheetId="6">{#N/A,#N/A,FALSE,"M.01"}</definedName>
    <definedName name="________________kl09" localSheetId="2">{#N/A,#N/A,FALSE,"M.01"}</definedName>
    <definedName name="________________kl09" localSheetId="3">{#N/A,#N/A,FALSE,"M.01"}</definedName>
    <definedName name="________________kl09" localSheetId="0">{#N/A,#N/A,FALSE,"M.01"}</definedName>
    <definedName name="________________kl09" localSheetId="9">{#N/A,#N/A,FALSE,"M.01"}</definedName>
    <definedName name="________________kl09">{#N/A,#N/A,FALSE,"M.01"}</definedName>
    <definedName name="________________RIP2" localSheetId="7">{#N/A,#N/A,FALSE,"M.01"}</definedName>
    <definedName name="________________RIP2" localSheetId="8">{#N/A,#N/A,FALSE,"M.01"}</definedName>
    <definedName name="________________RIP2" localSheetId="14">{#N/A,#N/A,FALSE,"M.01"}</definedName>
    <definedName name="________________RIP2" localSheetId="13">{#N/A,#N/A,FALSE,"M.01"}</definedName>
    <definedName name="________________RIP2" localSheetId="11">{#N/A,#N/A,FALSE,"M.01"}</definedName>
    <definedName name="________________RIP2" localSheetId="12">{#N/A,#N/A,FALSE,"M.01"}</definedName>
    <definedName name="________________RIP2" localSheetId="17">{#N/A,#N/A,FALSE,"M.01"}</definedName>
    <definedName name="________________RIP2" localSheetId="15">{#N/A,#N/A,FALSE,"M.01"}</definedName>
    <definedName name="________________RIP2" localSheetId="16">{#N/A,#N/A,FALSE,"M.01"}</definedName>
    <definedName name="________________RIP2" localSheetId="18">{#N/A,#N/A,FALSE,"M.01"}</definedName>
    <definedName name="________________RIP2" localSheetId="1">{#N/A,#N/A,FALSE,"M.01"}</definedName>
    <definedName name="________________RIP2" localSheetId="6">{#N/A,#N/A,FALSE,"M.01"}</definedName>
    <definedName name="________________RIP2" localSheetId="2">{#N/A,#N/A,FALSE,"M.01"}</definedName>
    <definedName name="________________RIP2" localSheetId="3">{#N/A,#N/A,FALSE,"M.01"}</definedName>
    <definedName name="________________RIP2" localSheetId="0">{#N/A,#N/A,FALSE,"M.01"}</definedName>
    <definedName name="________________RIP2" localSheetId="9">{#N/A,#N/A,FALSE,"M.01"}</definedName>
    <definedName name="________________RIP2">{#N/A,#N/A,FALSE,"M.01"}</definedName>
    <definedName name="________________RIP3" localSheetId="7">{#N/A,#N/A,FALSE,"M.41"}</definedName>
    <definedName name="________________RIP3" localSheetId="8">{#N/A,#N/A,FALSE,"M.41"}</definedName>
    <definedName name="________________RIP3" localSheetId="14">{#N/A,#N/A,FALSE,"M.41"}</definedName>
    <definedName name="________________RIP3" localSheetId="13">{#N/A,#N/A,FALSE,"M.41"}</definedName>
    <definedName name="________________RIP3" localSheetId="11">{#N/A,#N/A,FALSE,"M.41"}</definedName>
    <definedName name="________________RIP3" localSheetId="12">{#N/A,#N/A,FALSE,"M.41"}</definedName>
    <definedName name="________________RIP3" localSheetId="17">{#N/A,#N/A,FALSE,"M.41"}</definedName>
    <definedName name="________________RIP3" localSheetId="15">{#N/A,#N/A,FALSE,"M.41"}</definedName>
    <definedName name="________________RIP3" localSheetId="16">{#N/A,#N/A,FALSE,"M.41"}</definedName>
    <definedName name="________________RIP3" localSheetId="18">{#N/A,#N/A,FALSE,"M.41"}</definedName>
    <definedName name="________________RIP3" localSheetId="1">{#N/A,#N/A,FALSE,"M.41"}</definedName>
    <definedName name="________________RIP3" localSheetId="6">{#N/A,#N/A,FALSE,"M.41"}</definedName>
    <definedName name="________________RIP3" localSheetId="2">{#N/A,#N/A,FALSE,"M.41"}</definedName>
    <definedName name="________________RIP3" localSheetId="3">{#N/A,#N/A,FALSE,"M.41"}</definedName>
    <definedName name="________________RIP3" localSheetId="0">{#N/A,#N/A,FALSE,"M.41"}</definedName>
    <definedName name="________________RIP3" localSheetId="9">{#N/A,#N/A,FALSE,"M.41"}</definedName>
    <definedName name="________________RIP3">{#N/A,#N/A,FALSE,"M.41"}</definedName>
    <definedName name="________________TH1" localSheetId="7">{#N/A,#N/A,FALSE,"M.34"}</definedName>
    <definedName name="________________TH1" localSheetId="8">{#N/A,#N/A,FALSE,"M.34"}</definedName>
    <definedName name="________________TH1" localSheetId="14">{#N/A,#N/A,FALSE,"M.34"}</definedName>
    <definedName name="________________TH1" localSheetId="13">{#N/A,#N/A,FALSE,"M.34"}</definedName>
    <definedName name="________________TH1" localSheetId="11">{#N/A,#N/A,FALSE,"M.34"}</definedName>
    <definedName name="________________TH1" localSheetId="12">{#N/A,#N/A,FALSE,"M.34"}</definedName>
    <definedName name="________________TH1" localSheetId="17">{#N/A,#N/A,FALSE,"M.34"}</definedName>
    <definedName name="________________TH1" localSheetId="15">{#N/A,#N/A,FALSE,"M.34"}</definedName>
    <definedName name="________________TH1" localSheetId="16">{#N/A,#N/A,FALSE,"M.34"}</definedName>
    <definedName name="________________TH1" localSheetId="18">{#N/A,#N/A,FALSE,"M.34"}</definedName>
    <definedName name="________________TH1" localSheetId="1">{#N/A,#N/A,FALSE,"M.34"}</definedName>
    <definedName name="________________TH1" localSheetId="6">{#N/A,#N/A,FALSE,"M.34"}</definedName>
    <definedName name="________________TH1" localSheetId="2">{#N/A,#N/A,FALSE,"M.34"}</definedName>
    <definedName name="________________TH1" localSheetId="3">{#N/A,#N/A,FALSE,"M.34"}</definedName>
    <definedName name="________________TH1" localSheetId="0">{#N/A,#N/A,FALSE,"M.34"}</definedName>
    <definedName name="________________TH1" localSheetId="9">{#N/A,#N/A,FALSE,"M.34"}</definedName>
    <definedName name="________________TH1">{#N/A,#N/A,FALSE,"M.34"}</definedName>
    <definedName name="________________th2" localSheetId="7">{#N/A,#N/A,FALSE,"M.42"}</definedName>
    <definedName name="________________th2" localSheetId="8">{#N/A,#N/A,FALSE,"M.42"}</definedName>
    <definedName name="________________th2" localSheetId="14">{#N/A,#N/A,FALSE,"M.42"}</definedName>
    <definedName name="________________th2" localSheetId="13">{#N/A,#N/A,FALSE,"M.42"}</definedName>
    <definedName name="________________th2" localSheetId="11">{#N/A,#N/A,FALSE,"M.42"}</definedName>
    <definedName name="________________th2" localSheetId="12">{#N/A,#N/A,FALSE,"M.42"}</definedName>
    <definedName name="________________th2" localSheetId="17">{#N/A,#N/A,FALSE,"M.42"}</definedName>
    <definedName name="________________th2" localSheetId="15">{#N/A,#N/A,FALSE,"M.42"}</definedName>
    <definedName name="________________th2" localSheetId="16">{#N/A,#N/A,FALSE,"M.42"}</definedName>
    <definedName name="________________th2" localSheetId="18">{#N/A,#N/A,FALSE,"M.42"}</definedName>
    <definedName name="________________th2" localSheetId="1">{#N/A,#N/A,FALSE,"M.42"}</definedName>
    <definedName name="________________th2" localSheetId="6">{#N/A,#N/A,FALSE,"M.42"}</definedName>
    <definedName name="________________th2" localSheetId="2">{#N/A,#N/A,FALSE,"M.42"}</definedName>
    <definedName name="________________th2" localSheetId="3">{#N/A,#N/A,FALSE,"M.42"}</definedName>
    <definedName name="________________th2" localSheetId="0">{#N/A,#N/A,FALSE,"M.42"}</definedName>
    <definedName name="________________th2" localSheetId="9">{#N/A,#N/A,FALSE,"M.42"}</definedName>
    <definedName name="________________th2">{#N/A,#N/A,FALSE,"M.42"}</definedName>
    <definedName name="_______________kl09" localSheetId="7">{#N/A,#N/A,FALSE,"M.01"}</definedName>
    <definedName name="_______________kl09" localSheetId="8">{#N/A,#N/A,FALSE,"M.01"}</definedName>
    <definedName name="_______________kl09" localSheetId="14">{#N/A,#N/A,FALSE,"M.01"}</definedName>
    <definedName name="_______________kl09" localSheetId="13">{#N/A,#N/A,FALSE,"M.01"}</definedName>
    <definedName name="_______________kl09" localSheetId="11">{#N/A,#N/A,FALSE,"M.01"}</definedName>
    <definedName name="_______________kl09" localSheetId="12">{#N/A,#N/A,FALSE,"M.01"}</definedName>
    <definedName name="_______________kl09" localSheetId="17">{#N/A,#N/A,FALSE,"M.01"}</definedName>
    <definedName name="_______________kl09" localSheetId="15">{#N/A,#N/A,FALSE,"M.01"}</definedName>
    <definedName name="_______________kl09" localSheetId="16">{#N/A,#N/A,FALSE,"M.01"}</definedName>
    <definedName name="_______________kl09" localSheetId="18">{#N/A,#N/A,FALSE,"M.01"}</definedName>
    <definedName name="_______________kl09" localSheetId="1">{#N/A,#N/A,FALSE,"M.01"}</definedName>
    <definedName name="_______________kl09" localSheetId="6">{#N/A,#N/A,FALSE,"M.01"}</definedName>
    <definedName name="_______________kl09" localSheetId="2">{#N/A,#N/A,FALSE,"M.01"}</definedName>
    <definedName name="_______________kl09" localSheetId="3">{#N/A,#N/A,FALSE,"M.01"}</definedName>
    <definedName name="_______________kl09" localSheetId="0">{#N/A,#N/A,FALSE,"M.01"}</definedName>
    <definedName name="_______________kl09" localSheetId="9">{#N/A,#N/A,FALSE,"M.01"}</definedName>
    <definedName name="_______________kl09">{#N/A,#N/A,FALSE,"M.01"}</definedName>
    <definedName name="_______________RIP2" localSheetId="7">{#N/A,#N/A,FALSE,"M.01"}</definedName>
    <definedName name="_______________RIP2" localSheetId="8">{#N/A,#N/A,FALSE,"M.01"}</definedName>
    <definedName name="_______________RIP2" localSheetId="14">{#N/A,#N/A,FALSE,"M.01"}</definedName>
    <definedName name="_______________RIP2" localSheetId="13">{#N/A,#N/A,FALSE,"M.01"}</definedName>
    <definedName name="_______________RIP2" localSheetId="11">{#N/A,#N/A,FALSE,"M.01"}</definedName>
    <definedName name="_______________RIP2" localSheetId="12">{#N/A,#N/A,FALSE,"M.01"}</definedName>
    <definedName name="_______________RIP2" localSheetId="17">{#N/A,#N/A,FALSE,"M.01"}</definedName>
    <definedName name="_______________RIP2" localSheetId="15">{#N/A,#N/A,FALSE,"M.01"}</definedName>
    <definedName name="_______________RIP2" localSheetId="16">{#N/A,#N/A,FALSE,"M.01"}</definedName>
    <definedName name="_______________RIP2" localSheetId="18">{#N/A,#N/A,FALSE,"M.01"}</definedName>
    <definedName name="_______________RIP2" localSheetId="1">{#N/A,#N/A,FALSE,"M.01"}</definedName>
    <definedName name="_______________RIP2" localSheetId="6">{#N/A,#N/A,FALSE,"M.01"}</definedName>
    <definedName name="_______________RIP2" localSheetId="2">{#N/A,#N/A,FALSE,"M.01"}</definedName>
    <definedName name="_______________RIP2" localSheetId="3">{#N/A,#N/A,FALSE,"M.01"}</definedName>
    <definedName name="_______________RIP2" localSheetId="0">{#N/A,#N/A,FALSE,"M.01"}</definedName>
    <definedName name="_______________RIP2" localSheetId="9">{#N/A,#N/A,FALSE,"M.01"}</definedName>
    <definedName name="_______________RIP2">{#N/A,#N/A,FALSE,"M.01"}</definedName>
    <definedName name="_______________RIP3" localSheetId="7">{#N/A,#N/A,FALSE,"M.41"}</definedName>
    <definedName name="_______________RIP3" localSheetId="8">{#N/A,#N/A,FALSE,"M.41"}</definedName>
    <definedName name="_______________RIP3" localSheetId="14">{#N/A,#N/A,FALSE,"M.41"}</definedName>
    <definedName name="_______________RIP3" localSheetId="13">{#N/A,#N/A,FALSE,"M.41"}</definedName>
    <definedName name="_______________RIP3" localSheetId="11">{#N/A,#N/A,FALSE,"M.41"}</definedName>
    <definedName name="_______________RIP3" localSheetId="12">{#N/A,#N/A,FALSE,"M.41"}</definedName>
    <definedName name="_______________RIP3" localSheetId="17">{#N/A,#N/A,FALSE,"M.41"}</definedName>
    <definedName name="_______________RIP3" localSheetId="15">{#N/A,#N/A,FALSE,"M.41"}</definedName>
    <definedName name="_______________RIP3" localSheetId="16">{#N/A,#N/A,FALSE,"M.41"}</definedName>
    <definedName name="_______________RIP3" localSheetId="18">{#N/A,#N/A,FALSE,"M.41"}</definedName>
    <definedName name="_______________RIP3" localSheetId="1">{#N/A,#N/A,FALSE,"M.41"}</definedName>
    <definedName name="_______________RIP3" localSheetId="6">{#N/A,#N/A,FALSE,"M.41"}</definedName>
    <definedName name="_______________RIP3" localSheetId="2">{#N/A,#N/A,FALSE,"M.41"}</definedName>
    <definedName name="_______________RIP3" localSheetId="3">{#N/A,#N/A,FALSE,"M.41"}</definedName>
    <definedName name="_______________RIP3" localSheetId="0">{#N/A,#N/A,FALSE,"M.41"}</definedName>
    <definedName name="_______________RIP3" localSheetId="9">{#N/A,#N/A,FALSE,"M.41"}</definedName>
    <definedName name="_______________RIP3">{#N/A,#N/A,FALSE,"M.41"}</definedName>
    <definedName name="_______________TH1" localSheetId="7">{#N/A,#N/A,FALSE,"M.34"}</definedName>
    <definedName name="_______________TH1" localSheetId="8">{#N/A,#N/A,FALSE,"M.34"}</definedName>
    <definedName name="_______________TH1" localSheetId="14">{#N/A,#N/A,FALSE,"M.34"}</definedName>
    <definedName name="_______________TH1" localSheetId="13">{#N/A,#N/A,FALSE,"M.34"}</definedName>
    <definedName name="_______________TH1" localSheetId="11">{#N/A,#N/A,FALSE,"M.34"}</definedName>
    <definedName name="_______________TH1" localSheetId="12">{#N/A,#N/A,FALSE,"M.34"}</definedName>
    <definedName name="_______________TH1" localSheetId="17">{#N/A,#N/A,FALSE,"M.34"}</definedName>
    <definedName name="_______________TH1" localSheetId="15">{#N/A,#N/A,FALSE,"M.34"}</definedName>
    <definedName name="_______________TH1" localSheetId="16">{#N/A,#N/A,FALSE,"M.34"}</definedName>
    <definedName name="_______________TH1" localSheetId="18">{#N/A,#N/A,FALSE,"M.34"}</definedName>
    <definedName name="_______________TH1" localSheetId="1">{#N/A,#N/A,FALSE,"M.34"}</definedName>
    <definedName name="_______________TH1" localSheetId="6">{#N/A,#N/A,FALSE,"M.34"}</definedName>
    <definedName name="_______________TH1" localSheetId="2">{#N/A,#N/A,FALSE,"M.34"}</definedName>
    <definedName name="_______________TH1" localSheetId="3">{#N/A,#N/A,FALSE,"M.34"}</definedName>
    <definedName name="_______________TH1" localSheetId="0">{#N/A,#N/A,FALSE,"M.34"}</definedName>
    <definedName name="_______________TH1" localSheetId="9">{#N/A,#N/A,FALSE,"M.34"}</definedName>
    <definedName name="_______________TH1">{#N/A,#N/A,FALSE,"M.34"}</definedName>
    <definedName name="_______________th2" localSheetId="7">{#N/A,#N/A,FALSE,"M.42"}</definedName>
    <definedName name="_______________th2" localSheetId="8">{#N/A,#N/A,FALSE,"M.42"}</definedName>
    <definedName name="_______________th2" localSheetId="14">{#N/A,#N/A,FALSE,"M.42"}</definedName>
    <definedName name="_______________th2" localSheetId="13">{#N/A,#N/A,FALSE,"M.42"}</definedName>
    <definedName name="_______________th2" localSheetId="11">{#N/A,#N/A,FALSE,"M.42"}</definedName>
    <definedName name="_______________th2" localSheetId="12">{#N/A,#N/A,FALSE,"M.42"}</definedName>
    <definedName name="_______________th2" localSheetId="17">{#N/A,#N/A,FALSE,"M.42"}</definedName>
    <definedName name="_______________th2" localSheetId="15">{#N/A,#N/A,FALSE,"M.42"}</definedName>
    <definedName name="_______________th2" localSheetId="16">{#N/A,#N/A,FALSE,"M.42"}</definedName>
    <definedName name="_______________th2" localSheetId="18">{#N/A,#N/A,FALSE,"M.42"}</definedName>
    <definedName name="_______________th2" localSheetId="1">{#N/A,#N/A,FALSE,"M.42"}</definedName>
    <definedName name="_______________th2" localSheetId="6">{#N/A,#N/A,FALSE,"M.42"}</definedName>
    <definedName name="_______________th2" localSheetId="2">{#N/A,#N/A,FALSE,"M.42"}</definedName>
    <definedName name="_______________th2" localSheetId="3">{#N/A,#N/A,FALSE,"M.42"}</definedName>
    <definedName name="_______________th2" localSheetId="0">{#N/A,#N/A,FALSE,"M.42"}</definedName>
    <definedName name="_______________th2" localSheetId="9">{#N/A,#N/A,FALSE,"M.42"}</definedName>
    <definedName name="_______________th2">{#N/A,#N/A,FALSE,"M.42"}</definedName>
    <definedName name="______________ERR1" localSheetId="7">{#N/A,#N/A,FALSE,"M.42"}</definedName>
    <definedName name="______________ERR1" localSheetId="8">{#N/A,#N/A,FALSE,"M.42"}</definedName>
    <definedName name="______________ERR1" localSheetId="14">{#N/A,#N/A,FALSE,"M.42"}</definedName>
    <definedName name="______________ERR1" localSheetId="13">{#N/A,#N/A,FALSE,"M.42"}</definedName>
    <definedName name="______________ERR1" localSheetId="11">{#N/A,#N/A,FALSE,"M.42"}</definedName>
    <definedName name="______________ERR1" localSheetId="12">{#N/A,#N/A,FALSE,"M.42"}</definedName>
    <definedName name="______________ERR1" localSheetId="17">{#N/A,#N/A,FALSE,"M.42"}</definedName>
    <definedName name="______________ERR1" localSheetId="15">{#N/A,#N/A,FALSE,"M.42"}</definedName>
    <definedName name="______________ERR1" localSheetId="16">{#N/A,#N/A,FALSE,"M.42"}</definedName>
    <definedName name="______________ERR1" localSheetId="18">{#N/A,#N/A,FALSE,"M.42"}</definedName>
    <definedName name="______________ERR1" localSheetId="1">{#N/A,#N/A,FALSE,"M.42"}</definedName>
    <definedName name="______________ERR1" localSheetId="6">{#N/A,#N/A,FALSE,"M.42"}</definedName>
    <definedName name="______________ERR1" localSheetId="2">{#N/A,#N/A,FALSE,"M.42"}</definedName>
    <definedName name="______________ERR1" localSheetId="3">{#N/A,#N/A,FALSE,"M.42"}</definedName>
    <definedName name="______________ERR1" localSheetId="0">{#N/A,#N/A,FALSE,"M.42"}</definedName>
    <definedName name="______________ERR1" localSheetId="9">{#N/A,#N/A,FALSE,"M.42"}</definedName>
    <definedName name="______________ERR1">{#N/A,#N/A,FALSE,"M.42"}</definedName>
    <definedName name="______________kl09" localSheetId="7">{#N/A,#N/A,FALSE,"M.01"}</definedName>
    <definedName name="______________kl09" localSheetId="8">{#N/A,#N/A,FALSE,"M.01"}</definedName>
    <definedName name="______________kl09" localSheetId="14">{#N/A,#N/A,FALSE,"M.01"}</definedName>
    <definedName name="______________kl09" localSheetId="13">{#N/A,#N/A,FALSE,"M.01"}</definedName>
    <definedName name="______________kl09" localSheetId="11">{#N/A,#N/A,FALSE,"M.01"}</definedName>
    <definedName name="______________kl09" localSheetId="12">{#N/A,#N/A,FALSE,"M.01"}</definedName>
    <definedName name="______________kl09" localSheetId="17">{#N/A,#N/A,FALSE,"M.01"}</definedName>
    <definedName name="______________kl09" localSheetId="15">{#N/A,#N/A,FALSE,"M.01"}</definedName>
    <definedName name="______________kl09" localSheetId="16">{#N/A,#N/A,FALSE,"M.01"}</definedName>
    <definedName name="______________kl09" localSheetId="18">{#N/A,#N/A,FALSE,"M.01"}</definedName>
    <definedName name="______________kl09" localSheetId="1">{#N/A,#N/A,FALSE,"M.01"}</definedName>
    <definedName name="______________kl09" localSheetId="6">{#N/A,#N/A,FALSE,"M.01"}</definedName>
    <definedName name="______________kl09" localSheetId="2">{#N/A,#N/A,FALSE,"M.01"}</definedName>
    <definedName name="______________kl09" localSheetId="3">{#N/A,#N/A,FALSE,"M.01"}</definedName>
    <definedName name="______________kl09" localSheetId="0">{#N/A,#N/A,FALSE,"M.01"}</definedName>
    <definedName name="______________kl09" localSheetId="9">{#N/A,#N/A,FALSE,"M.01"}</definedName>
    <definedName name="______________kl09">{#N/A,#N/A,FALSE,"M.01"}</definedName>
    <definedName name="______________RIP2" localSheetId="7">{#N/A,#N/A,FALSE,"M.01"}</definedName>
    <definedName name="______________RIP2" localSheetId="8">{#N/A,#N/A,FALSE,"M.01"}</definedName>
    <definedName name="______________RIP2" localSheetId="14">{#N/A,#N/A,FALSE,"M.01"}</definedName>
    <definedName name="______________RIP2" localSheetId="13">{#N/A,#N/A,FALSE,"M.01"}</definedName>
    <definedName name="______________RIP2" localSheetId="11">{#N/A,#N/A,FALSE,"M.01"}</definedName>
    <definedName name="______________RIP2" localSheetId="12">{#N/A,#N/A,FALSE,"M.01"}</definedName>
    <definedName name="______________RIP2" localSheetId="17">{#N/A,#N/A,FALSE,"M.01"}</definedName>
    <definedName name="______________RIP2" localSheetId="15">{#N/A,#N/A,FALSE,"M.01"}</definedName>
    <definedName name="______________RIP2" localSheetId="16">{#N/A,#N/A,FALSE,"M.01"}</definedName>
    <definedName name="______________RIP2" localSheetId="18">{#N/A,#N/A,FALSE,"M.01"}</definedName>
    <definedName name="______________RIP2" localSheetId="1">{#N/A,#N/A,FALSE,"M.01"}</definedName>
    <definedName name="______________RIP2" localSheetId="6">{#N/A,#N/A,FALSE,"M.01"}</definedName>
    <definedName name="______________RIP2" localSheetId="2">{#N/A,#N/A,FALSE,"M.01"}</definedName>
    <definedName name="______________RIP2" localSheetId="3">{#N/A,#N/A,FALSE,"M.01"}</definedName>
    <definedName name="______________RIP2" localSheetId="0">{#N/A,#N/A,FALSE,"M.01"}</definedName>
    <definedName name="______________RIP2" localSheetId="9">{#N/A,#N/A,FALSE,"M.01"}</definedName>
    <definedName name="______________RIP2">{#N/A,#N/A,FALSE,"M.01"}</definedName>
    <definedName name="______________RIP3" localSheetId="7">{#N/A,#N/A,FALSE,"M.41"}</definedName>
    <definedName name="______________RIP3" localSheetId="8">{#N/A,#N/A,FALSE,"M.41"}</definedName>
    <definedName name="______________RIP3" localSheetId="14">{#N/A,#N/A,FALSE,"M.41"}</definedName>
    <definedName name="______________RIP3" localSheetId="13">{#N/A,#N/A,FALSE,"M.41"}</definedName>
    <definedName name="______________RIP3" localSheetId="11">{#N/A,#N/A,FALSE,"M.41"}</definedName>
    <definedName name="______________RIP3" localSheetId="12">{#N/A,#N/A,FALSE,"M.41"}</definedName>
    <definedName name="______________RIP3" localSheetId="17">{#N/A,#N/A,FALSE,"M.41"}</definedName>
    <definedName name="______________RIP3" localSheetId="15">{#N/A,#N/A,FALSE,"M.41"}</definedName>
    <definedName name="______________RIP3" localSheetId="16">{#N/A,#N/A,FALSE,"M.41"}</definedName>
    <definedName name="______________RIP3" localSheetId="18">{#N/A,#N/A,FALSE,"M.41"}</definedName>
    <definedName name="______________RIP3" localSheetId="1">{#N/A,#N/A,FALSE,"M.41"}</definedName>
    <definedName name="______________RIP3" localSheetId="6">{#N/A,#N/A,FALSE,"M.41"}</definedName>
    <definedName name="______________RIP3" localSheetId="2">{#N/A,#N/A,FALSE,"M.41"}</definedName>
    <definedName name="______________RIP3" localSheetId="3">{#N/A,#N/A,FALSE,"M.41"}</definedName>
    <definedName name="______________RIP3" localSheetId="0">{#N/A,#N/A,FALSE,"M.41"}</definedName>
    <definedName name="______________RIP3" localSheetId="9">{#N/A,#N/A,FALSE,"M.41"}</definedName>
    <definedName name="______________RIP3">{#N/A,#N/A,FALSE,"M.41"}</definedName>
    <definedName name="______________TH1" localSheetId="7">{#N/A,#N/A,FALSE,"M.34"}</definedName>
    <definedName name="______________TH1" localSheetId="8">{#N/A,#N/A,FALSE,"M.34"}</definedName>
    <definedName name="______________TH1" localSheetId="14">{#N/A,#N/A,FALSE,"M.34"}</definedName>
    <definedName name="______________TH1" localSheetId="13">{#N/A,#N/A,FALSE,"M.34"}</definedName>
    <definedName name="______________TH1" localSheetId="11">{#N/A,#N/A,FALSE,"M.34"}</definedName>
    <definedName name="______________TH1" localSheetId="12">{#N/A,#N/A,FALSE,"M.34"}</definedName>
    <definedName name="______________TH1" localSheetId="17">{#N/A,#N/A,FALSE,"M.34"}</definedName>
    <definedName name="______________TH1" localSheetId="15">{#N/A,#N/A,FALSE,"M.34"}</definedName>
    <definedName name="______________TH1" localSheetId="16">{#N/A,#N/A,FALSE,"M.34"}</definedName>
    <definedName name="______________TH1" localSheetId="18">{#N/A,#N/A,FALSE,"M.34"}</definedName>
    <definedName name="______________TH1" localSheetId="1">{#N/A,#N/A,FALSE,"M.34"}</definedName>
    <definedName name="______________TH1" localSheetId="6">{#N/A,#N/A,FALSE,"M.34"}</definedName>
    <definedName name="______________TH1" localSheetId="2">{#N/A,#N/A,FALSE,"M.34"}</definedName>
    <definedName name="______________TH1" localSheetId="3">{#N/A,#N/A,FALSE,"M.34"}</definedName>
    <definedName name="______________TH1" localSheetId="0">{#N/A,#N/A,FALSE,"M.34"}</definedName>
    <definedName name="______________TH1" localSheetId="9">{#N/A,#N/A,FALSE,"M.34"}</definedName>
    <definedName name="______________TH1">{#N/A,#N/A,FALSE,"M.34"}</definedName>
    <definedName name="______________th2" localSheetId="7">{#N/A,#N/A,FALSE,"M.42"}</definedName>
    <definedName name="______________th2" localSheetId="8">{#N/A,#N/A,FALSE,"M.42"}</definedName>
    <definedName name="______________th2" localSheetId="14">{#N/A,#N/A,FALSE,"M.42"}</definedName>
    <definedName name="______________th2" localSheetId="13">{#N/A,#N/A,FALSE,"M.42"}</definedName>
    <definedName name="______________th2" localSheetId="11">{#N/A,#N/A,FALSE,"M.42"}</definedName>
    <definedName name="______________th2" localSheetId="12">{#N/A,#N/A,FALSE,"M.42"}</definedName>
    <definedName name="______________th2" localSheetId="17">{#N/A,#N/A,FALSE,"M.42"}</definedName>
    <definedName name="______________th2" localSheetId="15">{#N/A,#N/A,FALSE,"M.42"}</definedName>
    <definedName name="______________th2" localSheetId="16">{#N/A,#N/A,FALSE,"M.42"}</definedName>
    <definedName name="______________th2" localSheetId="18">{#N/A,#N/A,FALSE,"M.42"}</definedName>
    <definedName name="______________th2" localSheetId="1">{#N/A,#N/A,FALSE,"M.42"}</definedName>
    <definedName name="______________th2" localSheetId="6">{#N/A,#N/A,FALSE,"M.42"}</definedName>
    <definedName name="______________th2" localSheetId="2">{#N/A,#N/A,FALSE,"M.42"}</definedName>
    <definedName name="______________th2" localSheetId="3">{#N/A,#N/A,FALSE,"M.42"}</definedName>
    <definedName name="______________th2" localSheetId="0">{#N/A,#N/A,FALSE,"M.42"}</definedName>
    <definedName name="______________th2" localSheetId="9">{#N/A,#N/A,FALSE,"M.42"}</definedName>
    <definedName name="______________th2">{#N/A,#N/A,FALSE,"M.42"}</definedName>
    <definedName name="_____________kl09" localSheetId="7">{#N/A,#N/A,FALSE,"M.01"}</definedName>
    <definedName name="_____________kl09" localSheetId="8">{#N/A,#N/A,FALSE,"M.01"}</definedName>
    <definedName name="_____________kl09" localSheetId="14">{#N/A,#N/A,FALSE,"M.01"}</definedName>
    <definedName name="_____________kl09" localSheetId="13">{#N/A,#N/A,FALSE,"M.01"}</definedName>
    <definedName name="_____________kl09" localSheetId="11">{#N/A,#N/A,FALSE,"M.01"}</definedName>
    <definedName name="_____________kl09" localSheetId="12">{#N/A,#N/A,FALSE,"M.01"}</definedName>
    <definedName name="_____________kl09" localSheetId="17">{#N/A,#N/A,FALSE,"M.01"}</definedName>
    <definedName name="_____________kl09" localSheetId="15">{#N/A,#N/A,FALSE,"M.01"}</definedName>
    <definedName name="_____________kl09" localSheetId="16">{#N/A,#N/A,FALSE,"M.01"}</definedName>
    <definedName name="_____________kl09" localSheetId="18">{#N/A,#N/A,FALSE,"M.01"}</definedName>
    <definedName name="_____________kl09" localSheetId="1">{#N/A,#N/A,FALSE,"M.01"}</definedName>
    <definedName name="_____________kl09" localSheetId="6">{#N/A,#N/A,FALSE,"M.01"}</definedName>
    <definedName name="_____________kl09" localSheetId="2">{#N/A,#N/A,FALSE,"M.01"}</definedName>
    <definedName name="_____________kl09" localSheetId="3">{#N/A,#N/A,FALSE,"M.01"}</definedName>
    <definedName name="_____________kl09" localSheetId="0">{#N/A,#N/A,FALSE,"M.01"}</definedName>
    <definedName name="_____________kl09" localSheetId="9">{#N/A,#N/A,FALSE,"M.01"}</definedName>
    <definedName name="_____________kl09">{#N/A,#N/A,FALSE,"M.01"}</definedName>
    <definedName name="_____________RIP2" localSheetId="7">{#N/A,#N/A,FALSE,"M.01"}</definedName>
    <definedName name="_____________RIP2" localSheetId="8">{#N/A,#N/A,FALSE,"M.01"}</definedName>
    <definedName name="_____________RIP2" localSheetId="14">{#N/A,#N/A,FALSE,"M.01"}</definedName>
    <definedName name="_____________RIP2" localSheetId="13">{#N/A,#N/A,FALSE,"M.01"}</definedName>
    <definedName name="_____________RIP2" localSheetId="11">{#N/A,#N/A,FALSE,"M.01"}</definedName>
    <definedName name="_____________RIP2" localSheetId="12">{#N/A,#N/A,FALSE,"M.01"}</definedName>
    <definedName name="_____________RIP2" localSheetId="17">{#N/A,#N/A,FALSE,"M.01"}</definedName>
    <definedName name="_____________RIP2" localSheetId="15">{#N/A,#N/A,FALSE,"M.01"}</definedName>
    <definedName name="_____________RIP2" localSheetId="16">{#N/A,#N/A,FALSE,"M.01"}</definedName>
    <definedName name="_____________RIP2" localSheetId="18">{#N/A,#N/A,FALSE,"M.01"}</definedName>
    <definedName name="_____________RIP2" localSheetId="1">{#N/A,#N/A,FALSE,"M.01"}</definedName>
    <definedName name="_____________RIP2" localSheetId="6">{#N/A,#N/A,FALSE,"M.01"}</definedName>
    <definedName name="_____________RIP2" localSheetId="2">{#N/A,#N/A,FALSE,"M.01"}</definedName>
    <definedName name="_____________RIP2" localSheetId="3">{#N/A,#N/A,FALSE,"M.01"}</definedName>
    <definedName name="_____________RIP2" localSheetId="0">{#N/A,#N/A,FALSE,"M.01"}</definedName>
    <definedName name="_____________RIP2" localSheetId="9">{#N/A,#N/A,FALSE,"M.01"}</definedName>
    <definedName name="_____________RIP2">{#N/A,#N/A,FALSE,"M.01"}</definedName>
    <definedName name="_____________RIP3" localSheetId="7">{#N/A,#N/A,FALSE,"M.41"}</definedName>
    <definedName name="_____________RIP3" localSheetId="8">{#N/A,#N/A,FALSE,"M.41"}</definedName>
    <definedName name="_____________RIP3" localSheetId="14">{#N/A,#N/A,FALSE,"M.41"}</definedName>
    <definedName name="_____________RIP3" localSheetId="13">{#N/A,#N/A,FALSE,"M.41"}</definedName>
    <definedName name="_____________RIP3" localSheetId="11">{#N/A,#N/A,FALSE,"M.41"}</definedName>
    <definedName name="_____________RIP3" localSheetId="12">{#N/A,#N/A,FALSE,"M.41"}</definedName>
    <definedName name="_____________RIP3" localSheetId="17">{#N/A,#N/A,FALSE,"M.41"}</definedName>
    <definedName name="_____________RIP3" localSheetId="15">{#N/A,#N/A,FALSE,"M.41"}</definedName>
    <definedName name="_____________RIP3" localSheetId="16">{#N/A,#N/A,FALSE,"M.41"}</definedName>
    <definedName name="_____________RIP3" localSheetId="18">{#N/A,#N/A,FALSE,"M.41"}</definedName>
    <definedName name="_____________RIP3" localSheetId="1">{#N/A,#N/A,FALSE,"M.41"}</definedName>
    <definedName name="_____________RIP3" localSheetId="6">{#N/A,#N/A,FALSE,"M.41"}</definedName>
    <definedName name="_____________RIP3" localSheetId="2">{#N/A,#N/A,FALSE,"M.41"}</definedName>
    <definedName name="_____________RIP3" localSheetId="3">{#N/A,#N/A,FALSE,"M.41"}</definedName>
    <definedName name="_____________RIP3" localSheetId="0">{#N/A,#N/A,FALSE,"M.41"}</definedName>
    <definedName name="_____________RIP3" localSheetId="9">{#N/A,#N/A,FALSE,"M.41"}</definedName>
    <definedName name="_____________RIP3">{#N/A,#N/A,FALSE,"M.41"}</definedName>
    <definedName name="_____________TH1" localSheetId="7">{#N/A,#N/A,FALSE,"M.34"}</definedName>
    <definedName name="_____________TH1" localSheetId="8">{#N/A,#N/A,FALSE,"M.34"}</definedName>
    <definedName name="_____________TH1" localSheetId="14">{#N/A,#N/A,FALSE,"M.34"}</definedName>
    <definedName name="_____________TH1" localSheetId="13">{#N/A,#N/A,FALSE,"M.34"}</definedName>
    <definedName name="_____________TH1" localSheetId="11">{#N/A,#N/A,FALSE,"M.34"}</definedName>
    <definedName name="_____________TH1" localSheetId="12">{#N/A,#N/A,FALSE,"M.34"}</definedName>
    <definedName name="_____________TH1" localSheetId="17">{#N/A,#N/A,FALSE,"M.34"}</definedName>
    <definedName name="_____________TH1" localSheetId="15">{#N/A,#N/A,FALSE,"M.34"}</definedName>
    <definedName name="_____________TH1" localSheetId="16">{#N/A,#N/A,FALSE,"M.34"}</definedName>
    <definedName name="_____________TH1" localSheetId="18">{#N/A,#N/A,FALSE,"M.34"}</definedName>
    <definedName name="_____________TH1" localSheetId="1">{#N/A,#N/A,FALSE,"M.34"}</definedName>
    <definedName name="_____________TH1" localSheetId="6">{#N/A,#N/A,FALSE,"M.34"}</definedName>
    <definedName name="_____________TH1" localSheetId="2">{#N/A,#N/A,FALSE,"M.34"}</definedName>
    <definedName name="_____________TH1" localSheetId="3">{#N/A,#N/A,FALSE,"M.34"}</definedName>
    <definedName name="_____________TH1" localSheetId="0">{#N/A,#N/A,FALSE,"M.34"}</definedName>
    <definedName name="_____________TH1" localSheetId="9">{#N/A,#N/A,FALSE,"M.34"}</definedName>
    <definedName name="_____________TH1">{#N/A,#N/A,FALSE,"M.34"}</definedName>
    <definedName name="_____________th2" localSheetId="7">{#N/A,#N/A,FALSE,"M.42"}</definedName>
    <definedName name="_____________th2" localSheetId="8">{#N/A,#N/A,FALSE,"M.42"}</definedName>
    <definedName name="_____________th2" localSheetId="14">{#N/A,#N/A,FALSE,"M.42"}</definedName>
    <definedName name="_____________th2" localSheetId="13">{#N/A,#N/A,FALSE,"M.42"}</definedName>
    <definedName name="_____________th2" localSheetId="11">{#N/A,#N/A,FALSE,"M.42"}</definedName>
    <definedName name="_____________th2" localSheetId="12">{#N/A,#N/A,FALSE,"M.42"}</definedName>
    <definedName name="_____________th2" localSheetId="17">{#N/A,#N/A,FALSE,"M.42"}</definedName>
    <definedName name="_____________th2" localSheetId="15">{#N/A,#N/A,FALSE,"M.42"}</definedName>
    <definedName name="_____________th2" localSheetId="16">{#N/A,#N/A,FALSE,"M.42"}</definedName>
    <definedName name="_____________th2" localSheetId="18">{#N/A,#N/A,FALSE,"M.42"}</definedName>
    <definedName name="_____________th2" localSheetId="1">{#N/A,#N/A,FALSE,"M.42"}</definedName>
    <definedName name="_____________th2" localSheetId="6">{#N/A,#N/A,FALSE,"M.42"}</definedName>
    <definedName name="_____________th2" localSheetId="2">{#N/A,#N/A,FALSE,"M.42"}</definedName>
    <definedName name="_____________th2" localSheetId="3">{#N/A,#N/A,FALSE,"M.42"}</definedName>
    <definedName name="_____________th2" localSheetId="0">{#N/A,#N/A,FALSE,"M.42"}</definedName>
    <definedName name="_____________th2" localSheetId="9">{#N/A,#N/A,FALSE,"M.42"}</definedName>
    <definedName name="_____________th2">{#N/A,#N/A,FALSE,"M.42"}</definedName>
    <definedName name="____________ERR1" localSheetId="7">{#N/A,#N/A,FALSE,"M.42"}</definedName>
    <definedName name="____________ERR1" localSheetId="8">{#N/A,#N/A,FALSE,"M.42"}</definedName>
    <definedName name="____________ERR1" localSheetId="14">{#N/A,#N/A,FALSE,"M.42"}</definedName>
    <definedName name="____________ERR1" localSheetId="13">{#N/A,#N/A,FALSE,"M.42"}</definedName>
    <definedName name="____________ERR1" localSheetId="11">{#N/A,#N/A,FALSE,"M.42"}</definedName>
    <definedName name="____________ERR1" localSheetId="12">{#N/A,#N/A,FALSE,"M.42"}</definedName>
    <definedName name="____________ERR1" localSheetId="17">{#N/A,#N/A,FALSE,"M.42"}</definedName>
    <definedName name="____________ERR1" localSheetId="15">{#N/A,#N/A,FALSE,"M.42"}</definedName>
    <definedName name="____________ERR1" localSheetId="16">{#N/A,#N/A,FALSE,"M.42"}</definedName>
    <definedName name="____________ERR1" localSheetId="18">{#N/A,#N/A,FALSE,"M.42"}</definedName>
    <definedName name="____________ERR1" localSheetId="1">{#N/A,#N/A,FALSE,"M.42"}</definedName>
    <definedName name="____________ERR1" localSheetId="6">{#N/A,#N/A,FALSE,"M.42"}</definedName>
    <definedName name="____________ERR1" localSheetId="2">{#N/A,#N/A,FALSE,"M.42"}</definedName>
    <definedName name="____________ERR1" localSheetId="3">{#N/A,#N/A,FALSE,"M.42"}</definedName>
    <definedName name="____________ERR1" localSheetId="0">{#N/A,#N/A,FALSE,"M.42"}</definedName>
    <definedName name="____________ERR1" localSheetId="9">{#N/A,#N/A,FALSE,"M.42"}</definedName>
    <definedName name="____________ERR1">{#N/A,#N/A,FALSE,"M.42"}</definedName>
    <definedName name="____________kl09" localSheetId="7">{#N/A,#N/A,FALSE,"M.01"}</definedName>
    <definedName name="____________kl09" localSheetId="8">{#N/A,#N/A,FALSE,"M.01"}</definedName>
    <definedName name="____________kl09" localSheetId="14">{#N/A,#N/A,FALSE,"M.01"}</definedName>
    <definedName name="____________kl09" localSheetId="13">{#N/A,#N/A,FALSE,"M.01"}</definedName>
    <definedName name="____________kl09" localSheetId="11">{#N/A,#N/A,FALSE,"M.01"}</definedName>
    <definedName name="____________kl09" localSheetId="12">{#N/A,#N/A,FALSE,"M.01"}</definedName>
    <definedName name="____________kl09" localSheetId="17">{#N/A,#N/A,FALSE,"M.01"}</definedName>
    <definedName name="____________kl09" localSheetId="15">{#N/A,#N/A,FALSE,"M.01"}</definedName>
    <definedName name="____________kl09" localSheetId="16">{#N/A,#N/A,FALSE,"M.01"}</definedName>
    <definedName name="____________kl09" localSheetId="18">{#N/A,#N/A,FALSE,"M.01"}</definedName>
    <definedName name="____________kl09" localSheetId="1">{#N/A,#N/A,FALSE,"M.01"}</definedName>
    <definedName name="____________kl09" localSheetId="6">{#N/A,#N/A,FALSE,"M.01"}</definedName>
    <definedName name="____________kl09" localSheetId="2">{#N/A,#N/A,FALSE,"M.01"}</definedName>
    <definedName name="____________kl09" localSheetId="3">{#N/A,#N/A,FALSE,"M.01"}</definedName>
    <definedName name="____________kl09" localSheetId="0">{#N/A,#N/A,FALSE,"M.01"}</definedName>
    <definedName name="____________kl09" localSheetId="9">{#N/A,#N/A,FALSE,"M.01"}</definedName>
    <definedName name="____________kl09">{#N/A,#N/A,FALSE,"M.01"}</definedName>
    <definedName name="____________RIP2" localSheetId="7">{#N/A,#N/A,FALSE,"M.01"}</definedName>
    <definedName name="____________RIP2" localSheetId="8">{#N/A,#N/A,FALSE,"M.01"}</definedName>
    <definedName name="____________RIP2" localSheetId="14">{#N/A,#N/A,FALSE,"M.01"}</definedName>
    <definedName name="____________RIP2" localSheetId="13">{#N/A,#N/A,FALSE,"M.01"}</definedName>
    <definedName name="____________RIP2" localSheetId="11">{#N/A,#N/A,FALSE,"M.01"}</definedName>
    <definedName name="____________RIP2" localSheetId="12">{#N/A,#N/A,FALSE,"M.01"}</definedName>
    <definedName name="____________RIP2" localSheetId="17">{#N/A,#N/A,FALSE,"M.01"}</definedName>
    <definedName name="____________RIP2" localSheetId="15">{#N/A,#N/A,FALSE,"M.01"}</definedName>
    <definedName name="____________RIP2" localSheetId="16">{#N/A,#N/A,FALSE,"M.01"}</definedName>
    <definedName name="____________RIP2" localSheetId="18">{#N/A,#N/A,FALSE,"M.01"}</definedName>
    <definedName name="____________RIP2" localSheetId="1">{#N/A,#N/A,FALSE,"M.01"}</definedName>
    <definedName name="____________RIP2" localSheetId="6">{#N/A,#N/A,FALSE,"M.01"}</definedName>
    <definedName name="____________RIP2" localSheetId="2">{#N/A,#N/A,FALSE,"M.01"}</definedName>
    <definedName name="____________RIP2" localSheetId="3">{#N/A,#N/A,FALSE,"M.01"}</definedName>
    <definedName name="____________RIP2" localSheetId="0">{#N/A,#N/A,FALSE,"M.01"}</definedName>
    <definedName name="____________RIP2" localSheetId="9">{#N/A,#N/A,FALSE,"M.01"}</definedName>
    <definedName name="____________RIP2">{#N/A,#N/A,FALSE,"M.01"}</definedName>
    <definedName name="____________RIP3" localSheetId="7">{#N/A,#N/A,FALSE,"M.41"}</definedName>
    <definedName name="____________RIP3" localSheetId="8">{#N/A,#N/A,FALSE,"M.41"}</definedName>
    <definedName name="____________RIP3" localSheetId="14">{#N/A,#N/A,FALSE,"M.41"}</definedName>
    <definedName name="____________RIP3" localSheetId="13">{#N/A,#N/A,FALSE,"M.41"}</definedName>
    <definedName name="____________RIP3" localSheetId="11">{#N/A,#N/A,FALSE,"M.41"}</definedName>
    <definedName name="____________RIP3" localSheetId="12">{#N/A,#N/A,FALSE,"M.41"}</definedName>
    <definedName name="____________RIP3" localSheetId="17">{#N/A,#N/A,FALSE,"M.41"}</definedName>
    <definedName name="____________RIP3" localSheetId="15">{#N/A,#N/A,FALSE,"M.41"}</definedName>
    <definedName name="____________RIP3" localSheetId="16">{#N/A,#N/A,FALSE,"M.41"}</definedName>
    <definedName name="____________RIP3" localSheetId="18">{#N/A,#N/A,FALSE,"M.41"}</definedName>
    <definedName name="____________RIP3" localSheetId="1">{#N/A,#N/A,FALSE,"M.41"}</definedName>
    <definedName name="____________RIP3" localSheetId="6">{#N/A,#N/A,FALSE,"M.41"}</definedName>
    <definedName name="____________RIP3" localSheetId="2">{#N/A,#N/A,FALSE,"M.41"}</definedName>
    <definedName name="____________RIP3" localSheetId="3">{#N/A,#N/A,FALSE,"M.41"}</definedName>
    <definedName name="____________RIP3" localSheetId="0">{#N/A,#N/A,FALSE,"M.41"}</definedName>
    <definedName name="____________RIP3" localSheetId="9">{#N/A,#N/A,FALSE,"M.41"}</definedName>
    <definedName name="____________RIP3">{#N/A,#N/A,FALSE,"M.41"}</definedName>
    <definedName name="____________TH1" localSheetId="7">{#N/A,#N/A,FALSE,"M.34"}</definedName>
    <definedName name="____________TH1" localSheetId="8">{#N/A,#N/A,FALSE,"M.34"}</definedName>
    <definedName name="____________TH1" localSheetId="14">{#N/A,#N/A,FALSE,"M.34"}</definedName>
    <definedName name="____________TH1" localSheetId="13">{#N/A,#N/A,FALSE,"M.34"}</definedName>
    <definedName name="____________TH1" localSheetId="11">{#N/A,#N/A,FALSE,"M.34"}</definedName>
    <definedName name="____________TH1" localSheetId="12">{#N/A,#N/A,FALSE,"M.34"}</definedName>
    <definedName name="____________TH1" localSheetId="17">{#N/A,#N/A,FALSE,"M.34"}</definedName>
    <definedName name="____________TH1" localSheetId="15">{#N/A,#N/A,FALSE,"M.34"}</definedName>
    <definedName name="____________TH1" localSheetId="16">{#N/A,#N/A,FALSE,"M.34"}</definedName>
    <definedName name="____________TH1" localSheetId="18">{#N/A,#N/A,FALSE,"M.34"}</definedName>
    <definedName name="____________TH1" localSheetId="1">{#N/A,#N/A,FALSE,"M.34"}</definedName>
    <definedName name="____________TH1" localSheetId="6">{#N/A,#N/A,FALSE,"M.34"}</definedName>
    <definedName name="____________TH1" localSheetId="2">{#N/A,#N/A,FALSE,"M.34"}</definedName>
    <definedName name="____________TH1" localSheetId="3">{#N/A,#N/A,FALSE,"M.34"}</definedName>
    <definedName name="____________TH1" localSheetId="0">{#N/A,#N/A,FALSE,"M.34"}</definedName>
    <definedName name="____________TH1" localSheetId="9">{#N/A,#N/A,FALSE,"M.34"}</definedName>
    <definedName name="____________TH1">{#N/A,#N/A,FALSE,"M.34"}</definedName>
    <definedName name="____________th2" localSheetId="7">{#N/A,#N/A,FALSE,"M.42"}</definedName>
    <definedName name="____________th2" localSheetId="8">{#N/A,#N/A,FALSE,"M.42"}</definedName>
    <definedName name="____________th2" localSheetId="14">{#N/A,#N/A,FALSE,"M.42"}</definedName>
    <definedName name="____________th2" localSheetId="13">{#N/A,#N/A,FALSE,"M.42"}</definedName>
    <definedName name="____________th2" localSheetId="11">{#N/A,#N/A,FALSE,"M.42"}</definedName>
    <definedName name="____________th2" localSheetId="12">{#N/A,#N/A,FALSE,"M.42"}</definedName>
    <definedName name="____________th2" localSheetId="17">{#N/A,#N/A,FALSE,"M.42"}</definedName>
    <definedName name="____________th2" localSheetId="15">{#N/A,#N/A,FALSE,"M.42"}</definedName>
    <definedName name="____________th2" localSheetId="16">{#N/A,#N/A,FALSE,"M.42"}</definedName>
    <definedName name="____________th2" localSheetId="18">{#N/A,#N/A,FALSE,"M.42"}</definedName>
    <definedName name="____________th2" localSheetId="1">{#N/A,#N/A,FALSE,"M.42"}</definedName>
    <definedName name="____________th2" localSheetId="6">{#N/A,#N/A,FALSE,"M.42"}</definedName>
    <definedName name="____________th2" localSheetId="2">{#N/A,#N/A,FALSE,"M.42"}</definedName>
    <definedName name="____________th2" localSheetId="3">{#N/A,#N/A,FALSE,"M.42"}</definedName>
    <definedName name="____________th2" localSheetId="0">{#N/A,#N/A,FALSE,"M.42"}</definedName>
    <definedName name="____________th2" localSheetId="9">{#N/A,#N/A,FALSE,"M.42"}</definedName>
    <definedName name="____________th2">{#N/A,#N/A,FALSE,"M.42"}</definedName>
    <definedName name="___________kl09" localSheetId="7">{#N/A,#N/A,FALSE,"M.01"}</definedName>
    <definedName name="___________kl09" localSheetId="8">{#N/A,#N/A,FALSE,"M.01"}</definedName>
    <definedName name="___________kl09" localSheetId="14">{#N/A,#N/A,FALSE,"M.01"}</definedName>
    <definedName name="___________kl09" localSheetId="13">{#N/A,#N/A,FALSE,"M.01"}</definedName>
    <definedName name="___________kl09" localSheetId="11">{#N/A,#N/A,FALSE,"M.01"}</definedName>
    <definedName name="___________kl09" localSheetId="12">{#N/A,#N/A,FALSE,"M.01"}</definedName>
    <definedName name="___________kl09" localSheetId="17">{#N/A,#N/A,FALSE,"M.01"}</definedName>
    <definedName name="___________kl09" localSheetId="15">{#N/A,#N/A,FALSE,"M.01"}</definedName>
    <definedName name="___________kl09" localSheetId="16">{#N/A,#N/A,FALSE,"M.01"}</definedName>
    <definedName name="___________kl09" localSheetId="18">{#N/A,#N/A,FALSE,"M.01"}</definedName>
    <definedName name="___________kl09" localSheetId="1">{#N/A,#N/A,FALSE,"M.01"}</definedName>
    <definedName name="___________kl09" localSheetId="6">{#N/A,#N/A,FALSE,"M.01"}</definedName>
    <definedName name="___________kl09" localSheetId="2">{#N/A,#N/A,FALSE,"M.01"}</definedName>
    <definedName name="___________kl09" localSheetId="3">{#N/A,#N/A,FALSE,"M.01"}</definedName>
    <definedName name="___________kl09" localSheetId="0">{#N/A,#N/A,FALSE,"M.01"}</definedName>
    <definedName name="___________kl09" localSheetId="9">{#N/A,#N/A,FALSE,"M.01"}</definedName>
    <definedName name="___________kl09">{#N/A,#N/A,FALSE,"M.01"}</definedName>
    <definedName name="___________RIP2" localSheetId="7">{#N/A,#N/A,FALSE,"M.01"}</definedName>
    <definedName name="___________RIP2" localSheetId="8">{#N/A,#N/A,FALSE,"M.01"}</definedName>
    <definedName name="___________RIP2" localSheetId="14">{#N/A,#N/A,FALSE,"M.01"}</definedName>
    <definedName name="___________RIP2" localSheetId="13">{#N/A,#N/A,FALSE,"M.01"}</definedName>
    <definedName name="___________RIP2" localSheetId="11">{#N/A,#N/A,FALSE,"M.01"}</definedName>
    <definedName name="___________RIP2" localSheetId="12">{#N/A,#N/A,FALSE,"M.01"}</definedName>
    <definedName name="___________RIP2" localSheetId="17">{#N/A,#N/A,FALSE,"M.01"}</definedName>
    <definedName name="___________RIP2" localSheetId="15">{#N/A,#N/A,FALSE,"M.01"}</definedName>
    <definedName name="___________RIP2" localSheetId="16">{#N/A,#N/A,FALSE,"M.01"}</definedName>
    <definedName name="___________RIP2" localSheetId="18">{#N/A,#N/A,FALSE,"M.01"}</definedName>
    <definedName name="___________RIP2" localSheetId="1">{#N/A,#N/A,FALSE,"M.01"}</definedName>
    <definedName name="___________RIP2" localSheetId="6">{#N/A,#N/A,FALSE,"M.01"}</definedName>
    <definedName name="___________RIP2" localSheetId="2">{#N/A,#N/A,FALSE,"M.01"}</definedName>
    <definedName name="___________RIP2" localSheetId="3">{#N/A,#N/A,FALSE,"M.01"}</definedName>
    <definedName name="___________RIP2" localSheetId="0">{#N/A,#N/A,FALSE,"M.01"}</definedName>
    <definedName name="___________RIP2" localSheetId="9">{#N/A,#N/A,FALSE,"M.01"}</definedName>
    <definedName name="___________RIP2">{#N/A,#N/A,FALSE,"M.01"}</definedName>
    <definedName name="___________RIP3" localSheetId="7">{#N/A,#N/A,FALSE,"M.41"}</definedName>
    <definedName name="___________RIP3" localSheetId="8">{#N/A,#N/A,FALSE,"M.41"}</definedName>
    <definedName name="___________RIP3" localSheetId="14">{#N/A,#N/A,FALSE,"M.41"}</definedName>
    <definedName name="___________RIP3" localSheetId="13">{#N/A,#N/A,FALSE,"M.41"}</definedName>
    <definedName name="___________RIP3" localSheetId="11">{#N/A,#N/A,FALSE,"M.41"}</definedName>
    <definedName name="___________RIP3" localSheetId="12">{#N/A,#N/A,FALSE,"M.41"}</definedName>
    <definedName name="___________RIP3" localSheetId="17">{#N/A,#N/A,FALSE,"M.41"}</definedName>
    <definedName name="___________RIP3" localSheetId="15">{#N/A,#N/A,FALSE,"M.41"}</definedName>
    <definedName name="___________RIP3" localSheetId="16">{#N/A,#N/A,FALSE,"M.41"}</definedName>
    <definedName name="___________RIP3" localSheetId="18">{#N/A,#N/A,FALSE,"M.41"}</definedName>
    <definedName name="___________RIP3" localSheetId="1">{#N/A,#N/A,FALSE,"M.41"}</definedName>
    <definedName name="___________RIP3" localSheetId="6">{#N/A,#N/A,FALSE,"M.41"}</definedName>
    <definedName name="___________RIP3" localSheetId="2">{#N/A,#N/A,FALSE,"M.41"}</definedName>
    <definedName name="___________RIP3" localSheetId="3">{#N/A,#N/A,FALSE,"M.41"}</definedName>
    <definedName name="___________RIP3" localSheetId="0">{#N/A,#N/A,FALSE,"M.41"}</definedName>
    <definedName name="___________RIP3" localSheetId="9">{#N/A,#N/A,FALSE,"M.41"}</definedName>
    <definedName name="___________RIP3">{#N/A,#N/A,FALSE,"M.41"}</definedName>
    <definedName name="___________TH1" localSheetId="7">{#N/A,#N/A,FALSE,"M.34"}</definedName>
    <definedName name="___________TH1" localSheetId="8">{#N/A,#N/A,FALSE,"M.34"}</definedName>
    <definedName name="___________TH1" localSheetId="14">{#N/A,#N/A,FALSE,"M.34"}</definedName>
    <definedName name="___________TH1" localSheetId="13">{#N/A,#N/A,FALSE,"M.34"}</definedName>
    <definedName name="___________TH1" localSheetId="11">{#N/A,#N/A,FALSE,"M.34"}</definedName>
    <definedName name="___________TH1" localSheetId="12">{#N/A,#N/A,FALSE,"M.34"}</definedName>
    <definedName name="___________TH1" localSheetId="17">{#N/A,#N/A,FALSE,"M.34"}</definedName>
    <definedName name="___________TH1" localSheetId="15">{#N/A,#N/A,FALSE,"M.34"}</definedName>
    <definedName name="___________TH1" localSheetId="16">{#N/A,#N/A,FALSE,"M.34"}</definedName>
    <definedName name="___________TH1" localSheetId="18">{#N/A,#N/A,FALSE,"M.34"}</definedName>
    <definedName name="___________TH1" localSheetId="1">{#N/A,#N/A,FALSE,"M.34"}</definedName>
    <definedName name="___________TH1" localSheetId="6">{#N/A,#N/A,FALSE,"M.34"}</definedName>
    <definedName name="___________TH1" localSheetId="2">{#N/A,#N/A,FALSE,"M.34"}</definedName>
    <definedName name="___________TH1" localSheetId="3">{#N/A,#N/A,FALSE,"M.34"}</definedName>
    <definedName name="___________TH1" localSheetId="0">{#N/A,#N/A,FALSE,"M.34"}</definedName>
    <definedName name="___________TH1" localSheetId="9">{#N/A,#N/A,FALSE,"M.34"}</definedName>
    <definedName name="___________TH1">{#N/A,#N/A,FALSE,"M.34"}</definedName>
    <definedName name="___________th2" localSheetId="7">{#N/A,#N/A,FALSE,"M.42"}</definedName>
    <definedName name="___________th2" localSheetId="8">{#N/A,#N/A,FALSE,"M.42"}</definedName>
    <definedName name="___________th2" localSheetId="14">{#N/A,#N/A,FALSE,"M.42"}</definedName>
    <definedName name="___________th2" localSheetId="13">{#N/A,#N/A,FALSE,"M.42"}</definedName>
    <definedName name="___________th2" localSheetId="11">{#N/A,#N/A,FALSE,"M.42"}</definedName>
    <definedName name="___________th2" localSheetId="12">{#N/A,#N/A,FALSE,"M.42"}</definedName>
    <definedName name="___________th2" localSheetId="17">{#N/A,#N/A,FALSE,"M.42"}</definedName>
    <definedName name="___________th2" localSheetId="15">{#N/A,#N/A,FALSE,"M.42"}</definedName>
    <definedName name="___________th2" localSheetId="16">{#N/A,#N/A,FALSE,"M.42"}</definedName>
    <definedName name="___________th2" localSheetId="18">{#N/A,#N/A,FALSE,"M.42"}</definedName>
    <definedName name="___________th2" localSheetId="1">{#N/A,#N/A,FALSE,"M.42"}</definedName>
    <definedName name="___________th2" localSheetId="6">{#N/A,#N/A,FALSE,"M.42"}</definedName>
    <definedName name="___________th2" localSheetId="2">{#N/A,#N/A,FALSE,"M.42"}</definedName>
    <definedName name="___________th2" localSheetId="3">{#N/A,#N/A,FALSE,"M.42"}</definedName>
    <definedName name="___________th2" localSheetId="0">{#N/A,#N/A,FALSE,"M.42"}</definedName>
    <definedName name="___________th2" localSheetId="9">{#N/A,#N/A,FALSE,"M.42"}</definedName>
    <definedName name="___________th2">{#N/A,#N/A,FALSE,"M.42"}</definedName>
    <definedName name="__________ERR1" localSheetId="7">{#N/A,#N/A,FALSE,"M.42"}</definedName>
    <definedName name="__________ERR1" localSheetId="8">{#N/A,#N/A,FALSE,"M.42"}</definedName>
    <definedName name="__________ERR1" localSheetId="14">{#N/A,#N/A,FALSE,"M.42"}</definedName>
    <definedName name="__________ERR1" localSheetId="13">{#N/A,#N/A,FALSE,"M.42"}</definedName>
    <definedName name="__________ERR1" localSheetId="11">{#N/A,#N/A,FALSE,"M.42"}</definedName>
    <definedName name="__________ERR1" localSheetId="12">{#N/A,#N/A,FALSE,"M.42"}</definedName>
    <definedName name="__________ERR1" localSheetId="17">{#N/A,#N/A,FALSE,"M.42"}</definedName>
    <definedName name="__________ERR1" localSheetId="15">{#N/A,#N/A,FALSE,"M.42"}</definedName>
    <definedName name="__________ERR1" localSheetId="16">{#N/A,#N/A,FALSE,"M.42"}</definedName>
    <definedName name="__________ERR1" localSheetId="18">{#N/A,#N/A,FALSE,"M.42"}</definedName>
    <definedName name="__________ERR1" localSheetId="1">{#N/A,#N/A,FALSE,"M.42"}</definedName>
    <definedName name="__________ERR1" localSheetId="6">{#N/A,#N/A,FALSE,"M.42"}</definedName>
    <definedName name="__________ERR1" localSheetId="2">{#N/A,#N/A,FALSE,"M.42"}</definedName>
    <definedName name="__________ERR1" localSheetId="3">{#N/A,#N/A,FALSE,"M.42"}</definedName>
    <definedName name="__________ERR1" localSheetId="0">{#N/A,#N/A,FALSE,"M.42"}</definedName>
    <definedName name="__________ERR1" localSheetId="9">{#N/A,#N/A,FALSE,"M.42"}</definedName>
    <definedName name="__________ERR1">{#N/A,#N/A,FALSE,"M.42"}</definedName>
    <definedName name="__________kl09" localSheetId="7">{#N/A,#N/A,FALSE,"M.01"}</definedName>
    <definedName name="__________kl09" localSheetId="8">{#N/A,#N/A,FALSE,"M.01"}</definedName>
    <definedName name="__________kl09" localSheetId="14">{#N/A,#N/A,FALSE,"M.01"}</definedName>
    <definedName name="__________kl09" localSheetId="13">{#N/A,#N/A,FALSE,"M.01"}</definedName>
    <definedName name="__________kl09" localSheetId="11">{#N/A,#N/A,FALSE,"M.01"}</definedName>
    <definedName name="__________kl09" localSheetId="12">{#N/A,#N/A,FALSE,"M.01"}</definedName>
    <definedName name="__________kl09" localSheetId="17">{#N/A,#N/A,FALSE,"M.01"}</definedName>
    <definedName name="__________kl09" localSheetId="15">{#N/A,#N/A,FALSE,"M.01"}</definedName>
    <definedName name="__________kl09" localSheetId="16">{#N/A,#N/A,FALSE,"M.01"}</definedName>
    <definedName name="__________kl09" localSheetId="18">{#N/A,#N/A,FALSE,"M.01"}</definedName>
    <definedName name="__________kl09" localSheetId="1">{#N/A,#N/A,FALSE,"M.01"}</definedName>
    <definedName name="__________kl09" localSheetId="6">{#N/A,#N/A,FALSE,"M.01"}</definedName>
    <definedName name="__________kl09" localSheetId="2">{#N/A,#N/A,FALSE,"M.01"}</definedName>
    <definedName name="__________kl09" localSheetId="3">{#N/A,#N/A,FALSE,"M.01"}</definedName>
    <definedName name="__________kl09" localSheetId="0">{#N/A,#N/A,FALSE,"M.01"}</definedName>
    <definedName name="__________kl09" localSheetId="9">{#N/A,#N/A,FALSE,"M.01"}</definedName>
    <definedName name="__________kl09">{#N/A,#N/A,FALSE,"M.01"}</definedName>
    <definedName name="__________RIP2" localSheetId="7">{#N/A,#N/A,FALSE,"M.01"}</definedName>
    <definedName name="__________RIP2" localSheetId="8">{#N/A,#N/A,FALSE,"M.01"}</definedName>
    <definedName name="__________RIP2" localSheetId="14">{#N/A,#N/A,FALSE,"M.01"}</definedName>
    <definedName name="__________RIP2" localSheetId="13">{#N/A,#N/A,FALSE,"M.01"}</definedName>
    <definedName name="__________RIP2" localSheetId="11">{#N/A,#N/A,FALSE,"M.01"}</definedName>
    <definedName name="__________RIP2" localSheetId="12">{#N/A,#N/A,FALSE,"M.01"}</definedName>
    <definedName name="__________RIP2" localSheetId="17">{#N/A,#N/A,FALSE,"M.01"}</definedName>
    <definedName name="__________RIP2" localSheetId="15">{#N/A,#N/A,FALSE,"M.01"}</definedName>
    <definedName name="__________RIP2" localSheetId="16">{#N/A,#N/A,FALSE,"M.01"}</definedName>
    <definedName name="__________RIP2" localSheetId="18">{#N/A,#N/A,FALSE,"M.01"}</definedName>
    <definedName name="__________RIP2" localSheetId="1">{#N/A,#N/A,FALSE,"M.01"}</definedName>
    <definedName name="__________RIP2" localSheetId="6">{#N/A,#N/A,FALSE,"M.01"}</definedName>
    <definedName name="__________RIP2" localSheetId="2">{#N/A,#N/A,FALSE,"M.01"}</definedName>
    <definedName name="__________RIP2" localSheetId="3">{#N/A,#N/A,FALSE,"M.01"}</definedName>
    <definedName name="__________RIP2" localSheetId="0">{#N/A,#N/A,FALSE,"M.01"}</definedName>
    <definedName name="__________RIP2" localSheetId="9">{#N/A,#N/A,FALSE,"M.01"}</definedName>
    <definedName name="__________RIP2">{#N/A,#N/A,FALSE,"M.01"}</definedName>
    <definedName name="__________RIP3" localSheetId="7">{#N/A,#N/A,FALSE,"M.41"}</definedName>
    <definedName name="__________RIP3" localSheetId="8">{#N/A,#N/A,FALSE,"M.41"}</definedName>
    <definedName name="__________RIP3" localSheetId="14">{#N/A,#N/A,FALSE,"M.41"}</definedName>
    <definedName name="__________RIP3" localSheetId="13">{#N/A,#N/A,FALSE,"M.41"}</definedName>
    <definedName name="__________RIP3" localSheetId="11">{#N/A,#N/A,FALSE,"M.41"}</definedName>
    <definedName name="__________RIP3" localSheetId="12">{#N/A,#N/A,FALSE,"M.41"}</definedName>
    <definedName name="__________RIP3" localSheetId="17">{#N/A,#N/A,FALSE,"M.41"}</definedName>
    <definedName name="__________RIP3" localSheetId="15">{#N/A,#N/A,FALSE,"M.41"}</definedName>
    <definedName name="__________RIP3" localSheetId="16">{#N/A,#N/A,FALSE,"M.41"}</definedName>
    <definedName name="__________RIP3" localSheetId="18">{#N/A,#N/A,FALSE,"M.41"}</definedName>
    <definedName name="__________RIP3" localSheetId="1">{#N/A,#N/A,FALSE,"M.41"}</definedName>
    <definedName name="__________RIP3" localSheetId="6">{#N/A,#N/A,FALSE,"M.41"}</definedName>
    <definedName name="__________RIP3" localSheetId="2">{#N/A,#N/A,FALSE,"M.41"}</definedName>
    <definedName name="__________RIP3" localSheetId="3">{#N/A,#N/A,FALSE,"M.41"}</definedName>
    <definedName name="__________RIP3" localSheetId="0">{#N/A,#N/A,FALSE,"M.41"}</definedName>
    <definedName name="__________RIP3" localSheetId="9">{#N/A,#N/A,FALSE,"M.41"}</definedName>
    <definedName name="__________RIP3">{#N/A,#N/A,FALSE,"M.41"}</definedName>
    <definedName name="__________TH1" localSheetId="7">{#N/A,#N/A,FALSE,"M.34"}</definedName>
    <definedName name="__________TH1" localSheetId="8">{#N/A,#N/A,FALSE,"M.34"}</definedName>
    <definedName name="__________TH1" localSheetId="14">{#N/A,#N/A,FALSE,"M.34"}</definedName>
    <definedName name="__________TH1" localSheetId="13">{#N/A,#N/A,FALSE,"M.34"}</definedName>
    <definedName name="__________TH1" localSheetId="11">{#N/A,#N/A,FALSE,"M.34"}</definedName>
    <definedName name="__________TH1" localSheetId="12">{#N/A,#N/A,FALSE,"M.34"}</definedName>
    <definedName name="__________TH1" localSheetId="17">{#N/A,#N/A,FALSE,"M.34"}</definedName>
    <definedName name="__________TH1" localSheetId="15">{#N/A,#N/A,FALSE,"M.34"}</definedName>
    <definedName name="__________TH1" localSheetId="16">{#N/A,#N/A,FALSE,"M.34"}</definedName>
    <definedName name="__________TH1" localSheetId="18">{#N/A,#N/A,FALSE,"M.34"}</definedName>
    <definedName name="__________TH1" localSheetId="1">{#N/A,#N/A,FALSE,"M.34"}</definedName>
    <definedName name="__________TH1" localSheetId="6">{#N/A,#N/A,FALSE,"M.34"}</definedName>
    <definedName name="__________TH1" localSheetId="2">{#N/A,#N/A,FALSE,"M.34"}</definedName>
    <definedName name="__________TH1" localSheetId="3">{#N/A,#N/A,FALSE,"M.34"}</definedName>
    <definedName name="__________TH1" localSheetId="0">{#N/A,#N/A,FALSE,"M.34"}</definedName>
    <definedName name="__________TH1" localSheetId="9">{#N/A,#N/A,FALSE,"M.34"}</definedName>
    <definedName name="__________TH1">{#N/A,#N/A,FALSE,"M.34"}</definedName>
    <definedName name="__________th2" localSheetId="7">{#N/A,#N/A,FALSE,"M.42"}</definedName>
    <definedName name="__________th2" localSheetId="8">{#N/A,#N/A,FALSE,"M.42"}</definedName>
    <definedName name="__________th2" localSheetId="14">{#N/A,#N/A,FALSE,"M.42"}</definedName>
    <definedName name="__________th2" localSheetId="13">{#N/A,#N/A,FALSE,"M.42"}</definedName>
    <definedName name="__________th2" localSheetId="11">{#N/A,#N/A,FALSE,"M.42"}</definedName>
    <definedName name="__________th2" localSheetId="12">{#N/A,#N/A,FALSE,"M.42"}</definedName>
    <definedName name="__________th2" localSheetId="17">{#N/A,#N/A,FALSE,"M.42"}</definedName>
    <definedName name="__________th2" localSheetId="15">{#N/A,#N/A,FALSE,"M.42"}</definedName>
    <definedName name="__________th2" localSheetId="16">{#N/A,#N/A,FALSE,"M.42"}</definedName>
    <definedName name="__________th2" localSheetId="18">{#N/A,#N/A,FALSE,"M.42"}</definedName>
    <definedName name="__________th2" localSheetId="1">{#N/A,#N/A,FALSE,"M.42"}</definedName>
    <definedName name="__________th2" localSheetId="6">{#N/A,#N/A,FALSE,"M.42"}</definedName>
    <definedName name="__________th2" localSheetId="2">{#N/A,#N/A,FALSE,"M.42"}</definedName>
    <definedName name="__________th2" localSheetId="3">{#N/A,#N/A,FALSE,"M.42"}</definedName>
    <definedName name="__________th2" localSheetId="0">{#N/A,#N/A,FALSE,"M.42"}</definedName>
    <definedName name="__________th2" localSheetId="9">{#N/A,#N/A,FALSE,"M.42"}</definedName>
    <definedName name="__________th2">{#N/A,#N/A,FALSE,"M.42"}</definedName>
    <definedName name="_________kl09" localSheetId="7">{#N/A,#N/A,FALSE,"M.01"}</definedName>
    <definedName name="_________kl09" localSheetId="8">{#N/A,#N/A,FALSE,"M.01"}</definedName>
    <definedName name="_________kl09" localSheetId="14">{#N/A,#N/A,FALSE,"M.01"}</definedName>
    <definedName name="_________kl09" localSheetId="13">{#N/A,#N/A,FALSE,"M.01"}</definedName>
    <definedName name="_________kl09" localSheetId="11">{#N/A,#N/A,FALSE,"M.01"}</definedName>
    <definedName name="_________kl09" localSheetId="12">{#N/A,#N/A,FALSE,"M.01"}</definedName>
    <definedName name="_________kl09" localSheetId="17">{#N/A,#N/A,FALSE,"M.01"}</definedName>
    <definedName name="_________kl09" localSheetId="15">{#N/A,#N/A,FALSE,"M.01"}</definedName>
    <definedName name="_________kl09" localSheetId="16">{#N/A,#N/A,FALSE,"M.01"}</definedName>
    <definedName name="_________kl09" localSheetId="18">{#N/A,#N/A,FALSE,"M.01"}</definedName>
    <definedName name="_________kl09" localSheetId="1">{#N/A,#N/A,FALSE,"M.01"}</definedName>
    <definedName name="_________kl09" localSheetId="6">{#N/A,#N/A,FALSE,"M.01"}</definedName>
    <definedName name="_________kl09" localSheetId="2">{#N/A,#N/A,FALSE,"M.01"}</definedName>
    <definedName name="_________kl09" localSheetId="3">{#N/A,#N/A,FALSE,"M.01"}</definedName>
    <definedName name="_________kl09" localSheetId="0">{#N/A,#N/A,FALSE,"M.01"}</definedName>
    <definedName name="_________kl09" localSheetId="9">{#N/A,#N/A,FALSE,"M.01"}</definedName>
    <definedName name="_________kl09">{#N/A,#N/A,FALSE,"M.01"}</definedName>
    <definedName name="_________RIP2" localSheetId="7">{#N/A,#N/A,FALSE,"M.01"}</definedName>
    <definedName name="_________RIP2" localSheetId="8">{#N/A,#N/A,FALSE,"M.01"}</definedName>
    <definedName name="_________RIP2" localSheetId="14">{#N/A,#N/A,FALSE,"M.01"}</definedName>
    <definedName name="_________RIP2" localSheetId="13">{#N/A,#N/A,FALSE,"M.01"}</definedName>
    <definedName name="_________RIP2" localSheetId="11">{#N/A,#N/A,FALSE,"M.01"}</definedName>
    <definedName name="_________RIP2" localSheetId="12">{#N/A,#N/A,FALSE,"M.01"}</definedName>
    <definedName name="_________RIP2" localSheetId="17">{#N/A,#N/A,FALSE,"M.01"}</definedName>
    <definedName name="_________RIP2" localSheetId="15">{#N/A,#N/A,FALSE,"M.01"}</definedName>
    <definedName name="_________RIP2" localSheetId="16">{#N/A,#N/A,FALSE,"M.01"}</definedName>
    <definedName name="_________RIP2" localSheetId="18">{#N/A,#N/A,FALSE,"M.01"}</definedName>
    <definedName name="_________RIP2" localSheetId="1">{#N/A,#N/A,FALSE,"M.01"}</definedName>
    <definedName name="_________RIP2" localSheetId="6">{#N/A,#N/A,FALSE,"M.01"}</definedName>
    <definedName name="_________RIP2" localSheetId="2">{#N/A,#N/A,FALSE,"M.01"}</definedName>
    <definedName name="_________RIP2" localSheetId="3">{#N/A,#N/A,FALSE,"M.01"}</definedName>
    <definedName name="_________RIP2" localSheetId="0">{#N/A,#N/A,FALSE,"M.01"}</definedName>
    <definedName name="_________RIP2" localSheetId="9">{#N/A,#N/A,FALSE,"M.01"}</definedName>
    <definedName name="_________RIP2">{#N/A,#N/A,FALSE,"M.01"}</definedName>
    <definedName name="_________RIP3" localSheetId="7">{#N/A,#N/A,FALSE,"M.41"}</definedName>
    <definedName name="_________RIP3" localSheetId="8">{#N/A,#N/A,FALSE,"M.41"}</definedName>
    <definedName name="_________RIP3" localSheetId="14">{#N/A,#N/A,FALSE,"M.41"}</definedName>
    <definedName name="_________RIP3" localSheetId="13">{#N/A,#N/A,FALSE,"M.41"}</definedName>
    <definedName name="_________RIP3" localSheetId="11">{#N/A,#N/A,FALSE,"M.41"}</definedName>
    <definedName name="_________RIP3" localSheetId="12">{#N/A,#N/A,FALSE,"M.41"}</definedName>
    <definedName name="_________RIP3" localSheetId="17">{#N/A,#N/A,FALSE,"M.41"}</definedName>
    <definedName name="_________RIP3" localSheetId="15">{#N/A,#N/A,FALSE,"M.41"}</definedName>
    <definedName name="_________RIP3" localSheetId="16">{#N/A,#N/A,FALSE,"M.41"}</definedName>
    <definedName name="_________RIP3" localSheetId="18">{#N/A,#N/A,FALSE,"M.41"}</definedName>
    <definedName name="_________RIP3" localSheetId="1">{#N/A,#N/A,FALSE,"M.41"}</definedName>
    <definedName name="_________RIP3" localSheetId="6">{#N/A,#N/A,FALSE,"M.41"}</definedName>
    <definedName name="_________RIP3" localSheetId="2">{#N/A,#N/A,FALSE,"M.41"}</definedName>
    <definedName name="_________RIP3" localSheetId="3">{#N/A,#N/A,FALSE,"M.41"}</definedName>
    <definedName name="_________RIP3" localSheetId="0">{#N/A,#N/A,FALSE,"M.41"}</definedName>
    <definedName name="_________RIP3" localSheetId="9">{#N/A,#N/A,FALSE,"M.41"}</definedName>
    <definedName name="_________RIP3">{#N/A,#N/A,FALSE,"M.41"}</definedName>
    <definedName name="_________TH1" localSheetId="7">{#N/A,#N/A,FALSE,"M.34"}</definedName>
    <definedName name="_________TH1" localSheetId="8">{#N/A,#N/A,FALSE,"M.34"}</definedName>
    <definedName name="_________TH1" localSheetId="14">{#N/A,#N/A,FALSE,"M.34"}</definedName>
    <definedName name="_________TH1" localSheetId="13">{#N/A,#N/A,FALSE,"M.34"}</definedName>
    <definedName name="_________TH1" localSheetId="11">{#N/A,#N/A,FALSE,"M.34"}</definedName>
    <definedName name="_________TH1" localSheetId="12">{#N/A,#N/A,FALSE,"M.34"}</definedName>
    <definedName name="_________TH1" localSheetId="17">{#N/A,#N/A,FALSE,"M.34"}</definedName>
    <definedName name="_________TH1" localSheetId="15">{#N/A,#N/A,FALSE,"M.34"}</definedName>
    <definedName name="_________TH1" localSheetId="16">{#N/A,#N/A,FALSE,"M.34"}</definedName>
    <definedName name="_________TH1" localSheetId="18">{#N/A,#N/A,FALSE,"M.34"}</definedName>
    <definedName name="_________TH1" localSheetId="1">{#N/A,#N/A,FALSE,"M.34"}</definedName>
    <definedName name="_________TH1" localSheetId="6">{#N/A,#N/A,FALSE,"M.34"}</definedName>
    <definedName name="_________TH1" localSheetId="2">{#N/A,#N/A,FALSE,"M.34"}</definedName>
    <definedName name="_________TH1" localSheetId="3">{#N/A,#N/A,FALSE,"M.34"}</definedName>
    <definedName name="_________TH1" localSheetId="0">{#N/A,#N/A,FALSE,"M.34"}</definedName>
    <definedName name="_________TH1" localSheetId="9">{#N/A,#N/A,FALSE,"M.34"}</definedName>
    <definedName name="_________TH1">{#N/A,#N/A,FALSE,"M.34"}</definedName>
    <definedName name="_________th2" localSheetId="7">{#N/A,#N/A,FALSE,"M.42"}</definedName>
    <definedName name="_________th2" localSheetId="8">{#N/A,#N/A,FALSE,"M.42"}</definedName>
    <definedName name="_________th2" localSheetId="14">{#N/A,#N/A,FALSE,"M.42"}</definedName>
    <definedName name="_________th2" localSheetId="13">{#N/A,#N/A,FALSE,"M.42"}</definedName>
    <definedName name="_________th2" localSheetId="11">{#N/A,#N/A,FALSE,"M.42"}</definedName>
    <definedName name="_________th2" localSheetId="12">{#N/A,#N/A,FALSE,"M.42"}</definedName>
    <definedName name="_________th2" localSheetId="17">{#N/A,#N/A,FALSE,"M.42"}</definedName>
    <definedName name="_________th2" localSheetId="15">{#N/A,#N/A,FALSE,"M.42"}</definedName>
    <definedName name="_________th2" localSheetId="16">{#N/A,#N/A,FALSE,"M.42"}</definedName>
    <definedName name="_________th2" localSheetId="18">{#N/A,#N/A,FALSE,"M.42"}</definedName>
    <definedName name="_________th2" localSheetId="1">{#N/A,#N/A,FALSE,"M.42"}</definedName>
    <definedName name="_________th2" localSheetId="6">{#N/A,#N/A,FALSE,"M.42"}</definedName>
    <definedName name="_________th2" localSheetId="2">{#N/A,#N/A,FALSE,"M.42"}</definedName>
    <definedName name="_________th2" localSheetId="3">{#N/A,#N/A,FALSE,"M.42"}</definedName>
    <definedName name="_________th2" localSheetId="0">{#N/A,#N/A,FALSE,"M.42"}</definedName>
    <definedName name="_________th2" localSheetId="9">{#N/A,#N/A,FALSE,"M.42"}</definedName>
    <definedName name="_________th2">{#N/A,#N/A,FALSE,"M.42"}</definedName>
    <definedName name="________ERR1" localSheetId="7">{#N/A,#N/A,FALSE,"M.42"}</definedName>
    <definedName name="________ERR1" localSheetId="8">{#N/A,#N/A,FALSE,"M.42"}</definedName>
    <definedName name="________ERR1" localSheetId="14">{#N/A,#N/A,FALSE,"M.42"}</definedName>
    <definedName name="________ERR1" localSheetId="13">{#N/A,#N/A,FALSE,"M.42"}</definedName>
    <definedName name="________ERR1" localSheetId="11">{#N/A,#N/A,FALSE,"M.42"}</definedName>
    <definedName name="________ERR1" localSheetId="12">{#N/A,#N/A,FALSE,"M.42"}</definedName>
    <definedName name="________ERR1" localSheetId="17">{#N/A,#N/A,FALSE,"M.42"}</definedName>
    <definedName name="________ERR1" localSheetId="15">{#N/A,#N/A,FALSE,"M.42"}</definedName>
    <definedName name="________ERR1" localSheetId="16">{#N/A,#N/A,FALSE,"M.42"}</definedName>
    <definedName name="________ERR1" localSheetId="18">{#N/A,#N/A,FALSE,"M.42"}</definedName>
    <definedName name="________ERR1" localSheetId="1">{#N/A,#N/A,FALSE,"M.42"}</definedName>
    <definedName name="________ERR1" localSheetId="6">{#N/A,#N/A,FALSE,"M.42"}</definedName>
    <definedName name="________ERR1" localSheetId="2">{#N/A,#N/A,FALSE,"M.42"}</definedName>
    <definedName name="________ERR1" localSheetId="3">{#N/A,#N/A,FALSE,"M.42"}</definedName>
    <definedName name="________ERR1" localSheetId="0">{#N/A,#N/A,FALSE,"M.42"}</definedName>
    <definedName name="________ERR1" localSheetId="9">{#N/A,#N/A,FALSE,"M.42"}</definedName>
    <definedName name="________ERR1">{#N/A,#N/A,FALSE,"M.42"}</definedName>
    <definedName name="________kl09" localSheetId="7">{#N/A,#N/A,FALSE,"M.01"}</definedName>
    <definedName name="________kl09" localSheetId="8">{#N/A,#N/A,FALSE,"M.01"}</definedName>
    <definedName name="________kl09" localSheetId="14">{#N/A,#N/A,FALSE,"M.01"}</definedName>
    <definedName name="________kl09" localSheetId="13">{#N/A,#N/A,FALSE,"M.01"}</definedName>
    <definedName name="________kl09" localSheetId="11">{#N/A,#N/A,FALSE,"M.01"}</definedName>
    <definedName name="________kl09" localSheetId="12">{#N/A,#N/A,FALSE,"M.01"}</definedName>
    <definedName name="________kl09" localSheetId="17">{#N/A,#N/A,FALSE,"M.01"}</definedName>
    <definedName name="________kl09" localSheetId="15">{#N/A,#N/A,FALSE,"M.01"}</definedName>
    <definedName name="________kl09" localSheetId="16">{#N/A,#N/A,FALSE,"M.01"}</definedName>
    <definedName name="________kl09" localSheetId="18">{#N/A,#N/A,FALSE,"M.01"}</definedName>
    <definedName name="________kl09" localSheetId="1">{#N/A,#N/A,FALSE,"M.01"}</definedName>
    <definedName name="________kl09" localSheetId="6">{#N/A,#N/A,FALSE,"M.01"}</definedName>
    <definedName name="________kl09" localSheetId="2">{#N/A,#N/A,FALSE,"M.01"}</definedName>
    <definedName name="________kl09" localSheetId="3">{#N/A,#N/A,FALSE,"M.01"}</definedName>
    <definedName name="________kl09" localSheetId="0">{#N/A,#N/A,FALSE,"M.01"}</definedName>
    <definedName name="________kl09" localSheetId="9">{#N/A,#N/A,FALSE,"M.01"}</definedName>
    <definedName name="________kl09">{#N/A,#N/A,FALSE,"M.01"}</definedName>
    <definedName name="________RIP2" localSheetId="7">{#N/A,#N/A,FALSE,"M.01"}</definedName>
    <definedName name="________RIP2" localSheetId="8">{#N/A,#N/A,FALSE,"M.01"}</definedName>
    <definedName name="________RIP2" localSheetId="14">{#N/A,#N/A,FALSE,"M.01"}</definedName>
    <definedName name="________RIP2" localSheetId="13">{#N/A,#N/A,FALSE,"M.01"}</definedName>
    <definedName name="________RIP2" localSheetId="11">{#N/A,#N/A,FALSE,"M.01"}</definedName>
    <definedName name="________RIP2" localSheetId="12">{#N/A,#N/A,FALSE,"M.01"}</definedName>
    <definedName name="________RIP2" localSheetId="17">{#N/A,#N/A,FALSE,"M.01"}</definedName>
    <definedName name="________RIP2" localSheetId="15">{#N/A,#N/A,FALSE,"M.01"}</definedName>
    <definedName name="________RIP2" localSheetId="16">{#N/A,#N/A,FALSE,"M.01"}</definedName>
    <definedName name="________RIP2" localSheetId="18">{#N/A,#N/A,FALSE,"M.01"}</definedName>
    <definedName name="________RIP2" localSheetId="1">{#N/A,#N/A,FALSE,"M.01"}</definedName>
    <definedName name="________RIP2" localSheetId="6">{#N/A,#N/A,FALSE,"M.01"}</definedName>
    <definedName name="________RIP2" localSheetId="2">{#N/A,#N/A,FALSE,"M.01"}</definedName>
    <definedName name="________RIP2" localSheetId="3">{#N/A,#N/A,FALSE,"M.01"}</definedName>
    <definedName name="________RIP2" localSheetId="0">{#N/A,#N/A,FALSE,"M.01"}</definedName>
    <definedName name="________RIP2" localSheetId="9">{#N/A,#N/A,FALSE,"M.01"}</definedName>
    <definedName name="________RIP2">{#N/A,#N/A,FALSE,"M.01"}</definedName>
    <definedName name="________RIP3" localSheetId="7">{#N/A,#N/A,FALSE,"M.41"}</definedName>
    <definedName name="________RIP3" localSheetId="8">{#N/A,#N/A,FALSE,"M.41"}</definedName>
    <definedName name="________RIP3" localSheetId="14">{#N/A,#N/A,FALSE,"M.41"}</definedName>
    <definedName name="________RIP3" localSheetId="13">{#N/A,#N/A,FALSE,"M.41"}</definedName>
    <definedName name="________RIP3" localSheetId="11">{#N/A,#N/A,FALSE,"M.41"}</definedName>
    <definedName name="________RIP3" localSheetId="12">{#N/A,#N/A,FALSE,"M.41"}</definedName>
    <definedName name="________RIP3" localSheetId="17">{#N/A,#N/A,FALSE,"M.41"}</definedName>
    <definedName name="________RIP3" localSheetId="15">{#N/A,#N/A,FALSE,"M.41"}</definedName>
    <definedName name="________RIP3" localSheetId="16">{#N/A,#N/A,FALSE,"M.41"}</definedName>
    <definedName name="________RIP3" localSheetId="18">{#N/A,#N/A,FALSE,"M.41"}</definedName>
    <definedName name="________RIP3" localSheetId="1">{#N/A,#N/A,FALSE,"M.41"}</definedName>
    <definedName name="________RIP3" localSheetId="6">{#N/A,#N/A,FALSE,"M.41"}</definedName>
    <definedName name="________RIP3" localSheetId="2">{#N/A,#N/A,FALSE,"M.41"}</definedName>
    <definedName name="________RIP3" localSheetId="3">{#N/A,#N/A,FALSE,"M.41"}</definedName>
    <definedName name="________RIP3" localSheetId="0">{#N/A,#N/A,FALSE,"M.41"}</definedName>
    <definedName name="________RIP3" localSheetId="9">{#N/A,#N/A,FALSE,"M.41"}</definedName>
    <definedName name="________RIP3">{#N/A,#N/A,FALSE,"M.41"}</definedName>
    <definedName name="________TH1" localSheetId="7">{#N/A,#N/A,FALSE,"M.34"}</definedName>
    <definedName name="________TH1" localSheetId="8">{#N/A,#N/A,FALSE,"M.34"}</definedName>
    <definedName name="________TH1" localSheetId="14">{#N/A,#N/A,FALSE,"M.34"}</definedName>
    <definedName name="________TH1" localSheetId="13">{#N/A,#N/A,FALSE,"M.34"}</definedName>
    <definedName name="________TH1" localSheetId="11">{#N/A,#N/A,FALSE,"M.34"}</definedName>
    <definedName name="________TH1" localSheetId="12">{#N/A,#N/A,FALSE,"M.34"}</definedName>
    <definedName name="________TH1" localSheetId="17">{#N/A,#N/A,FALSE,"M.34"}</definedName>
    <definedName name="________TH1" localSheetId="15">{#N/A,#N/A,FALSE,"M.34"}</definedName>
    <definedName name="________TH1" localSheetId="16">{#N/A,#N/A,FALSE,"M.34"}</definedName>
    <definedName name="________TH1" localSheetId="18">{#N/A,#N/A,FALSE,"M.34"}</definedName>
    <definedName name="________TH1" localSheetId="1">{#N/A,#N/A,FALSE,"M.34"}</definedName>
    <definedName name="________TH1" localSheetId="6">{#N/A,#N/A,FALSE,"M.34"}</definedName>
    <definedName name="________TH1" localSheetId="2">{#N/A,#N/A,FALSE,"M.34"}</definedName>
    <definedName name="________TH1" localSheetId="3">{#N/A,#N/A,FALSE,"M.34"}</definedName>
    <definedName name="________TH1" localSheetId="0">{#N/A,#N/A,FALSE,"M.34"}</definedName>
    <definedName name="________TH1" localSheetId="9">{#N/A,#N/A,FALSE,"M.34"}</definedName>
    <definedName name="________TH1">{#N/A,#N/A,FALSE,"M.34"}</definedName>
    <definedName name="________th2" localSheetId="7">{#N/A,#N/A,FALSE,"M.42"}</definedName>
    <definedName name="________th2" localSheetId="8">{#N/A,#N/A,FALSE,"M.42"}</definedName>
    <definedName name="________th2" localSheetId="14">{#N/A,#N/A,FALSE,"M.42"}</definedName>
    <definedName name="________th2" localSheetId="13">{#N/A,#N/A,FALSE,"M.42"}</definedName>
    <definedName name="________th2" localSheetId="11">{#N/A,#N/A,FALSE,"M.42"}</definedName>
    <definedName name="________th2" localSheetId="12">{#N/A,#N/A,FALSE,"M.42"}</definedName>
    <definedName name="________th2" localSheetId="17">{#N/A,#N/A,FALSE,"M.42"}</definedName>
    <definedName name="________th2" localSheetId="15">{#N/A,#N/A,FALSE,"M.42"}</definedName>
    <definedName name="________th2" localSheetId="16">{#N/A,#N/A,FALSE,"M.42"}</definedName>
    <definedName name="________th2" localSheetId="18">{#N/A,#N/A,FALSE,"M.42"}</definedName>
    <definedName name="________th2" localSheetId="1">{#N/A,#N/A,FALSE,"M.42"}</definedName>
    <definedName name="________th2" localSheetId="6">{#N/A,#N/A,FALSE,"M.42"}</definedName>
    <definedName name="________th2" localSheetId="2">{#N/A,#N/A,FALSE,"M.42"}</definedName>
    <definedName name="________th2" localSheetId="3">{#N/A,#N/A,FALSE,"M.42"}</definedName>
    <definedName name="________th2" localSheetId="0">{#N/A,#N/A,FALSE,"M.42"}</definedName>
    <definedName name="________th2" localSheetId="9">{#N/A,#N/A,FALSE,"M.42"}</definedName>
    <definedName name="________th2">{#N/A,#N/A,FALSE,"M.42"}</definedName>
    <definedName name="_______kl09" localSheetId="7">{#N/A,#N/A,FALSE,"M.01"}</definedName>
    <definedName name="_______kl09" localSheetId="8">{#N/A,#N/A,FALSE,"M.01"}</definedName>
    <definedName name="_______kl09" localSheetId="14">{#N/A,#N/A,FALSE,"M.01"}</definedName>
    <definedName name="_______kl09" localSheetId="13">{#N/A,#N/A,FALSE,"M.01"}</definedName>
    <definedName name="_______kl09" localSheetId="11">{#N/A,#N/A,FALSE,"M.01"}</definedName>
    <definedName name="_______kl09" localSheetId="12">{#N/A,#N/A,FALSE,"M.01"}</definedName>
    <definedName name="_______kl09" localSheetId="17">{#N/A,#N/A,FALSE,"M.01"}</definedName>
    <definedName name="_______kl09" localSheetId="15">{#N/A,#N/A,FALSE,"M.01"}</definedName>
    <definedName name="_______kl09" localSheetId="16">{#N/A,#N/A,FALSE,"M.01"}</definedName>
    <definedName name="_______kl09" localSheetId="18">{#N/A,#N/A,FALSE,"M.01"}</definedName>
    <definedName name="_______kl09" localSheetId="1">{#N/A,#N/A,FALSE,"M.01"}</definedName>
    <definedName name="_______kl09" localSheetId="6">{#N/A,#N/A,FALSE,"M.01"}</definedName>
    <definedName name="_______kl09" localSheetId="2">{#N/A,#N/A,FALSE,"M.01"}</definedName>
    <definedName name="_______kl09" localSheetId="3">{#N/A,#N/A,FALSE,"M.01"}</definedName>
    <definedName name="_______kl09" localSheetId="0">{#N/A,#N/A,FALSE,"M.01"}</definedName>
    <definedName name="_______kl09" localSheetId="9">{#N/A,#N/A,FALSE,"M.01"}</definedName>
    <definedName name="_______kl09">{#N/A,#N/A,FALSE,"M.01"}</definedName>
    <definedName name="_______RIP2" localSheetId="7">{#N/A,#N/A,FALSE,"M.01"}</definedName>
    <definedName name="_______RIP2" localSheetId="8">{#N/A,#N/A,FALSE,"M.01"}</definedName>
    <definedName name="_______RIP2" localSheetId="14">{#N/A,#N/A,FALSE,"M.01"}</definedName>
    <definedName name="_______RIP2" localSheetId="13">{#N/A,#N/A,FALSE,"M.01"}</definedName>
    <definedName name="_______RIP2" localSheetId="11">{#N/A,#N/A,FALSE,"M.01"}</definedName>
    <definedName name="_______RIP2" localSheetId="12">{#N/A,#N/A,FALSE,"M.01"}</definedName>
    <definedName name="_______RIP2" localSheetId="17">{#N/A,#N/A,FALSE,"M.01"}</definedName>
    <definedName name="_______RIP2" localSheetId="15">{#N/A,#N/A,FALSE,"M.01"}</definedName>
    <definedName name="_______RIP2" localSheetId="16">{#N/A,#N/A,FALSE,"M.01"}</definedName>
    <definedName name="_______RIP2" localSheetId="18">{#N/A,#N/A,FALSE,"M.01"}</definedName>
    <definedName name="_______RIP2" localSheetId="1">{#N/A,#N/A,FALSE,"M.01"}</definedName>
    <definedName name="_______RIP2" localSheetId="6">{#N/A,#N/A,FALSE,"M.01"}</definedName>
    <definedName name="_______RIP2" localSheetId="2">{#N/A,#N/A,FALSE,"M.01"}</definedName>
    <definedName name="_______RIP2" localSheetId="3">{#N/A,#N/A,FALSE,"M.01"}</definedName>
    <definedName name="_______RIP2" localSheetId="0">{#N/A,#N/A,FALSE,"M.01"}</definedName>
    <definedName name="_______RIP2" localSheetId="9">{#N/A,#N/A,FALSE,"M.01"}</definedName>
    <definedName name="_______RIP2">{#N/A,#N/A,FALSE,"M.01"}</definedName>
    <definedName name="_______RIP3" localSheetId="7">{#N/A,#N/A,FALSE,"M.41"}</definedName>
    <definedName name="_______RIP3" localSheetId="8">{#N/A,#N/A,FALSE,"M.41"}</definedName>
    <definedName name="_______RIP3" localSheetId="14">{#N/A,#N/A,FALSE,"M.41"}</definedName>
    <definedName name="_______RIP3" localSheetId="13">{#N/A,#N/A,FALSE,"M.41"}</definedName>
    <definedName name="_______RIP3" localSheetId="11">{#N/A,#N/A,FALSE,"M.41"}</definedName>
    <definedName name="_______RIP3" localSheetId="12">{#N/A,#N/A,FALSE,"M.41"}</definedName>
    <definedName name="_______RIP3" localSheetId="17">{#N/A,#N/A,FALSE,"M.41"}</definedName>
    <definedName name="_______RIP3" localSheetId="15">{#N/A,#N/A,FALSE,"M.41"}</definedName>
    <definedName name="_______RIP3" localSheetId="16">{#N/A,#N/A,FALSE,"M.41"}</definedName>
    <definedName name="_______RIP3" localSheetId="18">{#N/A,#N/A,FALSE,"M.41"}</definedName>
    <definedName name="_______RIP3" localSheetId="1">{#N/A,#N/A,FALSE,"M.41"}</definedName>
    <definedName name="_______RIP3" localSheetId="6">{#N/A,#N/A,FALSE,"M.41"}</definedName>
    <definedName name="_______RIP3" localSheetId="2">{#N/A,#N/A,FALSE,"M.41"}</definedName>
    <definedName name="_______RIP3" localSheetId="3">{#N/A,#N/A,FALSE,"M.41"}</definedName>
    <definedName name="_______RIP3" localSheetId="0">{#N/A,#N/A,FALSE,"M.41"}</definedName>
    <definedName name="_______RIP3" localSheetId="9">{#N/A,#N/A,FALSE,"M.41"}</definedName>
    <definedName name="_______RIP3">{#N/A,#N/A,FALSE,"M.41"}</definedName>
    <definedName name="_______TH1" localSheetId="7">{#N/A,#N/A,FALSE,"M.34"}</definedName>
    <definedName name="_______TH1" localSheetId="8">{#N/A,#N/A,FALSE,"M.34"}</definedName>
    <definedName name="_______TH1" localSheetId="14">{#N/A,#N/A,FALSE,"M.34"}</definedName>
    <definedName name="_______TH1" localSheetId="13">{#N/A,#N/A,FALSE,"M.34"}</definedName>
    <definedName name="_______TH1" localSheetId="11">{#N/A,#N/A,FALSE,"M.34"}</definedName>
    <definedName name="_______TH1" localSheetId="12">{#N/A,#N/A,FALSE,"M.34"}</definedName>
    <definedName name="_______TH1" localSheetId="17">{#N/A,#N/A,FALSE,"M.34"}</definedName>
    <definedName name="_______TH1" localSheetId="15">{#N/A,#N/A,FALSE,"M.34"}</definedName>
    <definedName name="_______TH1" localSheetId="16">{#N/A,#N/A,FALSE,"M.34"}</definedName>
    <definedName name="_______TH1" localSheetId="18">{#N/A,#N/A,FALSE,"M.34"}</definedName>
    <definedName name="_______TH1" localSheetId="1">{#N/A,#N/A,FALSE,"M.34"}</definedName>
    <definedName name="_______TH1" localSheetId="6">{#N/A,#N/A,FALSE,"M.34"}</definedName>
    <definedName name="_______TH1" localSheetId="2">{#N/A,#N/A,FALSE,"M.34"}</definedName>
    <definedName name="_______TH1" localSheetId="3">{#N/A,#N/A,FALSE,"M.34"}</definedName>
    <definedName name="_______TH1" localSheetId="0">{#N/A,#N/A,FALSE,"M.34"}</definedName>
    <definedName name="_______TH1" localSheetId="9">{#N/A,#N/A,FALSE,"M.34"}</definedName>
    <definedName name="_______TH1">{#N/A,#N/A,FALSE,"M.34"}</definedName>
    <definedName name="_______th2" localSheetId="7">{#N/A,#N/A,FALSE,"M.42"}</definedName>
    <definedName name="_______th2" localSheetId="8">{#N/A,#N/A,FALSE,"M.42"}</definedName>
    <definedName name="_______th2" localSheetId="14">{#N/A,#N/A,FALSE,"M.42"}</definedName>
    <definedName name="_______th2" localSheetId="13">{#N/A,#N/A,FALSE,"M.42"}</definedName>
    <definedName name="_______th2" localSheetId="11">{#N/A,#N/A,FALSE,"M.42"}</definedName>
    <definedName name="_______th2" localSheetId="12">{#N/A,#N/A,FALSE,"M.42"}</definedName>
    <definedName name="_______th2" localSheetId="17">{#N/A,#N/A,FALSE,"M.42"}</definedName>
    <definedName name="_______th2" localSheetId="15">{#N/A,#N/A,FALSE,"M.42"}</definedName>
    <definedName name="_______th2" localSheetId="16">{#N/A,#N/A,FALSE,"M.42"}</definedName>
    <definedName name="_______th2" localSheetId="18">{#N/A,#N/A,FALSE,"M.42"}</definedName>
    <definedName name="_______th2" localSheetId="1">{#N/A,#N/A,FALSE,"M.42"}</definedName>
    <definedName name="_______th2" localSheetId="6">{#N/A,#N/A,FALSE,"M.42"}</definedName>
    <definedName name="_______th2" localSheetId="2">{#N/A,#N/A,FALSE,"M.42"}</definedName>
    <definedName name="_______th2" localSheetId="3">{#N/A,#N/A,FALSE,"M.42"}</definedName>
    <definedName name="_______th2" localSheetId="0">{#N/A,#N/A,FALSE,"M.42"}</definedName>
    <definedName name="_______th2" localSheetId="9">{#N/A,#N/A,FALSE,"M.42"}</definedName>
    <definedName name="_______th2">{#N/A,#N/A,FALSE,"M.42"}</definedName>
    <definedName name="______ERR1" localSheetId="7">{#N/A,#N/A,FALSE,"M.42"}</definedName>
    <definedName name="______ERR1" localSheetId="8">{#N/A,#N/A,FALSE,"M.42"}</definedName>
    <definedName name="______ERR1" localSheetId="14">{#N/A,#N/A,FALSE,"M.42"}</definedName>
    <definedName name="______ERR1" localSheetId="13">{#N/A,#N/A,FALSE,"M.42"}</definedName>
    <definedName name="______ERR1" localSheetId="11">{#N/A,#N/A,FALSE,"M.42"}</definedName>
    <definedName name="______ERR1" localSheetId="12">{#N/A,#N/A,FALSE,"M.42"}</definedName>
    <definedName name="______ERR1" localSheetId="17">{#N/A,#N/A,FALSE,"M.42"}</definedName>
    <definedName name="______ERR1" localSheetId="15">{#N/A,#N/A,FALSE,"M.42"}</definedName>
    <definedName name="______ERR1" localSheetId="16">{#N/A,#N/A,FALSE,"M.42"}</definedName>
    <definedName name="______ERR1" localSheetId="18">{#N/A,#N/A,FALSE,"M.42"}</definedName>
    <definedName name="______ERR1" localSheetId="1">{#N/A,#N/A,FALSE,"M.42"}</definedName>
    <definedName name="______ERR1" localSheetId="6">{#N/A,#N/A,FALSE,"M.42"}</definedName>
    <definedName name="______ERR1" localSheetId="2">{#N/A,#N/A,FALSE,"M.42"}</definedName>
    <definedName name="______ERR1" localSheetId="3">{#N/A,#N/A,FALSE,"M.42"}</definedName>
    <definedName name="______ERR1" localSheetId="0">{#N/A,#N/A,FALSE,"M.42"}</definedName>
    <definedName name="______ERR1" localSheetId="9">{#N/A,#N/A,FALSE,"M.42"}</definedName>
    <definedName name="______ERR1">{#N/A,#N/A,FALSE,"M.42"}</definedName>
    <definedName name="______JBN3" localSheetId="7">{#N/A,#N/A,FALSE,"M.32"}</definedName>
    <definedName name="______JBN3" localSheetId="8">{#N/A,#N/A,FALSE,"M.32"}</definedName>
    <definedName name="______JBN3" localSheetId="14">{#N/A,#N/A,FALSE,"M.32"}</definedName>
    <definedName name="______JBN3" localSheetId="13">{#N/A,#N/A,FALSE,"M.32"}</definedName>
    <definedName name="______JBN3" localSheetId="11">{#N/A,#N/A,FALSE,"M.32"}</definedName>
    <definedName name="______JBN3" localSheetId="12">{#N/A,#N/A,FALSE,"M.32"}</definedName>
    <definedName name="______JBN3" localSheetId="17">{#N/A,#N/A,FALSE,"M.32"}</definedName>
    <definedName name="______JBN3" localSheetId="15">{#N/A,#N/A,FALSE,"M.32"}</definedName>
    <definedName name="______JBN3" localSheetId="16">{#N/A,#N/A,FALSE,"M.32"}</definedName>
    <definedName name="______JBN3" localSheetId="18">{#N/A,#N/A,FALSE,"M.32"}</definedName>
    <definedName name="______JBN3" localSheetId="1">{#N/A,#N/A,FALSE,"M.32"}</definedName>
    <definedName name="______JBN3" localSheetId="6">{#N/A,#N/A,FALSE,"M.32"}</definedName>
    <definedName name="______JBN3" localSheetId="2">{#N/A,#N/A,FALSE,"M.32"}</definedName>
    <definedName name="______JBN3" localSheetId="3">{#N/A,#N/A,FALSE,"M.32"}</definedName>
    <definedName name="______JBN3" localSheetId="0">{#N/A,#N/A,FALSE,"M.32"}</definedName>
    <definedName name="______JBN3" localSheetId="9">{#N/A,#N/A,FALSE,"M.32"}</definedName>
    <definedName name="______JBN3">{#N/A,#N/A,FALSE,"M.32"}</definedName>
    <definedName name="______kl09" localSheetId="7">{#N/A,#N/A,FALSE,"M.01"}</definedName>
    <definedName name="______kl09" localSheetId="8">{#N/A,#N/A,FALSE,"M.01"}</definedName>
    <definedName name="______kl09" localSheetId="14">{#N/A,#N/A,FALSE,"M.01"}</definedName>
    <definedName name="______kl09" localSheetId="13">{#N/A,#N/A,FALSE,"M.01"}</definedName>
    <definedName name="______kl09" localSheetId="11">{#N/A,#N/A,FALSE,"M.01"}</definedName>
    <definedName name="______kl09" localSheetId="12">{#N/A,#N/A,FALSE,"M.01"}</definedName>
    <definedName name="______kl09" localSheetId="17">{#N/A,#N/A,FALSE,"M.01"}</definedName>
    <definedName name="______kl09" localSheetId="15">{#N/A,#N/A,FALSE,"M.01"}</definedName>
    <definedName name="______kl09" localSheetId="16">{#N/A,#N/A,FALSE,"M.01"}</definedName>
    <definedName name="______kl09" localSheetId="18">{#N/A,#N/A,FALSE,"M.01"}</definedName>
    <definedName name="______kl09" localSheetId="1">{#N/A,#N/A,FALSE,"M.01"}</definedName>
    <definedName name="______kl09" localSheetId="6">{#N/A,#N/A,FALSE,"M.01"}</definedName>
    <definedName name="______kl09" localSheetId="2">{#N/A,#N/A,FALSE,"M.01"}</definedName>
    <definedName name="______kl09" localSheetId="3">{#N/A,#N/A,FALSE,"M.01"}</definedName>
    <definedName name="______kl09" localSheetId="0">{#N/A,#N/A,FALSE,"M.01"}</definedName>
    <definedName name="______kl09" localSheetId="9">{#N/A,#N/A,FALSE,"M.01"}</definedName>
    <definedName name="______kl09">{#N/A,#N/A,FALSE,"M.01"}</definedName>
    <definedName name="______RIP2" localSheetId="7">{#N/A,#N/A,FALSE,"M.01"}</definedName>
    <definedName name="______RIP2" localSheetId="8">{#N/A,#N/A,FALSE,"M.01"}</definedName>
    <definedName name="______RIP2" localSheetId="14">{#N/A,#N/A,FALSE,"M.01"}</definedName>
    <definedName name="______RIP2" localSheetId="13">{#N/A,#N/A,FALSE,"M.01"}</definedName>
    <definedName name="______RIP2" localSheetId="11">{#N/A,#N/A,FALSE,"M.01"}</definedName>
    <definedName name="______RIP2" localSheetId="12">{#N/A,#N/A,FALSE,"M.01"}</definedName>
    <definedName name="______RIP2" localSheetId="17">{#N/A,#N/A,FALSE,"M.01"}</definedName>
    <definedName name="______RIP2" localSheetId="15">{#N/A,#N/A,FALSE,"M.01"}</definedName>
    <definedName name="______RIP2" localSheetId="16">{#N/A,#N/A,FALSE,"M.01"}</definedName>
    <definedName name="______RIP2" localSheetId="18">{#N/A,#N/A,FALSE,"M.01"}</definedName>
    <definedName name="______RIP2" localSheetId="1">{#N/A,#N/A,FALSE,"M.01"}</definedName>
    <definedName name="______RIP2" localSheetId="6">{#N/A,#N/A,FALSE,"M.01"}</definedName>
    <definedName name="______RIP2" localSheetId="2">{#N/A,#N/A,FALSE,"M.01"}</definedName>
    <definedName name="______RIP2" localSheetId="3">{#N/A,#N/A,FALSE,"M.01"}</definedName>
    <definedName name="______RIP2" localSheetId="0">{#N/A,#N/A,FALSE,"M.01"}</definedName>
    <definedName name="______RIP2" localSheetId="9">{#N/A,#N/A,FALSE,"M.01"}</definedName>
    <definedName name="______RIP2">{#N/A,#N/A,FALSE,"M.01"}</definedName>
    <definedName name="______RIP3" localSheetId="7">{#N/A,#N/A,FALSE,"M.41"}</definedName>
    <definedName name="______RIP3" localSheetId="8">{#N/A,#N/A,FALSE,"M.41"}</definedName>
    <definedName name="______RIP3" localSheetId="14">{#N/A,#N/A,FALSE,"M.41"}</definedName>
    <definedName name="______RIP3" localSheetId="13">{#N/A,#N/A,FALSE,"M.41"}</definedName>
    <definedName name="______RIP3" localSheetId="11">{#N/A,#N/A,FALSE,"M.41"}</definedName>
    <definedName name="______RIP3" localSheetId="12">{#N/A,#N/A,FALSE,"M.41"}</definedName>
    <definedName name="______RIP3" localSheetId="17">{#N/A,#N/A,FALSE,"M.41"}</definedName>
    <definedName name="______RIP3" localSheetId="15">{#N/A,#N/A,FALSE,"M.41"}</definedName>
    <definedName name="______RIP3" localSheetId="16">{#N/A,#N/A,FALSE,"M.41"}</definedName>
    <definedName name="______RIP3" localSheetId="18">{#N/A,#N/A,FALSE,"M.41"}</definedName>
    <definedName name="______RIP3" localSheetId="1">{#N/A,#N/A,FALSE,"M.41"}</definedName>
    <definedName name="______RIP3" localSheetId="6">{#N/A,#N/A,FALSE,"M.41"}</definedName>
    <definedName name="______RIP3" localSheetId="2">{#N/A,#N/A,FALSE,"M.41"}</definedName>
    <definedName name="______RIP3" localSheetId="3">{#N/A,#N/A,FALSE,"M.41"}</definedName>
    <definedName name="______RIP3" localSheetId="0">{#N/A,#N/A,FALSE,"M.41"}</definedName>
    <definedName name="______RIP3" localSheetId="9">{#N/A,#N/A,FALSE,"M.41"}</definedName>
    <definedName name="______RIP3">{#N/A,#N/A,FALSE,"M.41"}</definedName>
    <definedName name="______SLA2009" localSheetId="7">{#N/A,#N/A,FALSE,"M.32"}</definedName>
    <definedName name="______SLA2009" localSheetId="8">{#N/A,#N/A,FALSE,"M.32"}</definedName>
    <definedName name="______SLA2009" localSheetId="14">{#N/A,#N/A,FALSE,"M.32"}</definedName>
    <definedName name="______SLA2009" localSheetId="13">{#N/A,#N/A,FALSE,"M.32"}</definedName>
    <definedName name="______SLA2009" localSheetId="11">{#N/A,#N/A,FALSE,"M.32"}</definedName>
    <definedName name="______SLA2009" localSheetId="12">{#N/A,#N/A,FALSE,"M.32"}</definedName>
    <definedName name="______SLA2009" localSheetId="17">{#N/A,#N/A,FALSE,"M.32"}</definedName>
    <definedName name="______SLA2009" localSheetId="15">{#N/A,#N/A,FALSE,"M.32"}</definedName>
    <definedName name="______SLA2009" localSheetId="16">{#N/A,#N/A,FALSE,"M.32"}</definedName>
    <definedName name="______SLA2009" localSheetId="18">{#N/A,#N/A,FALSE,"M.32"}</definedName>
    <definedName name="______SLA2009" localSheetId="1">{#N/A,#N/A,FALSE,"M.32"}</definedName>
    <definedName name="______SLA2009" localSheetId="6">{#N/A,#N/A,FALSE,"M.32"}</definedName>
    <definedName name="______SLA2009" localSheetId="2">{#N/A,#N/A,FALSE,"M.32"}</definedName>
    <definedName name="______SLA2009" localSheetId="3">{#N/A,#N/A,FALSE,"M.32"}</definedName>
    <definedName name="______SLA2009" localSheetId="0">{#N/A,#N/A,FALSE,"M.32"}</definedName>
    <definedName name="______SLA2009" localSheetId="9">{#N/A,#N/A,FALSE,"M.32"}</definedName>
    <definedName name="______SLA2009">{#N/A,#N/A,FALSE,"M.32"}</definedName>
    <definedName name="______TH1" localSheetId="7">{#N/A,#N/A,FALSE,"M.34"}</definedName>
    <definedName name="______TH1" localSheetId="8">{#N/A,#N/A,FALSE,"M.34"}</definedName>
    <definedName name="______TH1" localSheetId="14">{#N/A,#N/A,FALSE,"M.34"}</definedName>
    <definedName name="______TH1" localSheetId="13">{#N/A,#N/A,FALSE,"M.34"}</definedName>
    <definedName name="______TH1" localSheetId="11">{#N/A,#N/A,FALSE,"M.34"}</definedName>
    <definedName name="______TH1" localSheetId="12">{#N/A,#N/A,FALSE,"M.34"}</definedName>
    <definedName name="______TH1" localSheetId="17">{#N/A,#N/A,FALSE,"M.34"}</definedName>
    <definedName name="______TH1" localSheetId="15">{#N/A,#N/A,FALSE,"M.34"}</definedName>
    <definedName name="______TH1" localSheetId="16">{#N/A,#N/A,FALSE,"M.34"}</definedName>
    <definedName name="______TH1" localSheetId="18">{#N/A,#N/A,FALSE,"M.34"}</definedName>
    <definedName name="______TH1" localSheetId="1">{#N/A,#N/A,FALSE,"M.34"}</definedName>
    <definedName name="______TH1" localSheetId="6">{#N/A,#N/A,FALSE,"M.34"}</definedName>
    <definedName name="______TH1" localSheetId="2">{#N/A,#N/A,FALSE,"M.34"}</definedName>
    <definedName name="______TH1" localSheetId="3">{#N/A,#N/A,FALSE,"M.34"}</definedName>
    <definedName name="______TH1" localSheetId="0">{#N/A,#N/A,FALSE,"M.34"}</definedName>
    <definedName name="______TH1" localSheetId="9">{#N/A,#N/A,FALSE,"M.34"}</definedName>
    <definedName name="______TH1">{#N/A,#N/A,FALSE,"M.34"}</definedName>
    <definedName name="______th2" localSheetId="7">{#N/A,#N/A,FALSE,"M.42"}</definedName>
    <definedName name="______th2" localSheetId="8">{#N/A,#N/A,FALSE,"M.42"}</definedName>
    <definedName name="______th2" localSheetId="14">{#N/A,#N/A,FALSE,"M.42"}</definedName>
    <definedName name="______th2" localSheetId="13">{#N/A,#N/A,FALSE,"M.42"}</definedName>
    <definedName name="______th2" localSheetId="11">{#N/A,#N/A,FALSE,"M.42"}</definedName>
    <definedName name="______th2" localSheetId="12">{#N/A,#N/A,FALSE,"M.42"}</definedName>
    <definedName name="______th2" localSheetId="17">{#N/A,#N/A,FALSE,"M.42"}</definedName>
    <definedName name="______th2" localSheetId="15">{#N/A,#N/A,FALSE,"M.42"}</definedName>
    <definedName name="______th2" localSheetId="16">{#N/A,#N/A,FALSE,"M.42"}</definedName>
    <definedName name="______th2" localSheetId="18">{#N/A,#N/A,FALSE,"M.42"}</definedName>
    <definedName name="______th2" localSheetId="1">{#N/A,#N/A,FALSE,"M.42"}</definedName>
    <definedName name="______th2" localSheetId="6">{#N/A,#N/A,FALSE,"M.42"}</definedName>
    <definedName name="______th2" localSheetId="2">{#N/A,#N/A,FALSE,"M.42"}</definedName>
    <definedName name="______th2" localSheetId="3">{#N/A,#N/A,FALSE,"M.42"}</definedName>
    <definedName name="______th2" localSheetId="0">{#N/A,#N/A,FALSE,"M.42"}</definedName>
    <definedName name="______th2" localSheetId="9">{#N/A,#N/A,FALSE,"M.42"}</definedName>
    <definedName name="______th2">{#N/A,#N/A,FALSE,"M.42"}</definedName>
    <definedName name="_____ERR1" localSheetId="7">{#N/A,#N/A,FALSE,"M.42"}</definedName>
    <definedName name="_____ERR1" localSheetId="8">{#N/A,#N/A,FALSE,"M.42"}</definedName>
    <definedName name="_____ERR1" localSheetId="14">{#N/A,#N/A,FALSE,"M.42"}</definedName>
    <definedName name="_____ERR1" localSheetId="13">{#N/A,#N/A,FALSE,"M.42"}</definedName>
    <definedName name="_____ERR1" localSheetId="11">{#N/A,#N/A,FALSE,"M.42"}</definedName>
    <definedName name="_____ERR1" localSheetId="12">{#N/A,#N/A,FALSE,"M.42"}</definedName>
    <definedName name="_____ERR1" localSheetId="17">{#N/A,#N/A,FALSE,"M.42"}</definedName>
    <definedName name="_____ERR1" localSheetId="15">{#N/A,#N/A,FALSE,"M.42"}</definedName>
    <definedName name="_____ERR1" localSheetId="16">{#N/A,#N/A,FALSE,"M.42"}</definedName>
    <definedName name="_____ERR1" localSheetId="18">{#N/A,#N/A,FALSE,"M.42"}</definedName>
    <definedName name="_____ERR1" localSheetId="1">{#N/A,#N/A,FALSE,"M.42"}</definedName>
    <definedName name="_____ERR1" localSheetId="6">{#N/A,#N/A,FALSE,"M.42"}</definedName>
    <definedName name="_____ERR1" localSheetId="2">{#N/A,#N/A,FALSE,"M.42"}</definedName>
    <definedName name="_____ERR1" localSheetId="3">{#N/A,#N/A,FALSE,"M.42"}</definedName>
    <definedName name="_____ERR1" localSheetId="0">{#N/A,#N/A,FALSE,"M.42"}</definedName>
    <definedName name="_____ERR1" localSheetId="9">{#N/A,#N/A,FALSE,"M.42"}</definedName>
    <definedName name="_____ERR1">{#N/A,#N/A,FALSE,"M.42"}</definedName>
    <definedName name="_____JBN3" localSheetId="7">{#N/A,#N/A,FALSE,"M.32"}</definedName>
    <definedName name="_____JBN3" localSheetId="8">{#N/A,#N/A,FALSE,"M.32"}</definedName>
    <definedName name="_____JBN3" localSheetId="14">{#N/A,#N/A,FALSE,"M.32"}</definedName>
    <definedName name="_____JBN3" localSheetId="13">{#N/A,#N/A,FALSE,"M.32"}</definedName>
    <definedName name="_____JBN3" localSheetId="11">{#N/A,#N/A,FALSE,"M.32"}</definedName>
    <definedName name="_____JBN3" localSheetId="12">{#N/A,#N/A,FALSE,"M.32"}</definedName>
    <definedName name="_____JBN3" localSheetId="17">{#N/A,#N/A,FALSE,"M.32"}</definedName>
    <definedName name="_____JBN3" localSheetId="15">{#N/A,#N/A,FALSE,"M.32"}</definedName>
    <definedName name="_____JBN3" localSheetId="16">{#N/A,#N/A,FALSE,"M.32"}</definedName>
    <definedName name="_____JBN3" localSheetId="18">{#N/A,#N/A,FALSE,"M.32"}</definedName>
    <definedName name="_____JBN3" localSheetId="1">{#N/A,#N/A,FALSE,"M.32"}</definedName>
    <definedName name="_____JBN3" localSheetId="6">{#N/A,#N/A,FALSE,"M.32"}</definedName>
    <definedName name="_____JBN3" localSheetId="2">{#N/A,#N/A,FALSE,"M.32"}</definedName>
    <definedName name="_____JBN3" localSheetId="3">{#N/A,#N/A,FALSE,"M.32"}</definedName>
    <definedName name="_____JBN3" localSheetId="0">{#N/A,#N/A,FALSE,"M.32"}</definedName>
    <definedName name="_____JBN3" localSheetId="9">{#N/A,#N/A,FALSE,"M.32"}</definedName>
    <definedName name="_____JBN3">{#N/A,#N/A,FALSE,"M.32"}</definedName>
    <definedName name="_____kl09" localSheetId="7">{#N/A,#N/A,FALSE,"M.01"}</definedName>
    <definedName name="_____kl09" localSheetId="8">{#N/A,#N/A,FALSE,"M.01"}</definedName>
    <definedName name="_____kl09" localSheetId="14">{#N/A,#N/A,FALSE,"M.01"}</definedName>
    <definedName name="_____kl09" localSheetId="13">{#N/A,#N/A,FALSE,"M.01"}</definedName>
    <definedName name="_____kl09" localSheetId="11">{#N/A,#N/A,FALSE,"M.01"}</definedName>
    <definedName name="_____kl09" localSheetId="12">{#N/A,#N/A,FALSE,"M.01"}</definedName>
    <definedName name="_____kl09" localSheetId="17">{#N/A,#N/A,FALSE,"M.01"}</definedName>
    <definedName name="_____kl09" localSheetId="15">{#N/A,#N/A,FALSE,"M.01"}</definedName>
    <definedName name="_____kl09" localSheetId="16">{#N/A,#N/A,FALSE,"M.01"}</definedName>
    <definedName name="_____kl09" localSheetId="18">{#N/A,#N/A,FALSE,"M.01"}</definedName>
    <definedName name="_____kl09" localSheetId="1">{#N/A,#N/A,FALSE,"M.01"}</definedName>
    <definedName name="_____kl09" localSheetId="6">{#N/A,#N/A,FALSE,"M.01"}</definedName>
    <definedName name="_____kl09" localSheetId="2">{#N/A,#N/A,FALSE,"M.01"}</definedName>
    <definedName name="_____kl09" localSheetId="3">{#N/A,#N/A,FALSE,"M.01"}</definedName>
    <definedName name="_____kl09" localSheetId="0">{#N/A,#N/A,FALSE,"M.01"}</definedName>
    <definedName name="_____kl09" localSheetId="9">{#N/A,#N/A,FALSE,"M.01"}</definedName>
    <definedName name="_____kl09">{#N/A,#N/A,FALSE,"M.01"}</definedName>
    <definedName name="_____RIP2" localSheetId="7">{#N/A,#N/A,FALSE,"M.01"}</definedName>
    <definedName name="_____RIP2" localSheetId="8">{#N/A,#N/A,FALSE,"M.01"}</definedName>
    <definedName name="_____RIP2" localSheetId="14">{#N/A,#N/A,FALSE,"M.01"}</definedName>
    <definedName name="_____RIP2" localSheetId="13">{#N/A,#N/A,FALSE,"M.01"}</definedName>
    <definedName name="_____RIP2" localSheetId="11">{#N/A,#N/A,FALSE,"M.01"}</definedName>
    <definedName name="_____RIP2" localSheetId="12">{#N/A,#N/A,FALSE,"M.01"}</definedName>
    <definedName name="_____RIP2" localSheetId="17">{#N/A,#N/A,FALSE,"M.01"}</definedName>
    <definedName name="_____RIP2" localSheetId="15">{#N/A,#N/A,FALSE,"M.01"}</definedName>
    <definedName name="_____RIP2" localSheetId="16">{#N/A,#N/A,FALSE,"M.01"}</definedName>
    <definedName name="_____RIP2" localSheetId="18">{#N/A,#N/A,FALSE,"M.01"}</definedName>
    <definedName name="_____RIP2" localSheetId="1">{#N/A,#N/A,FALSE,"M.01"}</definedName>
    <definedName name="_____RIP2" localSheetId="6">{#N/A,#N/A,FALSE,"M.01"}</definedName>
    <definedName name="_____RIP2" localSheetId="2">{#N/A,#N/A,FALSE,"M.01"}</definedName>
    <definedName name="_____RIP2" localSheetId="3">{#N/A,#N/A,FALSE,"M.01"}</definedName>
    <definedName name="_____RIP2" localSheetId="0">{#N/A,#N/A,FALSE,"M.01"}</definedName>
    <definedName name="_____RIP2" localSheetId="9">{#N/A,#N/A,FALSE,"M.01"}</definedName>
    <definedName name="_____RIP2">{#N/A,#N/A,FALSE,"M.01"}</definedName>
    <definedName name="_____RIP3" localSheetId="7">{#N/A,#N/A,FALSE,"M.41"}</definedName>
    <definedName name="_____RIP3" localSheetId="8">{#N/A,#N/A,FALSE,"M.41"}</definedName>
    <definedName name="_____RIP3" localSheetId="14">{#N/A,#N/A,FALSE,"M.41"}</definedName>
    <definedName name="_____RIP3" localSheetId="13">{#N/A,#N/A,FALSE,"M.41"}</definedName>
    <definedName name="_____RIP3" localSheetId="11">{#N/A,#N/A,FALSE,"M.41"}</definedName>
    <definedName name="_____RIP3" localSheetId="12">{#N/A,#N/A,FALSE,"M.41"}</definedName>
    <definedName name="_____RIP3" localSheetId="17">{#N/A,#N/A,FALSE,"M.41"}</definedName>
    <definedName name="_____RIP3" localSheetId="15">{#N/A,#N/A,FALSE,"M.41"}</definedName>
    <definedName name="_____RIP3" localSheetId="16">{#N/A,#N/A,FALSE,"M.41"}</definedName>
    <definedName name="_____RIP3" localSheetId="18">{#N/A,#N/A,FALSE,"M.41"}</definedName>
    <definedName name="_____RIP3" localSheetId="1">{#N/A,#N/A,FALSE,"M.41"}</definedName>
    <definedName name="_____RIP3" localSheetId="6">{#N/A,#N/A,FALSE,"M.41"}</definedName>
    <definedName name="_____RIP3" localSheetId="2">{#N/A,#N/A,FALSE,"M.41"}</definedName>
    <definedName name="_____RIP3" localSheetId="3">{#N/A,#N/A,FALSE,"M.41"}</definedName>
    <definedName name="_____RIP3" localSheetId="0">{#N/A,#N/A,FALSE,"M.41"}</definedName>
    <definedName name="_____RIP3" localSheetId="9">{#N/A,#N/A,FALSE,"M.41"}</definedName>
    <definedName name="_____RIP3">{#N/A,#N/A,FALSE,"M.41"}</definedName>
    <definedName name="_____SLA2009" localSheetId="7">{#N/A,#N/A,FALSE,"M.32"}</definedName>
    <definedName name="_____SLA2009" localSheetId="8">{#N/A,#N/A,FALSE,"M.32"}</definedName>
    <definedName name="_____SLA2009" localSheetId="14">{#N/A,#N/A,FALSE,"M.32"}</definedName>
    <definedName name="_____SLA2009" localSheetId="13">{#N/A,#N/A,FALSE,"M.32"}</definedName>
    <definedName name="_____SLA2009" localSheetId="11">{#N/A,#N/A,FALSE,"M.32"}</definedName>
    <definedName name="_____SLA2009" localSheetId="12">{#N/A,#N/A,FALSE,"M.32"}</definedName>
    <definedName name="_____SLA2009" localSheetId="17">{#N/A,#N/A,FALSE,"M.32"}</definedName>
    <definedName name="_____SLA2009" localSheetId="15">{#N/A,#N/A,FALSE,"M.32"}</definedName>
    <definedName name="_____SLA2009" localSheetId="16">{#N/A,#N/A,FALSE,"M.32"}</definedName>
    <definedName name="_____SLA2009" localSheetId="18">{#N/A,#N/A,FALSE,"M.32"}</definedName>
    <definedName name="_____SLA2009" localSheetId="1">{#N/A,#N/A,FALSE,"M.32"}</definedName>
    <definedName name="_____SLA2009" localSheetId="6">{#N/A,#N/A,FALSE,"M.32"}</definedName>
    <definedName name="_____SLA2009" localSheetId="2">{#N/A,#N/A,FALSE,"M.32"}</definedName>
    <definedName name="_____SLA2009" localSheetId="3">{#N/A,#N/A,FALSE,"M.32"}</definedName>
    <definedName name="_____SLA2009" localSheetId="0">{#N/A,#N/A,FALSE,"M.32"}</definedName>
    <definedName name="_____SLA2009" localSheetId="9">{#N/A,#N/A,FALSE,"M.32"}</definedName>
    <definedName name="_____SLA2009">{#N/A,#N/A,FALSE,"M.32"}</definedName>
    <definedName name="_____TH1" localSheetId="7">{#N/A,#N/A,FALSE,"M.34"}</definedName>
    <definedName name="_____TH1" localSheetId="8">{#N/A,#N/A,FALSE,"M.34"}</definedName>
    <definedName name="_____TH1" localSheetId="14">{#N/A,#N/A,FALSE,"M.34"}</definedName>
    <definedName name="_____TH1" localSheetId="13">{#N/A,#N/A,FALSE,"M.34"}</definedName>
    <definedName name="_____TH1" localSheetId="11">{#N/A,#N/A,FALSE,"M.34"}</definedName>
    <definedName name="_____TH1" localSheetId="12">{#N/A,#N/A,FALSE,"M.34"}</definedName>
    <definedName name="_____TH1" localSheetId="17">{#N/A,#N/A,FALSE,"M.34"}</definedName>
    <definedName name="_____TH1" localSheetId="15">{#N/A,#N/A,FALSE,"M.34"}</definedName>
    <definedName name="_____TH1" localSheetId="16">{#N/A,#N/A,FALSE,"M.34"}</definedName>
    <definedName name="_____TH1" localSheetId="18">{#N/A,#N/A,FALSE,"M.34"}</definedName>
    <definedName name="_____TH1" localSheetId="1">{#N/A,#N/A,FALSE,"M.34"}</definedName>
    <definedName name="_____TH1" localSheetId="6">{#N/A,#N/A,FALSE,"M.34"}</definedName>
    <definedName name="_____TH1" localSheetId="2">{#N/A,#N/A,FALSE,"M.34"}</definedName>
    <definedName name="_____TH1" localSheetId="3">{#N/A,#N/A,FALSE,"M.34"}</definedName>
    <definedName name="_____TH1" localSheetId="0">{#N/A,#N/A,FALSE,"M.34"}</definedName>
    <definedName name="_____TH1" localSheetId="9">{#N/A,#N/A,FALSE,"M.34"}</definedName>
    <definedName name="_____TH1">{#N/A,#N/A,FALSE,"M.34"}</definedName>
    <definedName name="_____th2" localSheetId="7">{#N/A,#N/A,FALSE,"M.42"}</definedName>
    <definedName name="_____th2" localSheetId="8">{#N/A,#N/A,FALSE,"M.42"}</definedName>
    <definedName name="_____th2" localSheetId="14">{#N/A,#N/A,FALSE,"M.42"}</definedName>
    <definedName name="_____th2" localSheetId="13">{#N/A,#N/A,FALSE,"M.42"}</definedName>
    <definedName name="_____th2" localSheetId="11">{#N/A,#N/A,FALSE,"M.42"}</definedName>
    <definedName name="_____th2" localSheetId="12">{#N/A,#N/A,FALSE,"M.42"}</definedName>
    <definedName name="_____th2" localSheetId="17">{#N/A,#N/A,FALSE,"M.42"}</definedName>
    <definedName name="_____th2" localSheetId="15">{#N/A,#N/A,FALSE,"M.42"}</definedName>
    <definedName name="_____th2" localSheetId="16">{#N/A,#N/A,FALSE,"M.42"}</definedName>
    <definedName name="_____th2" localSheetId="18">{#N/A,#N/A,FALSE,"M.42"}</definedName>
    <definedName name="_____th2" localSheetId="1">{#N/A,#N/A,FALSE,"M.42"}</definedName>
    <definedName name="_____th2" localSheetId="6">{#N/A,#N/A,FALSE,"M.42"}</definedName>
    <definedName name="_____th2" localSheetId="2">{#N/A,#N/A,FALSE,"M.42"}</definedName>
    <definedName name="_____th2" localSheetId="3">{#N/A,#N/A,FALSE,"M.42"}</definedName>
    <definedName name="_____th2" localSheetId="0">{#N/A,#N/A,FALSE,"M.42"}</definedName>
    <definedName name="_____th2" localSheetId="9">{#N/A,#N/A,FALSE,"M.42"}</definedName>
    <definedName name="_____th2">{#N/A,#N/A,FALSE,"M.42"}</definedName>
    <definedName name="____ERR1" localSheetId="7">{#N/A,#N/A,FALSE,"M.42"}</definedName>
    <definedName name="____ERR1" localSheetId="8">{#N/A,#N/A,FALSE,"M.42"}</definedName>
    <definedName name="____ERR1" localSheetId="14">{#N/A,#N/A,FALSE,"M.42"}</definedName>
    <definedName name="____ERR1" localSheetId="13">{#N/A,#N/A,FALSE,"M.42"}</definedName>
    <definedName name="____ERR1" localSheetId="11">{#N/A,#N/A,FALSE,"M.42"}</definedName>
    <definedName name="____ERR1" localSheetId="12">{#N/A,#N/A,FALSE,"M.42"}</definedName>
    <definedName name="____ERR1" localSheetId="17">{#N/A,#N/A,FALSE,"M.42"}</definedName>
    <definedName name="____ERR1" localSheetId="15">{#N/A,#N/A,FALSE,"M.42"}</definedName>
    <definedName name="____ERR1" localSheetId="16">{#N/A,#N/A,FALSE,"M.42"}</definedName>
    <definedName name="____ERR1" localSheetId="18">{#N/A,#N/A,FALSE,"M.42"}</definedName>
    <definedName name="____ERR1" localSheetId="1">{#N/A,#N/A,FALSE,"M.42"}</definedName>
    <definedName name="____ERR1" localSheetId="6">{#N/A,#N/A,FALSE,"M.42"}</definedName>
    <definedName name="____ERR1" localSheetId="2">{#N/A,#N/A,FALSE,"M.42"}</definedName>
    <definedName name="____ERR1" localSheetId="3">{#N/A,#N/A,FALSE,"M.42"}</definedName>
    <definedName name="____ERR1" localSheetId="0">{#N/A,#N/A,FALSE,"M.42"}</definedName>
    <definedName name="____ERR1" localSheetId="9">{#N/A,#N/A,FALSE,"M.42"}</definedName>
    <definedName name="____ERR1">{#N/A,#N/A,FALSE,"M.42"}</definedName>
    <definedName name="____JBN3" localSheetId="7">{#N/A,#N/A,FALSE,"M.32"}</definedName>
    <definedName name="____JBN3" localSheetId="8">{#N/A,#N/A,FALSE,"M.32"}</definedName>
    <definedName name="____JBN3" localSheetId="14">{#N/A,#N/A,FALSE,"M.32"}</definedName>
    <definedName name="____JBN3" localSheetId="13">{#N/A,#N/A,FALSE,"M.32"}</definedName>
    <definedName name="____JBN3" localSheetId="11">{#N/A,#N/A,FALSE,"M.32"}</definedName>
    <definedName name="____JBN3" localSheetId="12">{#N/A,#N/A,FALSE,"M.32"}</definedName>
    <definedName name="____JBN3" localSheetId="17">{#N/A,#N/A,FALSE,"M.32"}</definedName>
    <definedName name="____JBN3" localSheetId="15">{#N/A,#N/A,FALSE,"M.32"}</definedName>
    <definedName name="____JBN3" localSheetId="16">{#N/A,#N/A,FALSE,"M.32"}</definedName>
    <definedName name="____JBN3" localSheetId="18">{#N/A,#N/A,FALSE,"M.32"}</definedName>
    <definedName name="____JBN3" localSheetId="1">{#N/A,#N/A,FALSE,"M.32"}</definedName>
    <definedName name="____JBN3" localSheetId="6">{#N/A,#N/A,FALSE,"M.32"}</definedName>
    <definedName name="____JBN3" localSheetId="2">{#N/A,#N/A,FALSE,"M.32"}</definedName>
    <definedName name="____JBN3" localSheetId="3">{#N/A,#N/A,FALSE,"M.32"}</definedName>
    <definedName name="____JBN3" localSheetId="0">{#N/A,#N/A,FALSE,"M.32"}</definedName>
    <definedName name="____JBN3" localSheetId="9">{#N/A,#N/A,FALSE,"M.32"}</definedName>
    <definedName name="____JBN3">{#N/A,#N/A,FALSE,"M.32"}</definedName>
    <definedName name="____kl09" localSheetId="7">{#N/A,#N/A,FALSE,"M.01"}</definedName>
    <definedName name="____kl09" localSheetId="8">{#N/A,#N/A,FALSE,"M.01"}</definedName>
    <definedName name="____kl09" localSheetId="14">{#N/A,#N/A,FALSE,"M.01"}</definedName>
    <definedName name="____kl09" localSheetId="13">{#N/A,#N/A,FALSE,"M.01"}</definedName>
    <definedName name="____kl09" localSheetId="11">{#N/A,#N/A,FALSE,"M.01"}</definedName>
    <definedName name="____kl09" localSheetId="12">{#N/A,#N/A,FALSE,"M.01"}</definedName>
    <definedName name="____kl09" localSheetId="17">{#N/A,#N/A,FALSE,"M.01"}</definedName>
    <definedName name="____kl09" localSheetId="15">{#N/A,#N/A,FALSE,"M.01"}</definedName>
    <definedName name="____kl09" localSheetId="16">{#N/A,#N/A,FALSE,"M.01"}</definedName>
    <definedName name="____kl09" localSheetId="18">{#N/A,#N/A,FALSE,"M.01"}</definedName>
    <definedName name="____kl09" localSheetId="1">{#N/A,#N/A,FALSE,"M.01"}</definedName>
    <definedName name="____kl09" localSheetId="6">{#N/A,#N/A,FALSE,"M.01"}</definedName>
    <definedName name="____kl09" localSheetId="2">{#N/A,#N/A,FALSE,"M.01"}</definedName>
    <definedName name="____kl09" localSheetId="3">{#N/A,#N/A,FALSE,"M.01"}</definedName>
    <definedName name="____kl09" localSheetId="0">{#N/A,#N/A,FALSE,"M.01"}</definedName>
    <definedName name="____kl09" localSheetId="9">{#N/A,#N/A,FALSE,"M.01"}</definedName>
    <definedName name="____kl09">{#N/A,#N/A,FALSE,"M.01"}</definedName>
    <definedName name="____RIP2" localSheetId="7">{#N/A,#N/A,FALSE,"M.01"}</definedName>
    <definedName name="____RIP2" localSheetId="8">{#N/A,#N/A,FALSE,"M.01"}</definedName>
    <definedName name="____RIP2" localSheetId="14">{#N/A,#N/A,FALSE,"M.01"}</definedName>
    <definedName name="____RIP2" localSheetId="13">{#N/A,#N/A,FALSE,"M.01"}</definedName>
    <definedName name="____RIP2" localSheetId="11">{#N/A,#N/A,FALSE,"M.01"}</definedName>
    <definedName name="____RIP2" localSheetId="12">{#N/A,#N/A,FALSE,"M.01"}</definedName>
    <definedName name="____RIP2" localSheetId="17">{#N/A,#N/A,FALSE,"M.01"}</definedName>
    <definedName name="____RIP2" localSheetId="15">{#N/A,#N/A,FALSE,"M.01"}</definedName>
    <definedName name="____RIP2" localSheetId="16">{#N/A,#N/A,FALSE,"M.01"}</definedName>
    <definedName name="____RIP2" localSheetId="18">{#N/A,#N/A,FALSE,"M.01"}</definedName>
    <definedName name="____RIP2" localSheetId="1">{#N/A,#N/A,FALSE,"M.01"}</definedName>
    <definedName name="____RIP2" localSheetId="6">{#N/A,#N/A,FALSE,"M.01"}</definedName>
    <definedName name="____RIP2" localSheetId="2">{#N/A,#N/A,FALSE,"M.01"}</definedName>
    <definedName name="____RIP2" localSheetId="3">{#N/A,#N/A,FALSE,"M.01"}</definedName>
    <definedName name="____RIP2" localSheetId="0">{#N/A,#N/A,FALSE,"M.01"}</definedName>
    <definedName name="____RIP2" localSheetId="9">{#N/A,#N/A,FALSE,"M.01"}</definedName>
    <definedName name="____RIP2">{#N/A,#N/A,FALSE,"M.01"}</definedName>
    <definedName name="____RIP3" localSheetId="7">{#N/A,#N/A,FALSE,"M.41"}</definedName>
    <definedName name="____RIP3" localSheetId="8">{#N/A,#N/A,FALSE,"M.41"}</definedName>
    <definedName name="____RIP3" localSheetId="14">{#N/A,#N/A,FALSE,"M.41"}</definedName>
    <definedName name="____RIP3" localSheetId="13">{#N/A,#N/A,FALSE,"M.41"}</definedName>
    <definedName name="____RIP3" localSheetId="11">{#N/A,#N/A,FALSE,"M.41"}</definedName>
    <definedName name="____RIP3" localSheetId="12">{#N/A,#N/A,FALSE,"M.41"}</definedName>
    <definedName name="____RIP3" localSheetId="17">{#N/A,#N/A,FALSE,"M.41"}</definedName>
    <definedName name="____RIP3" localSheetId="15">{#N/A,#N/A,FALSE,"M.41"}</definedName>
    <definedName name="____RIP3" localSheetId="16">{#N/A,#N/A,FALSE,"M.41"}</definedName>
    <definedName name="____RIP3" localSheetId="18">{#N/A,#N/A,FALSE,"M.41"}</definedName>
    <definedName name="____RIP3" localSheetId="1">{#N/A,#N/A,FALSE,"M.41"}</definedName>
    <definedName name="____RIP3" localSheetId="6">{#N/A,#N/A,FALSE,"M.41"}</definedName>
    <definedName name="____RIP3" localSheetId="2">{#N/A,#N/A,FALSE,"M.41"}</definedName>
    <definedName name="____RIP3" localSheetId="3">{#N/A,#N/A,FALSE,"M.41"}</definedName>
    <definedName name="____RIP3" localSheetId="0">{#N/A,#N/A,FALSE,"M.41"}</definedName>
    <definedName name="____RIP3" localSheetId="9">{#N/A,#N/A,FALSE,"M.41"}</definedName>
    <definedName name="____RIP3">{#N/A,#N/A,FALSE,"M.41"}</definedName>
    <definedName name="____SLA2009" localSheetId="7">{#N/A,#N/A,FALSE,"M.32"}</definedName>
    <definedName name="____SLA2009" localSheetId="8">{#N/A,#N/A,FALSE,"M.32"}</definedName>
    <definedName name="____SLA2009" localSheetId="14">{#N/A,#N/A,FALSE,"M.32"}</definedName>
    <definedName name="____SLA2009" localSheetId="13">{#N/A,#N/A,FALSE,"M.32"}</definedName>
    <definedName name="____SLA2009" localSheetId="11">{#N/A,#N/A,FALSE,"M.32"}</definedName>
    <definedName name="____SLA2009" localSheetId="12">{#N/A,#N/A,FALSE,"M.32"}</definedName>
    <definedName name="____SLA2009" localSheetId="17">{#N/A,#N/A,FALSE,"M.32"}</definedName>
    <definedName name="____SLA2009" localSheetId="15">{#N/A,#N/A,FALSE,"M.32"}</definedName>
    <definedName name="____SLA2009" localSheetId="16">{#N/A,#N/A,FALSE,"M.32"}</definedName>
    <definedName name="____SLA2009" localSheetId="18">{#N/A,#N/A,FALSE,"M.32"}</definedName>
    <definedName name="____SLA2009" localSheetId="1">{#N/A,#N/A,FALSE,"M.32"}</definedName>
    <definedName name="____SLA2009" localSheetId="6">{#N/A,#N/A,FALSE,"M.32"}</definedName>
    <definedName name="____SLA2009" localSheetId="2">{#N/A,#N/A,FALSE,"M.32"}</definedName>
    <definedName name="____SLA2009" localSheetId="3">{#N/A,#N/A,FALSE,"M.32"}</definedName>
    <definedName name="____SLA2009" localSheetId="0">{#N/A,#N/A,FALSE,"M.32"}</definedName>
    <definedName name="____SLA2009" localSheetId="9">{#N/A,#N/A,FALSE,"M.32"}</definedName>
    <definedName name="____SLA2009">{#N/A,#N/A,FALSE,"M.32"}</definedName>
    <definedName name="____TH1" localSheetId="7">{#N/A,#N/A,FALSE,"M.34"}</definedName>
    <definedName name="____TH1" localSheetId="8">{#N/A,#N/A,FALSE,"M.34"}</definedName>
    <definedName name="____TH1" localSheetId="14">{#N/A,#N/A,FALSE,"M.34"}</definedName>
    <definedName name="____TH1" localSheetId="13">{#N/A,#N/A,FALSE,"M.34"}</definedName>
    <definedName name="____TH1" localSheetId="11">{#N/A,#N/A,FALSE,"M.34"}</definedName>
    <definedName name="____TH1" localSheetId="12">{#N/A,#N/A,FALSE,"M.34"}</definedName>
    <definedName name="____TH1" localSheetId="17">{#N/A,#N/A,FALSE,"M.34"}</definedName>
    <definedName name="____TH1" localSheetId="15">{#N/A,#N/A,FALSE,"M.34"}</definedName>
    <definedName name="____TH1" localSheetId="16">{#N/A,#N/A,FALSE,"M.34"}</definedName>
    <definedName name="____TH1" localSheetId="18">{#N/A,#N/A,FALSE,"M.34"}</definedName>
    <definedName name="____TH1" localSheetId="1">{#N/A,#N/A,FALSE,"M.34"}</definedName>
    <definedName name="____TH1" localSheetId="6">{#N/A,#N/A,FALSE,"M.34"}</definedName>
    <definedName name="____TH1" localSheetId="2">{#N/A,#N/A,FALSE,"M.34"}</definedName>
    <definedName name="____TH1" localSheetId="3">{#N/A,#N/A,FALSE,"M.34"}</definedName>
    <definedName name="____TH1" localSheetId="0">{#N/A,#N/A,FALSE,"M.34"}</definedName>
    <definedName name="____TH1" localSheetId="9">{#N/A,#N/A,FALSE,"M.34"}</definedName>
    <definedName name="____TH1">{#N/A,#N/A,FALSE,"M.34"}</definedName>
    <definedName name="____th2" localSheetId="7">{#N/A,#N/A,FALSE,"M.42"}</definedName>
    <definedName name="____th2" localSheetId="8">{#N/A,#N/A,FALSE,"M.42"}</definedName>
    <definedName name="____th2" localSheetId="14">{#N/A,#N/A,FALSE,"M.42"}</definedName>
    <definedName name="____th2" localSheetId="13">{#N/A,#N/A,FALSE,"M.42"}</definedName>
    <definedName name="____th2" localSheetId="11">{#N/A,#N/A,FALSE,"M.42"}</definedName>
    <definedName name="____th2" localSheetId="12">{#N/A,#N/A,FALSE,"M.42"}</definedName>
    <definedName name="____th2" localSheetId="17">{#N/A,#N/A,FALSE,"M.42"}</definedName>
    <definedName name="____th2" localSheetId="15">{#N/A,#N/A,FALSE,"M.42"}</definedName>
    <definedName name="____th2" localSheetId="16">{#N/A,#N/A,FALSE,"M.42"}</definedName>
    <definedName name="____th2" localSheetId="18">{#N/A,#N/A,FALSE,"M.42"}</definedName>
    <definedName name="____th2" localSheetId="1">{#N/A,#N/A,FALSE,"M.42"}</definedName>
    <definedName name="____th2" localSheetId="6">{#N/A,#N/A,FALSE,"M.42"}</definedName>
    <definedName name="____th2" localSheetId="2">{#N/A,#N/A,FALSE,"M.42"}</definedName>
    <definedName name="____th2" localSheetId="3">{#N/A,#N/A,FALSE,"M.42"}</definedName>
    <definedName name="____th2" localSheetId="0">{#N/A,#N/A,FALSE,"M.42"}</definedName>
    <definedName name="____th2" localSheetId="9">{#N/A,#N/A,FALSE,"M.42"}</definedName>
    <definedName name="____th2">{#N/A,#N/A,FALSE,"M.42"}</definedName>
    <definedName name="___ERR1" localSheetId="7">{#N/A,#N/A,FALSE,"M.42"}</definedName>
    <definedName name="___ERR1" localSheetId="8">{#N/A,#N/A,FALSE,"M.42"}</definedName>
    <definedName name="___ERR1" localSheetId="14">{#N/A,#N/A,FALSE,"M.42"}</definedName>
    <definedName name="___ERR1" localSheetId="13">{#N/A,#N/A,FALSE,"M.42"}</definedName>
    <definedName name="___ERR1" localSheetId="11">{#N/A,#N/A,FALSE,"M.42"}</definedName>
    <definedName name="___ERR1" localSheetId="12">{#N/A,#N/A,FALSE,"M.42"}</definedName>
    <definedName name="___ERR1" localSheetId="17">{#N/A,#N/A,FALSE,"M.42"}</definedName>
    <definedName name="___ERR1" localSheetId="15">{#N/A,#N/A,FALSE,"M.42"}</definedName>
    <definedName name="___ERR1" localSheetId="16">{#N/A,#N/A,FALSE,"M.42"}</definedName>
    <definedName name="___ERR1" localSheetId="18">{#N/A,#N/A,FALSE,"M.42"}</definedName>
    <definedName name="___ERR1" localSheetId="1">{#N/A,#N/A,FALSE,"M.42"}</definedName>
    <definedName name="___ERR1" localSheetId="6">{#N/A,#N/A,FALSE,"M.42"}</definedName>
    <definedName name="___ERR1" localSheetId="2">{#N/A,#N/A,FALSE,"M.42"}</definedName>
    <definedName name="___ERR1" localSheetId="3">{#N/A,#N/A,FALSE,"M.42"}</definedName>
    <definedName name="___ERR1" localSheetId="0">{#N/A,#N/A,FALSE,"M.42"}</definedName>
    <definedName name="___ERR1" localSheetId="9">{#N/A,#N/A,FALSE,"M.42"}</definedName>
    <definedName name="___ERR1">{#N/A,#N/A,FALSE,"M.42"}</definedName>
    <definedName name="___JBN3" localSheetId="7">{#N/A,#N/A,FALSE,"M.32"}</definedName>
    <definedName name="___JBN3" localSheetId="8">{#N/A,#N/A,FALSE,"M.32"}</definedName>
    <definedName name="___JBN3" localSheetId="14">{#N/A,#N/A,FALSE,"M.32"}</definedName>
    <definedName name="___JBN3" localSheetId="13">{#N/A,#N/A,FALSE,"M.32"}</definedName>
    <definedName name="___JBN3" localSheetId="11">{#N/A,#N/A,FALSE,"M.32"}</definedName>
    <definedName name="___JBN3" localSheetId="12">{#N/A,#N/A,FALSE,"M.32"}</definedName>
    <definedName name="___JBN3" localSheetId="17">{#N/A,#N/A,FALSE,"M.32"}</definedName>
    <definedName name="___JBN3" localSheetId="15">{#N/A,#N/A,FALSE,"M.32"}</definedName>
    <definedName name="___JBN3" localSheetId="16">{#N/A,#N/A,FALSE,"M.32"}</definedName>
    <definedName name="___JBN3" localSheetId="18">{#N/A,#N/A,FALSE,"M.32"}</definedName>
    <definedName name="___JBN3" localSheetId="1">{#N/A,#N/A,FALSE,"M.32"}</definedName>
    <definedName name="___JBN3" localSheetId="6">{#N/A,#N/A,FALSE,"M.32"}</definedName>
    <definedName name="___JBN3" localSheetId="2">{#N/A,#N/A,FALSE,"M.32"}</definedName>
    <definedName name="___JBN3" localSheetId="3">{#N/A,#N/A,FALSE,"M.32"}</definedName>
    <definedName name="___JBN3" localSheetId="0">{#N/A,#N/A,FALSE,"M.32"}</definedName>
    <definedName name="___JBN3" localSheetId="9">{#N/A,#N/A,FALSE,"M.32"}</definedName>
    <definedName name="___JBN3">{#N/A,#N/A,FALSE,"M.32"}</definedName>
    <definedName name="___kl09" localSheetId="7">{#N/A,#N/A,FALSE,"M.01"}</definedName>
    <definedName name="___kl09" localSheetId="8">{#N/A,#N/A,FALSE,"M.01"}</definedName>
    <definedName name="___kl09" localSheetId="14">{#N/A,#N/A,FALSE,"M.01"}</definedName>
    <definedName name="___kl09" localSheetId="13">{#N/A,#N/A,FALSE,"M.01"}</definedName>
    <definedName name="___kl09" localSheetId="11">{#N/A,#N/A,FALSE,"M.01"}</definedName>
    <definedName name="___kl09" localSheetId="12">{#N/A,#N/A,FALSE,"M.01"}</definedName>
    <definedName name="___kl09" localSheetId="17">{#N/A,#N/A,FALSE,"M.01"}</definedName>
    <definedName name="___kl09" localSheetId="15">{#N/A,#N/A,FALSE,"M.01"}</definedName>
    <definedName name="___kl09" localSheetId="16">{#N/A,#N/A,FALSE,"M.01"}</definedName>
    <definedName name="___kl09" localSheetId="18">{#N/A,#N/A,FALSE,"M.01"}</definedName>
    <definedName name="___kl09" localSheetId="1">{#N/A,#N/A,FALSE,"M.01"}</definedName>
    <definedName name="___kl09" localSheetId="6">{#N/A,#N/A,FALSE,"M.01"}</definedName>
    <definedName name="___kl09" localSheetId="2">{#N/A,#N/A,FALSE,"M.01"}</definedName>
    <definedName name="___kl09" localSheetId="3">{#N/A,#N/A,FALSE,"M.01"}</definedName>
    <definedName name="___kl09" localSheetId="0">{#N/A,#N/A,FALSE,"M.01"}</definedName>
    <definedName name="___kl09" localSheetId="9">{#N/A,#N/A,FALSE,"M.01"}</definedName>
    <definedName name="___kl09">{#N/A,#N/A,FALSE,"M.01"}</definedName>
    <definedName name="___RIP2" localSheetId="7">{#N/A,#N/A,FALSE,"M.01"}</definedName>
    <definedName name="___RIP2" localSheetId="8">{#N/A,#N/A,FALSE,"M.01"}</definedName>
    <definedName name="___RIP2" localSheetId="14">{#N/A,#N/A,FALSE,"M.01"}</definedName>
    <definedName name="___RIP2" localSheetId="13">{#N/A,#N/A,FALSE,"M.01"}</definedName>
    <definedName name="___RIP2" localSheetId="11">{#N/A,#N/A,FALSE,"M.01"}</definedName>
    <definedName name="___RIP2" localSheetId="12">{#N/A,#N/A,FALSE,"M.01"}</definedName>
    <definedName name="___RIP2" localSheetId="17">{#N/A,#N/A,FALSE,"M.01"}</definedName>
    <definedName name="___RIP2" localSheetId="15">{#N/A,#N/A,FALSE,"M.01"}</definedName>
    <definedName name="___RIP2" localSheetId="16">{#N/A,#N/A,FALSE,"M.01"}</definedName>
    <definedName name="___RIP2" localSheetId="18">{#N/A,#N/A,FALSE,"M.01"}</definedName>
    <definedName name="___RIP2" localSheetId="1">{#N/A,#N/A,FALSE,"M.01"}</definedName>
    <definedName name="___RIP2" localSheetId="6">{#N/A,#N/A,FALSE,"M.01"}</definedName>
    <definedName name="___RIP2" localSheetId="2">{#N/A,#N/A,FALSE,"M.01"}</definedName>
    <definedName name="___RIP2" localSheetId="3">{#N/A,#N/A,FALSE,"M.01"}</definedName>
    <definedName name="___RIP2" localSheetId="0">{#N/A,#N/A,FALSE,"M.01"}</definedName>
    <definedName name="___RIP2" localSheetId="9">{#N/A,#N/A,FALSE,"M.01"}</definedName>
    <definedName name="___RIP2">{#N/A,#N/A,FALSE,"M.01"}</definedName>
    <definedName name="___RIP3" localSheetId="7">{#N/A,#N/A,FALSE,"M.41"}</definedName>
    <definedName name="___RIP3" localSheetId="8">{#N/A,#N/A,FALSE,"M.41"}</definedName>
    <definedName name="___RIP3" localSheetId="14">{#N/A,#N/A,FALSE,"M.41"}</definedName>
    <definedName name="___RIP3" localSheetId="13">{#N/A,#N/A,FALSE,"M.41"}</definedName>
    <definedName name="___RIP3" localSheetId="11">{#N/A,#N/A,FALSE,"M.41"}</definedName>
    <definedName name="___RIP3" localSheetId="12">{#N/A,#N/A,FALSE,"M.41"}</definedName>
    <definedName name="___RIP3" localSheetId="17">{#N/A,#N/A,FALSE,"M.41"}</definedName>
    <definedName name="___RIP3" localSheetId="15">{#N/A,#N/A,FALSE,"M.41"}</definedName>
    <definedName name="___RIP3" localSheetId="16">{#N/A,#N/A,FALSE,"M.41"}</definedName>
    <definedName name="___RIP3" localSheetId="18">{#N/A,#N/A,FALSE,"M.41"}</definedName>
    <definedName name="___RIP3" localSheetId="1">{#N/A,#N/A,FALSE,"M.41"}</definedName>
    <definedName name="___RIP3" localSheetId="6">{#N/A,#N/A,FALSE,"M.41"}</definedName>
    <definedName name="___RIP3" localSheetId="2">{#N/A,#N/A,FALSE,"M.41"}</definedName>
    <definedName name="___RIP3" localSheetId="3">{#N/A,#N/A,FALSE,"M.41"}</definedName>
    <definedName name="___RIP3" localSheetId="0">{#N/A,#N/A,FALSE,"M.41"}</definedName>
    <definedName name="___RIP3" localSheetId="9">{#N/A,#N/A,FALSE,"M.41"}</definedName>
    <definedName name="___RIP3">{#N/A,#N/A,FALSE,"M.41"}</definedName>
    <definedName name="___SLA2009" localSheetId="7">{#N/A,#N/A,FALSE,"M.32"}</definedName>
    <definedName name="___SLA2009" localSheetId="8">{#N/A,#N/A,FALSE,"M.32"}</definedName>
    <definedName name="___SLA2009" localSheetId="14">{#N/A,#N/A,FALSE,"M.32"}</definedName>
    <definedName name="___SLA2009" localSheetId="13">{#N/A,#N/A,FALSE,"M.32"}</definedName>
    <definedName name="___SLA2009" localSheetId="11">{#N/A,#N/A,FALSE,"M.32"}</definedName>
    <definedName name="___SLA2009" localSheetId="12">{#N/A,#N/A,FALSE,"M.32"}</definedName>
    <definedName name="___SLA2009" localSheetId="17">{#N/A,#N/A,FALSE,"M.32"}</definedName>
    <definedName name="___SLA2009" localSheetId="15">{#N/A,#N/A,FALSE,"M.32"}</definedName>
    <definedName name="___SLA2009" localSheetId="16">{#N/A,#N/A,FALSE,"M.32"}</definedName>
    <definedName name="___SLA2009" localSheetId="18">{#N/A,#N/A,FALSE,"M.32"}</definedName>
    <definedName name="___SLA2009" localSheetId="1">{#N/A,#N/A,FALSE,"M.32"}</definedName>
    <definedName name="___SLA2009" localSheetId="6">{#N/A,#N/A,FALSE,"M.32"}</definedName>
    <definedName name="___SLA2009" localSheetId="2">{#N/A,#N/A,FALSE,"M.32"}</definedName>
    <definedName name="___SLA2009" localSheetId="3">{#N/A,#N/A,FALSE,"M.32"}</definedName>
    <definedName name="___SLA2009" localSheetId="0">{#N/A,#N/A,FALSE,"M.32"}</definedName>
    <definedName name="___SLA2009" localSheetId="9">{#N/A,#N/A,FALSE,"M.32"}</definedName>
    <definedName name="___SLA2009">{#N/A,#N/A,FALSE,"M.32"}</definedName>
    <definedName name="___TH1" localSheetId="7">{#N/A,#N/A,FALSE,"M.34"}</definedName>
    <definedName name="___TH1" localSheetId="8">{#N/A,#N/A,FALSE,"M.34"}</definedName>
    <definedName name="___TH1" localSheetId="14">{#N/A,#N/A,FALSE,"M.34"}</definedName>
    <definedName name="___TH1" localSheetId="13">{#N/A,#N/A,FALSE,"M.34"}</definedName>
    <definedName name="___TH1" localSheetId="11">{#N/A,#N/A,FALSE,"M.34"}</definedName>
    <definedName name="___TH1" localSheetId="12">{#N/A,#N/A,FALSE,"M.34"}</definedName>
    <definedName name="___TH1" localSheetId="17">{#N/A,#N/A,FALSE,"M.34"}</definedName>
    <definedName name="___TH1" localSheetId="15">{#N/A,#N/A,FALSE,"M.34"}</definedName>
    <definedName name="___TH1" localSheetId="16">{#N/A,#N/A,FALSE,"M.34"}</definedName>
    <definedName name="___TH1" localSheetId="18">{#N/A,#N/A,FALSE,"M.34"}</definedName>
    <definedName name="___TH1" localSheetId="1">{#N/A,#N/A,FALSE,"M.34"}</definedName>
    <definedName name="___TH1" localSheetId="6">{#N/A,#N/A,FALSE,"M.34"}</definedName>
    <definedName name="___TH1" localSheetId="2">{#N/A,#N/A,FALSE,"M.34"}</definedName>
    <definedName name="___TH1" localSheetId="3">{#N/A,#N/A,FALSE,"M.34"}</definedName>
    <definedName name="___TH1" localSheetId="0">{#N/A,#N/A,FALSE,"M.34"}</definedName>
    <definedName name="___TH1" localSheetId="9">{#N/A,#N/A,FALSE,"M.34"}</definedName>
    <definedName name="___TH1">{#N/A,#N/A,FALSE,"M.34"}</definedName>
    <definedName name="___th2" localSheetId="7">{#N/A,#N/A,FALSE,"M.42"}</definedName>
    <definedName name="___th2" localSheetId="8">{#N/A,#N/A,FALSE,"M.42"}</definedName>
    <definedName name="___th2" localSheetId="14">{#N/A,#N/A,FALSE,"M.42"}</definedName>
    <definedName name="___th2" localSheetId="13">{#N/A,#N/A,FALSE,"M.42"}</definedName>
    <definedName name="___th2" localSheetId="11">{#N/A,#N/A,FALSE,"M.42"}</definedName>
    <definedName name="___th2" localSheetId="12">{#N/A,#N/A,FALSE,"M.42"}</definedName>
    <definedName name="___th2" localSheetId="17">{#N/A,#N/A,FALSE,"M.42"}</definedName>
    <definedName name="___th2" localSheetId="15">{#N/A,#N/A,FALSE,"M.42"}</definedName>
    <definedName name="___th2" localSheetId="16">{#N/A,#N/A,FALSE,"M.42"}</definedName>
    <definedName name="___th2" localSheetId="18">{#N/A,#N/A,FALSE,"M.42"}</definedName>
    <definedName name="___th2" localSheetId="1">{#N/A,#N/A,FALSE,"M.42"}</definedName>
    <definedName name="___th2" localSheetId="6">{#N/A,#N/A,FALSE,"M.42"}</definedName>
    <definedName name="___th2" localSheetId="2">{#N/A,#N/A,FALSE,"M.42"}</definedName>
    <definedName name="___th2" localSheetId="3">{#N/A,#N/A,FALSE,"M.42"}</definedName>
    <definedName name="___th2" localSheetId="0">{#N/A,#N/A,FALSE,"M.42"}</definedName>
    <definedName name="___th2" localSheetId="9">{#N/A,#N/A,FALSE,"M.42"}</definedName>
    <definedName name="___th2">{#N/A,#N/A,FALSE,"M.42"}</definedName>
    <definedName name="__123Graph_A">'[1]TRNS-C1'!#REF!</definedName>
    <definedName name="__123Graph_A1">[2]C!$D$322:$K$322</definedName>
    <definedName name="__123Graph_A2">[2]C!$D$372:$K$372</definedName>
    <definedName name="__123Graph_ACPEXIND">[2]M!$F$18:$N$18</definedName>
    <definedName name="__123Graph_ACPEXJAVA">[2]M!$V$18:$AD$18</definedName>
    <definedName name="__123Graph_ACPEXOUTS">[2]M!$AL$18:$AT$18</definedName>
    <definedName name="__123Graph_AFININDO">[2]M!$F$27:$N$27</definedName>
    <definedName name="__123Graph_AFINJAVA">[2]M!$V$27:$AD$27</definedName>
    <definedName name="__123Graph_AFINOUTS">[2]M!$AL$27:$AT$27</definedName>
    <definedName name="__123Graph_AFUELINDO">[2]M!$F$5:$N$5</definedName>
    <definedName name="__123Graph_AFUELJAVA">[2]M!$V$5:$AD$5</definedName>
    <definedName name="__123Graph_AFUELOUTS">[2]M!$AL$5:$AT$5</definedName>
    <definedName name="__123Graph_AOPEXIND">[2]M!$F$11:$N$11</definedName>
    <definedName name="__123Graph_AOPEXJAVA">[2]M!$V$11:$AD$11</definedName>
    <definedName name="__123Graph_AOPEXOUTS">[2]M!$AL$11:$AT$11</definedName>
    <definedName name="__123Graph_AREIND">[2]M!$F$23:$N$23</definedName>
    <definedName name="__123Graph_AREJAVA">[2]M!$V$23:$AD$23</definedName>
    <definedName name="__123Graph_AREOUTSIDE">[2]M!$AL$23:$AT$23</definedName>
    <definedName name="__123Graph_B">'[1]TRNS-C1'!#REF!</definedName>
    <definedName name="__123Graph_B1">[2]C!$D$323:$K$323</definedName>
    <definedName name="__123Graph_B2">[2]C!$D$373:$K$373</definedName>
    <definedName name="__123Graph_BCPEXIND">[2]M!$F$17:$N$17</definedName>
    <definedName name="__123Graph_BCPEXJAVA">[2]M!$V$17:$AD$17</definedName>
    <definedName name="__123Graph_BCPEXOUTS">[2]M!$AL$17:$AT$17</definedName>
    <definedName name="__123Graph_BFININDO">[2]M!$F$28:$N$28</definedName>
    <definedName name="__123Graph_BFINJAVA">[2]M!$V$28:$AD$28</definedName>
    <definedName name="__123Graph_BFINOUTS">[2]M!$AL$28:$AT$28</definedName>
    <definedName name="__123Graph_BFUELINDO">[2]M!$F$6:$N$6</definedName>
    <definedName name="__123Graph_BFUELJAVA">[2]M!$V$6:$AD$6</definedName>
    <definedName name="__123Graph_BFUELOUTS">[2]M!$AL$6:$AT$6</definedName>
    <definedName name="__123Graph_BOPEXIND">[2]M!$F$12:$N$12</definedName>
    <definedName name="__123Graph_BOPEXJAVA">[2]M!$V$12:$AD$12</definedName>
    <definedName name="__123Graph_BOPEXOUTS">[2]M!$AL$12:$AT$12</definedName>
    <definedName name="__123Graph_BREIND">[2]M!$F$24:$N$24</definedName>
    <definedName name="__123Graph_BREJAVA">[2]M!$V$24:$AD$24</definedName>
    <definedName name="__123Graph_BREOUTSIDE">[2]M!$AL$24:$AT$24</definedName>
    <definedName name="__123Graph_CCPEXIND">[2]M!$F$20:$N$20</definedName>
    <definedName name="__123Graph_CCPEXJAVA">[2]M!$V$20:$AD$20</definedName>
    <definedName name="__123Graph_CCPEXOUTS">[2]M!$AL$20:$AT$20</definedName>
    <definedName name="__123Graph_CFININDO">[2]M!$F$29:$N$29</definedName>
    <definedName name="__123Graph_CFINJAVA">[2]M!$V$29:$AD$29</definedName>
    <definedName name="__123Graph_CFINOUTS">[2]M!$F$29:$N$29</definedName>
    <definedName name="__123Graph_CFUELINDO">[2]M!$F$7:$N$7</definedName>
    <definedName name="__123Graph_CFUELJAVA">[2]M!$V$7:$AD$7</definedName>
    <definedName name="__123Graph_CFUELOUTS">[2]M!$AL$7:$AT$7</definedName>
    <definedName name="__123Graph_COPEXIND">[2]M!$F$13:$N$13</definedName>
    <definedName name="__123Graph_COPEXJAVA">[2]M!$V$13:$AD$13</definedName>
    <definedName name="__123Graph_COPEXOUTS">[2]M!$AL$13:$AT$13</definedName>
    <definedName name="__123Graph_D">[3]PkRp!#REF!</definedName>
    <definedName name="__123Graph_DCPEXIND">[2]M!$F$19:$N$19</definedName>
    <definedName name="__123Graph_DCPEXJAVA">[2]M!$V$19:$AD$19</definedName>
    <definedName name="__123Graph_DCPEXOUTS">[2]M!$AL$19:$AT$19</definedName>
    <definedName name="__123Graph_DFUELINDO">[2]M!$F$8:$N$8</definedName>
    <definedName name="__123Graph_DFUELJAVA">[2]M!$V$8:$AD$8</definedName>
    <definedName name="__123Graph_DFUELOUTS">[2]M!$AL$8:$AT$8</definedName>
    <definedName name="__123Graph_DOPEXIND">[2]M!$F$14:$N$14</definedName>
    <definedName name="__123Graph_DOPEXJAVA">[2]M!$V$14:$AD$14</definedName>
    <definedName name="__123Graph_DOPEXOUTS">[2]M!$AL$14:$AT$14</definedName>
    <definedName name="__123Graph_X">'[1]TRNS-C1'!#REF!</definedName>
    <definedName name="__123Graph_XCPEXIND">[2]M!$F$3:$N$3</definedName>
    <definedName name="__123Graph_XCPEXJAVA">[2]M!$V$3:$AD$3</definedName>
    <definedName name="__123Graph_XCPEXOUTS">[2]M!$AL$3:$AT$3</definedName>
    <definedName name="__123Graph_XFININDO">[2]M!$F$3:$N$3</definedName>
    <definedName name="__123Graph_XFINJAVA">[2]M!$V$3:$AD$3</definedName>
    <definedName name="__123Graph_XFUELINDO">[2]M!$F$3:$N$3</definedName>
    <definedName name="__123Graph_XFUELJAVA">[2]M!$V$3:$AD$3</definedName>
    <definedName name="__123Graph_XFUELOUTS">[2]M!$AL$3:$AT$3</definedName>
    <definedName name="__123Graph_XOPEXIND">[2]M!$F$3:$N$3</definedName>
    <definedName name="__123Graph_XOPEXJAVA">[2]M!$V$3:$AD$3</definedName>
    <definedName name="__123Graph_XOPEXOUTS">[2]M!$AL$3:$AT$3</definedName>
    <definedName name="__123Graph_XREJAVA">[2]M!$V$3:$AD$3</definedName>
    <definedName name="__123Graph_XREOUTSIDE">[2]M!$AL$3:$AT$3</definedName>
    <definedName name="__ERR1" localSheetId="7">{#N/A,#N/A,FALSE,"M.42"}</definedName>
    <definedName name="__ERR1" localSheetId="8">{#N/A,#N/A,FALSE,"M.42"}</definedName>
    <definedName name="__ERR1" localSheetId="14">{#N/A,#N/A,FALSE,"M.42"}</definedName>
    <definedName name="__ERR1" localSheetId="13">{#N/A,#N/A,FALSE,"M.42"}</definedName>
    <definedName name="__ERR1" localSheetId="11">{#N/A,#N/A,FALSE,"M.42"}</definedName>
    <definedName name="__ERR1" localSheetId="12">{#N/A,#N/A,FALSE,"M.42"}</definedName>
    <definedName name="__ERR1" localSheetId="17">{#N/A,#N/A,FALSE,"M.42"}</definedName>
    <definedName name="__ERR1" localSheetId="15">{#N/A,#N/A,FALSE,"M.42"}</definedName>
    <definedName name="__ERR1" localSheetId="16">{#N/A,#N/A,FALSE,"M.42"}</definedName>
    <definedName name="__ERR1" localSheetId="18">{#N/A,#N/A,FALSE,"M.42"}</definedName>
    <definedName name="__ERR1" localSheetId="1">{#N/A,#N/A,FALSE,"M.42"}</definedName>
    <definedName name="__ERR1" localSheetId="6">{#N/A,#N/A,FALSE,"M.42"}</definedName>
    <definedName name="__ERR1" localSheetId="2">{#N/A,#N/A,FALSE,"M.42"}</definedName>
    <definedName name="__ERR1" localSheetId="3">{#N/A,#N/A,FALSE,"M.42"}</definedName>
    <definedName name="__ERR1" localSheetId="0">{#N/A,#N/A,FALSE,"M.42"}</definedName>
    <definedName name="__ERR1" localSheetId="9">{#N/A,#N/A,FALSE,"M.42"}</definedName>
    <definedName name="__ERR1">{#N/A,#N/A,FALSE,"M.42"}</definedName>
    <definedName name="__JBN3" localSheetId="7">{#N/A,#N/A,FALSE,"M.32"}</definedName>
    <definedName name="__JBN3" localSheetId="8">{#N/A,#N/A,FALSE,"M.32"}</definedName>
    <definedName name="__JBN3" localSheetId="14">{#N/A,#N/A,FALSE,"M.32"}</definedName>
    <definedName name="__JBN3" localSheetId="13">{#N/A,#N/A,FALSE,"M.32"}</definedName>
    <definedName name="__JBN3" localSheetId="11">{#N/A,#N/A,FALSE,"M.32"}</definedName>
    <definedName name="__JBN3" localSheetId="12">{#N/A,#N/A,FALSE,"M.32"}</definedName>
    <definedName name="__JBN3" localSheetId="17">{#N/A,#N/A,FALSE,"M.32"}</definedName>
    <definedName name="__JBN3" localSheetId="15">{#N/A,#N/A,FALSE,"M.32"}</definedName>
    <definedName name="__JBN3" localSheetId="16">{#N/A,#N/A,FALSE,"M.32"}</definedName>
    <definedName name="__JBN3" localSheetId="18">{#N/A,#N/A,FALSE,"M.32"}</definedName>
    <definedName name="__JBN3" localSheetId="1">{#N/A,#N/A,FALSE,"M.32"}</definedName>
    <definedName name="__JBN3" localSheetId="6">{#N/A,#N/A,FALSE,"M.32"}</definedName>
    <definedName name="__JBN3" localSheetId="2">{#N/A,#N/A,FALSE,"M.32"}</definedName>
    <definedName name="__JBN3" localSheetId="3">{#N/A,#N/A,FALSE,"M.32"}</definedName>
    <definedName name="__JBN3" localSheetId="0">{#N/A,#N/A,FALSE,"M.32"}</definedName>
    <definedName name="__JBN3" localSheetId="9">{#N/A,#N/A,FALSE,"M.32"}</definedName>
    <definedName name="__JBN3">{#N/A,#N/A,FALSE,"M.32"}</definedName>
    <definedName name="__Jh1" localSheetId="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14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1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1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1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1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15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1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1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0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 localSheetId="9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Jh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_kl09" localSheetId="7">{#N/A,#N/A,FALSE,"M.01"}</definedName>
    <definedName name="__kl09" localSheetId="8">{#N/A,#N/A,FALSE,"M.01"}</definedName>
    <definedName name="__kl09" localSheetId="14">{#N/A,#N/A,FALSE,"M.01"}</definedName>
    <definedName name="__kl09" localSheetId="13">{#N/A,#N/A,FALSE,"M.01"}</definedName>
    <definedName name="__kl09" localSheetId="11">{#N/A,#N/A,FALSE,"M.01"}</definedName>
    <definedName name="__kl09" localSheetId="12">{#N/A,#N/A,FALSE,"M.01"}</definedName>
    <definedName name="__kl09" localSheetId="17">{#N/A,#N/A,FALSE,"M.01"}</definedName>
    <definedName name="__kl09" localSheetId="15">{#N/A,#N/A,FALSE,"M.01"}</definedName>
    <definedName name="__kl09" localSheetId="16">{#N/A,#N/A,FALSE,"M.01"}</definedName>
    <definedName name="__kl09" localSheetId="18">{#N/A,#N/A,FALSE,"M.01"}</definedName>
    <definedName name="__kl09" localSheetId="1">{#N/A,#N/A,FALSE,"M.01"}</definedName>
    <definedName name="__kl09" localSheetId="6">{#N/A,#N/A,FALSE,"M.01"}</definedName>
    <definedName name="__kl09" localSheetId="2">{#N/A,#N/A,FALSE,"M.01"}</definedName>
    <definedName name="__kl09" localSheetId="3">{#N/A,#N/A,FALSE,"M.01"}</definedName>
    <definedName name="__kl09" localSheetId="0">{#N/A,#N/A,FALSE,"M.01"}</definedName>
    <definedName name="__kl09" localSheetId="9">{#N/A,#N/A,FALSE,"M.01"}</definedName>
    <definedName name="__kl09">{#N/A,#N/A,FALSE,"M.01"}</definedName>
    <definedName name="__RIP2" localSheetId="7">{#N/A,#N/A,FALSE,"M.01"}</definedName>
    <definedName name="__RIP2" localSheetId="8">{#N/A,#N/A,FALSE,"M.01"}</definedName>
    <definedName name="__RIP2" localSheetId="14">{#N/A,#N/A,FALSE,"M.01"}</definedName>
    <definedName name="__RIP2" localSheetId="13">{#N/A,#N/A,FALSE,"M.01"}</definedName>
    <definedName name="__RIP2" localSheetId="11">{#N/A,#N/A,FALSE,"M.01"}</definedName>
    <definedName name="__RIP2" localSheetId="12">{#N/A,#N/A,FALSE,"M.01"}</definedName>
    <definedName name="__RIP2" localSheetId="17">{#N/A,#N/A,FALSE,"M.01"}</definedName>
    <definedName name="__RIP2" localSheetId="15">{#N/A,#N/A,FALSE,"M.01"}</definedName>
    <definedName name="__RIP2" localSheetId="16">{#N/A,#N/A,FALSE,"M.01"}</definedName>
    <definedName name="__RIP2" localSheetId="18">{#N/A,#N/A,FALSE,"M.01"}</definedName>
    <definedName name="__RIP2" localSheetId="1">{#N/A,#N/A,FALSE,"M.01"}</definedName>
    <definedName name="__RIP2" localSheetId="6">{#N/A,#N/A,FALSE,"M.01"}</definedName>
    <definedName name="__RIP2" localSheetId="2">{#N/A,#N/A,FALSE,"M.01"}</definedName>
    <definedName name="__RIP2" localSheetId="3">{#N/A,#N/A,FALSE,"M.01"}</definedName>
    <definedName name="__RIP2" localSheetId="0">{#N/A,#N/A,FALSE,"M.01"}</definedName>
    <definedName name="__RIP2" localSheetId="9">{#N/A,#N/A,FALSE,"M.01"}</definedName>
    <definedName name="__RIP2">{#N/A,#N/A,FALSE,"M.01"}</definedName>
    <definedName name="__RIP3" localSheetId="7">{#N/A,#N/A,FALSE,"M.41"}</definedName>
    <definedName name="__RIP3" localSheetId="8">{#N/A,#N/A,FALSE,"M.41"}</definedName>
    <definedName name="__RIP3" localSheetId="14">{#N/A,#N/A,FALSE,"M.41"}</definedName>
    <definedName name="__RIP3" localSheetId="13">{#N/A,#N/A,FALSE,"M.41"}</definedName>
    <definedName name="__RIP3" localSheetId="11">{#N/A,#N/A,FALSE,"M.41"}</definedName>
    <definedName name="__RIP3" localSheetId="12">{#N/A,#N/A,FALSE,"M.41"}</definedName>
    <definedName name="__RIP3" localSheetId="17">{#N/A,#N/A,FALSE,"M.41"}</definedName>
    <definedName name="__RIP3" localSheetId="15">{#N/A,#N/A,FALSE,"M.41"}</definedName>
    <definedName name="__RIP3" localSheetId="16">{#N/A,#N/A,FALSE,"M.41"}</definedName>
    <definedName name="__RIP3" localSheetId="18">{#N/A,#N/A,FALSE,"M.41"}</definedName>
    <definedName name="__RIP3" localSheetId="1">{#N/A,#N/A,FALSE,"M.41"}</definedName>
    <definedName name="__RIP3" localSheetId="6">{#N/A,#N/A,FALSE,"M.41"}</definedName>
    <definedName name="__RIP3" localSheetId="2">{#N/A,#N/A,FALSE,"M.41"}</definedName>
    <definedName name="__RIP3" localSheetId="3">{#N/A,#N/A,FALSE,"M.41"}</definedName>
    <definedName name="__RIP3" localSheetId="0">{#N/A,#N/A,FALSE,"M.41"}</definedName>
    <definedName name="__RIP3" localSheetId="9">{#N/A,#N/A,FALSE,"M.41"}</definedName>
    <definedName name="__RIP3">{#N/A,#N/A,FALSE,"M.41"}</definedName>
    <definedName name="__SLA2009" localSheetId="7">{#N/A,#N/A,FALSE,"M.32"}</definedName>
    <definedName name="__SLA2009" localSheetId="8">{#N/A,#N/A,FALSE,"M.32"}</definedName>
    <definedName name="__SLA2009" localSheetId="14">{#N/A,#N/A,FALSE,"M.32"}</definedName>
    <definedName name="__SLA2009" localSheetId="13">{#N/A,#N/A,FALSE,"M.32"}</definedName>
    <definedName name="__SLA2009" localSheetId="11">{#N/A,#N/A,FALSE,"M.32"}</definedName>
    <definedName name="__SLA2009" localSheetId="12">{#N/A,#N/A,FALSE,"M.32"}</definedName>
    <definedName name="__SLA2009" localSheetId="17">{#N/A,#N/A,FALSE,"M.32"}</definedName>
    <definedName name="__SLA2009" localSheetId="15">{#N/A,#N/A,FALSE,"M.32"}</definedName>
    <definedName name="__SLA2009" localSheetId="16">{#N/A,#N/A,FALSE,"M.32"}</definedName>
    <definedName name="__SLA2009" localSheetId="18">{#N/A,#N/A,FALSE,"M.32"}</definedName>
    <definedName name="__SLA2009" localSheetId="1">{#N/A,#N/A,FALSE,"M.32"}</definedName>
    <definedName name="__SLA2009" localSheetId="6">{#N/A,#N/A,FALSE,"M.32"}</definedName>
    <definedName name="__SLA2009" localSheetId="2">{#N/A,#N/A,FALSE,"M.32"}</definedName>
    <definedName name="__SLA2009" localSheetId="3">{#N/A,#N/A,FALSE,"M.32"}</definedName>
    <definedName name="__SLA2009" localSheetId="0">{#N/A,#N/A,FALSE,"M.32"}</definedName>
    <definedName name="__SLA2009" localSheetId="9">{#N/A,#N/A,FALSE,"M.32"}</definedName>
    <definedName name="__SLA2009">{#N/A,#N/A,FALSE,"M.32"}</definedName>
    <definedName name="__TH1" localSheetId="7">{#N/A,#N/A,FALSE,"M.34"}</definedName>
    <definedName name="__TH1" localSheetId="8">{#N/A,#N/A,FALSE,"M.34"}</definedName>
    <definedName name="__TH1" localSheetId="14">{#N/A,#N/A,FALSE,"M.34"}</definedName>
    <definedName name="__TH1" localSheetId="13">{#N/A,#N/A,FALSE,"M.34"}</definedName>
    <definedName name="__TH1" localSheetId="11">{#N/A,#N/A,FALSE,"M.34"}</definedName>
    <definedName name="__TH1" localSheetId="12">{#N/A,#N/A,FALSE,"M.34"}</definedName>
    <definedName name="__TH1" localSheetId="17">{#N/A,#N/A,FALSE,"M.34"}</definedName>
    <definedName name="__TH1" localSheetId="15">{#N/A,#N/A,FALSE,"M.34"}</definedName>
    <definedName name="__TH1" localSheetId="16">{#N/A,#N/A,FALSE,"M.34"}</definedName>
    <definedName name="__TH1" localSheetId="18">{#N/A,#N/A,FALSE,"M.34"}</definedName>
    <definedName name="__TH1" localSheetId="1">{#N/A,#N/A,FALSE,"M.34"}</definedName>
    <definedName name="__TH1" localSheetId="6">{#N/A,#N/A,FALSE,"M.34"}</definedName>
    <definedName name="__TH1" localSheetId="2">{#N/A,#N/A,FALSE,"M.34"}</definedName>
    <definedName name="__TH1" localSheetId="3">{#N/A,#N/A,FALSE,"M.34"}</definedName>
    <definedName name="__TH1" localSheetId="0">{#N/A,#N/A,FALSE,"M.34"}</definedName>
    <definedName name="__TH1" localSheetId="9">{#N/A,#N/A,FALSE,"M.34"}</definedName>
    <definedName name="__TH1">{#N/A,#N/A,FALSE,"M.34"}</definedName>
    <definedName name="__th2" localSheetId="7">{#N/A,#N/A,FALSE,"M.42"}</definedName>
    <definedName name="__th2" localSheetId="8">{#N/A,#N/A,FALSE,"M.42"}</definedName>
    <definedName name="__th2" localSheetId="14">{#N/A,#N/A,FALSE,"M.42"}</definedName>
    <definedName name="__th2" localSheetId="13">{#N/A,#N/A,FALSE,"M.42"}</definedName>
    <definedName name="__th2" localSheetId="11">{#N/A,#N/A,FALSE,"M.42"}</definedName>
    <definedName name="__th2" localSheetId="12">{#N/A,#N/A,FALSE,"M.42"}</definedName>
    <definedName name="__th2" localSheetId="17">{#N/A,#N/A,FALSE,"M.42"}</definedName>
    <definedName name="__th2" localSheetId="15">{#N/A,#N/A,FALSE,"M.42"}</definedName>
    <definedName name="__th2" localSheetId="16">{#N/A,#N/A,FALSE,"M.42"}</definedName>
    <definedName name="__th2" localSheetId="18">{#N/A,#N/A,FALSE,"M.42"}</definedName>
    <definedName name="__th2" localSheetId="1">{#N/A,#N/A,FALSE,"M.42"}</definedName>
    <definedName name="__th2" localSheetId="6">{#N/A,#N/A,FALSE,"M.42"}</definedName>
    <definedName name="__th2" localSheetId="2">{#N/A,#N/A,FALSE,"M.42"}</definedName>
    <definedName name="__th2" localSheetId="3">{#N/A,#N/A,FALSE,"M.42"}</definedName>
    <definedName name="__th2" localSheetId="0">{#N/A,#N/A,FALSE,"M.42"}</definedName>
    <definedName name="__th2" localSheetId="9">{#N/A,#N/A,FALSE,"M.42"}</definedName>
    <definedName name="__th2">{#N/A,#N/A,FALSE,"M.42"}</definedName>
    <definedName name="_arr1" localSheetId="7">{#N/A,#N/A,FALSE,"M.42"}</definedName>
    <definedName name="_arr1" localSheetId="8">{#N/A,#N/A,FALSE,"M.42"}</definedName>
    <definedName name="_arr1" localSheetId="14">{#N/A,#N/A,FALSE,"M.42"}</definedName>
    <definedName name="_arr1" localSheetId="13">{#N/A,#N/A,FALSE,"M.42"}</definedName>
    <definedName name="_arr1" localSheetId="11">{#N/A,#N/A,FALSE,"M.42"}</definedName>
    <definedName name="_arr1" localSheetId="12">{#N/A,#N/A,FALSE,"M.42"}</definedName>
    <definedName name="_arr1" localSheetId="17">{#N/A,#N/A,FALSE,"M.42"}</definedName>
    <definedName name="_arr1" localSheetId="15">{#N/A,#N/A,FALSE,"M.42"}</definedName>
    <definedName name="_arr1" localSheetId="16">{#N/A,#N/A,FALSE,"M.42"}</definedName>
    <definedName name="_arr1" localSheetId="18">{#N/A,#N/A,FALSE,"M.42"}</definedName>
    <definedName name="_arr1" localSheetId="1">{#N/A,#N/A,FALSE,"M.42"}</definedName>
    <definedName name="_arr1" localSheetId="6">{#N/A,#N/A,FALSE,"M.42"}</definedName>
    <definedName name="_arr1" localSheetId="2">{#N/A,#N/A,FALSE,"M.42"}</definedName>
    <definedName name="_arr1" localSheetId="3">{#N/A,#N/A,FALSE,"M.42"}</definedName>
    <definedName name="_arr1" localSheetId="0">{#N/A,#N/A,FALSE,"M.42"}</definedName>
    <definedName name="_arr1" localSheetId="9">{#N/A,#N/A,FALSE,"M.42"}</definedName>
    <definedName name="_arr1">{#N/A,#N/A,FALSE,"M.42"}</definedName>
    <definedName name="_Dist_Bin" localSheetId="7">#REF!</definedName>
    <definedName name="_Dist_Bin" localSheetId="8">#REF!</definedName>
    <definedName name="_Dist_Bin" localSheetId="14">#REF!</definedName>
    <definedName name="_Dist_Bin" localSheetId="13">#REF!</definedName>
    <definedName name="_Dist_Bin" localSheetId="11">#REF!</definedName>
    <definedName name="_Dist_Bin" localSheetId="12">#REF!</definedName>
    <definedName name="_Dist_Bin" localSheetId="17">#REF!</definedName>
    <definedName name="_Dist_Bin" localSheetId="15">#REF!</definedName>
    <definedName name="_Dist_Bin" localSheetId="16">#REF!</definedName>
    <definedName name="_Dist_Bin" localSheetId="18">#REF!</definedName>
    <definedName name="_Dist_Bin" localSheetId="1">#REF!</definedName>
    <definedName name="_Dist_Bin" localSheetId="6">#REF!</definedName>
    <definedName name="_Dist_Bin" localSheetId="2">#REF!</definedName>
    <definedName name="_Dist_Bin" localSheetId="3">#REF!</definedName>
    <definedName name="_Dist_Bin">#REF!</definedName>
    <definedName name="_Dist_Values" localSheetId="7">#REF!</definedName>
    <definedName name="_Dist_Values" localSheetId="8">#REF!</definedName>
    <definedName name="_Dist_Values" localSheetId="14">#REF!</definedName>
    <definedName name="_Dist_Values" localSheetId="13">#REF!</definedName>
    <definedName name="_Dist_Values" localSheetId="11">#REF!</definedName>
    <definedName name="_Dist_Values" localSheetId="12">#REF!</definedName>
    <definedName name="_Dist_Values" localSheetId="17">#REF!</definedName>
    <definedName name="_Dist_Values" localSheetId="15">#REF!</definedName>
    <definedName name="_Dist_Values" localSheetId="16">#REF!</definedName>
    <definedName name="_Dist_Values" localSheetId="18">#REF!</definedName>
    <definedName name="_Dist_Values" localSheetId="1">#REF!</definedName>
    <definedName name="_Dist_Values" localSheetId="6">#REF!</definedName>
    <definedName name="_Dist_Values" localSheetId="2">#REF!</definedName>
    <definedName name="_Dist_Values" localSheetId="3">#REF!</definedName>
    <definedName name="_Dist_Values">#REF!</definedName>
    <definedName name="_ERR1" localSheetId="7">{#N/A,#N/A,FALSE,"M.42"}</definedName>
    <definedName name="_ERR1" localSheetId="8">{#N/A,#N/A,FALSE,"M.42"}</definedName>
    <definedName name="_ERR1" localSheetId="14">{#N/A,#N/A,FALSE,"M.42"}</definedName>
    <definedName name="_ERR1" localSheetId="13">{#N/A,#N/A,FALSE,"M.42"}</definedName>
    <definedName name="_ERR1" localSheetId="11">{#N/A,#N/A,FALSE,"M.42"}</definedName>
    <definedName name="_ERR1" localSheetId="12">{#N/A,#N/A,FALSE,"M.42"}</definedName>
    <definedName name="_ERR1" localSheetId="17">{#N/A,#N/A,FALSE,"M.42"}</definedName>
    <definedName name="_ERR1" localSheetId="15">{#N/A,#N/A,FALSE,"M.42"}</definedName>
    <definedName name="_ERR1" localSheetId="16">{#N/A,#N/A,FALSE,"M.42"}</definedName>
    <definedName name="_ERR1" localSheetId="18">{#N/A,#N/A,FALSE,"M.42"}</definedName>
    <definedName name="_ERR1" localSheetId="1">{#N/A,#N/A,FALSE,"M.42"}</definedName>
    <definedName name="_ERR1" localSheetId="6">{#N/A,#N/A,FALSE,"M.42"}</definedName>
    <definedName name="_ERR1" localSheetId="2">{#N/A,#N/A,FALSE,"M.42"}</definedName>
    <definedName name="_ERR1" localSheetId="3">{#N/A,#N/A,FALSE,"M.42"}</definedName>
    <definedName name="_ERR1" localSheetId="0">{#N/A,#N/A,FALSE,"M.42"}</definedName>
    <definedName name="_ERR1" localSheetId="9">{#N/A,#N/A,FALSE,"M.42"}</definedName>
    <definedName name="_ERR1">{#N/A,#N/A,FALSE,"M.42"}</definedName>
    <definedName name="_err2" localSheetId="7">{#N/A,#N/A,FALSE,"M.42"}</definedName>
    <definedName name="_err2" localSheetId="8">{#N/A,#N/A,FALSE,"M.42"}</definedName>
    <definedName name="_err2" localSheetId="14">{#N/A,#N/A,FALSE,"M.42"}</definedName>
    <definedName name="_err2" localSheetId="13">{#N/A,#N/A,FALSE,"M.42"}</definedName>
    <definedName name="_err2" localSheetId="11">{#N/A,#N/A,FALSE,"M.42"}</definedName>
    <definedName name="_err2" localSheetId="12">{#N/A,#N/A,FALSE,"M.42"}</definedName>
    <definedName name="_err2" localSheetId="17">{#N/A,#N/A,FALSE,"M.42"}</definedName>
    <definedName name="_err2" localSheetId="15">{#N/A,#N/A,FALSE,"M.42"}</definedName>
    <definedName name="_err2" localSheetId="16">{#N/A,#N/A,FALSE,"M.42"}</definedName>
    <definedName name="_err2" localSheetId="18">{#N/A,#N/A,FALSE,"M.42"}</definedName>
    <definedName name="_err2" localSheetId="1">{#N/A,#N/A,FALSE,"M.42"}</definedName>
    <definedName name="_err2" localSheetId="6">{#N/A,#N/A,FALSE,"M.42"}</definedName>
    <definedName name="_err2" localSheetId="2">{#N/A,#N/A,FALSE,"M.42"}</definedName>
    <definedName name="_err2" localSheetId="3">{#N/A,#N/A,FALSE,"M.42"}</definedName>
    <definedName name="_err2" localSheetId="0">{#N/A,#N/A,FALSE,"M.42"}</definedName>
    <definedName name="_err2" localSheetId="9">{#N/A,#N/A,FALSE,"M.42"}</definedName>
    <definedName name="_err2">{#N/A,#N/A,FALSE,"M.42"}</definedName>
    <definedName name="_Fill" localSheetId="7">#REF!</definedName>
    <definedName name="_Fill" localSheetId="8">#REF!</definedName>
    <definedName name="_Fill" localSheetId="14">#REF!</definedName>
    <definedName name="_Fill" localSheetId="13">#REF!</definedName>
    <definedName name="_Fill" localSheetId="11">#REF!</definedName>
    <definedName name="_Fill" localSheetId="12">#REF!</definedName>
    <definedName name="_Fill" localSheetId="17">#REF!</definedName>
    <definedName name="_Fill" localSheetId="15">#REF!</definedName>
    <definedName name="_Fill" localSheetId="16">#REF!</definedName>
    <definedName name="_Fill" localSheetId="18">#REF!</definedName>
    <definedName name="_Fill" localSheetId="1">#REF!</definedName>
    <definedName name="_Fill" localSheetId="6">#REF!</definedName>
    <definedName name="_Fill" localSheetId="2">#REF!</definedName>
    <definedName name="_Fill" localSheetId="3">#REF!</definedName>
    <definedName name="_Fill">#REF!</definedName>
    <definedName name="_xlnm._FilterDatabase" localSheetId="7" hidden="1">'4472.BDB.001'!$A$16:$B$116</definedName>
    <definedName name="_xlnm._FilterDatabase" localSheetId="8" hidden="1">'4472.BDB.002'!$A$17:$B$41</definedName>
    <definedName name="_xlnm._FilterDatabase" localSheetId="14" hidden="1">'6392.EBA.962'!$A$17:$B$19</definedName>
    <definedName name="_xlnm._FilterDatabase" localSheetId="13" hidden="1">'6392.EBB.951'!$A$17:$B$19</definedName>
    <definedName name="_xlnm._FilterDatabase" localSheetId="5" hidden="1">'Indikatif 2025'!$A$4:$F$27</definedName>
    <definedName name="_xlnm._FilterDatabase" localSheetId="11" hidden="1">'RAB 7733.BDB.002'!$A$16:$B$58</definedName>
    <definedName name="_xlnm._FilterDatabase" localSheetId="12" hidden="1">'RAB 7733.BEJ.001'!$A$16:$B$57</definedName>
    <definedName name="_xlnm._FilterDatabase" localSheetId="17" hidden="1">'RAB 7735.EBA.956'!$A$16:$B$28</definedName>
    <definedName name="_xlnm._FilterDatabase" localSheetId="15" hidden="1">'RAB 7735.EBA.962'!$A$16:$B$62</definedName>
    <definedName name="_xlnm._FilterDatabase" localSheetId="16" hidden="1">'RAB 7735.EBA.994'!$A$15:$B$167</definedName>
    <definedName name="_xlnm._FilterDatabase" localSheetId="18" hidden="1">'RAB 7735.EBB.951'!$A$16:$B$28</definedName>
    <definedName name="_xlnm._FilterDatabase" localSheetId="1" hidden="1">'RAB Full 2026'!$A$4:$B$610</definedName>
    <definedName name="_xlnm._FilterDatabase" localSheetId="6" hidden="1">'RAB Pagu Tambahan'!$A$19:$B$186</definedName>
    <definedName name="_xlnm._FilterDatabase" localSheetId="2" hidden="1">'RAB Rev Terakhir'!$A$4:$B$487</definedName>
    <definedName name="_xlnm._FilterDatabase" localSheetId="3" hidden="1">'RAB Semula Menjadi'!$A$4:$B$521</definedName>
    <definedName name="_xlnm._FilterDatabase" localSheetId="0" hidden="1">'RKA 2024'!$A$4:$F$419</definedName>
    <definedName name="_JBN3" localSheetId="7">{#N/A,#N/A,FALSE,"M.32"}</definedName>
    <definedName name="_JBN3" localSheetId="8">{#N/A,#N/A,FALSE,"M.32"}</definedName>
    <definedName name="_JBN3" localSheetId="14">{#N/A,#N/A,FALSE,"M.32"}</definedName>
    <definedName name="_JBN3" localSheetId="13">{#N/A,#N/A,FALSE,"M.32"}</definedName>
    <definedName name="_JBN3" localSheetId="11">{#N/A,#N/A,FALSE,"M.32"}</definedName>
    <definedName name="_JBN3" localSheetId="12">{#N/A,#N/A,FALSE,"M.32"}</definedName>
    <definedName name="_JBN3" localSheetId="17">{#N/A,#N/A,FALSE,"M.32"}</definedName>
    <definedName name="_JBN3" localSheetId="15">{#N/A,#N/A,FALSE,"M.32"}</definedName>
    <definedName name="_JBN3" localSheetId="16">{#N/A,#N/A,FALSE,"M.32"}</definedName>
    <definedName name="_JBN3" localSheetId="18">{#N/A,#N/A,FALSE,"M.32"}</definedName>
    <definedName name="_JBN3" localSheetId="1">{#N/A,#N/A,FALSE,"M.32"}</definedName>
    <definedName name="_JBN3" localSheetId="6">{#N/A,#N/A,FALSE,"M.32"}</definedName>
    <definedName name="_JBN3" localSheetId="2">{#N/A,#N/A,FALSE,"M.32"}</definedName>
    <definedName name="_JBN3" localSheetId="3">{#N/A,#N/A,FALSE,"M.32"}</definedName>
    <definedName name="_JBN3" localSheetId="0">{#N/A,#N/A,FALSE,"M.32"}</definedName>
    <definedName name="_JBN3" localSheetId="9">{#N/A,#N/A,FALSE,"M.32"}</definedName>
    <definedName name="_JBN3">{#N/A,#N/A,FALSE,"M.32"}</definedName>
    <definedName name="_Jh1" localSheetId="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14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1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1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1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1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15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1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1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0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 localSheetId="9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Jh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_Key1" localSheetId="7">#REF!</definedName>
    <definedName name="_Key1" localSheetId="8">#REF!</definedName>
    <definedName name="_Key1" localSheetId="14">#REF!</definedName>
    <definedName name="_Key1" localSheetId="13">#REF!</definedName>
    <definedName name="_Key1" localSheetId="11">#REF!</definedName>
    <definedName name="_Key1" localSheetId="12">#REF!</definedName>
    <definedName name="_Key1" localSheetId="17">#REF!</definedName>
    <definedName name="_Key1" localSheetId="15">#REF!</definedName>
    <definedName name="_Key1" localSheetId="16">#REF!</definedName>
    <definedName name="_Key1" localSheetId="18">#REF!</definedName>
    <definedName name="_Key1" localSheetId="1">#REF!</definedName>
    <definedName name="_Key1" localSheetId="6">#REF!</definedName>
    <definedName name="_Key1" localSheetId="2">#REF!</definedName>
    <definedName name="_Key1" localSheetId="3">#REF!</definedName>
    <definedName name="_Key1">#REF!</definedName>
    <definedName name="_Key2" localSheetId="7">#REF!</definedName>
    <definedName name="_Key2" localSheetId="8">#REF!</definedName>
    <definedName name="_Key2" localSheetId="14">#REF!</definedName>
    <definedName name="_Key2" localSheetId="13">#REF!</definedName>
    <definedName name="_Key2" localSheetId="11">#REF!</definedName>
    <definedName name="_Key2" localSheetId="12">#REF!</definedName>
    <definedName name="_Key2" localSheetId="17">#REF!</definedName>
    <definedName name="_Key2" localSheetId="15">#REF!</definedName>
    <definedName name="_Key2" localSheetId="16">#REF!</definedName>
    <definedName name="_Key2" localSheetId="18">#REF!</definedName>
    <definedName name="_Key2" localSheetId="1">#REF!</definedName>
    <definedName name="_Key2" localSheetId="6">#REF!</definedName>
    <definedName name="_Key2" localSheetId="2">#REF!</definedName>
    <definedName name="_Key2" localSheetId="3">#REF!</definedName>
    <definedName name="_Key2">#REF!</definedName>
    <definedName name="_kl09" localSheetId="7">{#N/A,#N/A,FALSE,"M.01"}</definedName>
    <definedName name="_kl09" localSheetId="8">{#N/A,#N/A,FALSE,"M.01"}</definedName>
    <definedName name="_kl09" localSheetId="14">{#N/A,#N/A,FALSE,"M.01"}</definedName>
    <definedName name="_kl09" localSheetId="13">{#N/A,#N/A,FALSE,"M.01"}</definedName>
    <definedName name="_kl09" localSheetId="11">{#N/A,#N/A,FALSE,"M.01"}</definedName>
    <definedName name="_kl09" localSheetId="12">{#N/A,#N/A,FALSE,"M.01"}</definedName>
    <definedName name="_kl09" localSheetId="17">{#N/A,#N/A,FALSE,"M.01"}</definedName>
    <definedName name="_kl09" localSheetId="15">{#N/A,#N/A,FALSE,"M.01"}</definedName>
    <definedName name="_kl09" localSheetId="16">{#N/A,#N/A,FALSE,"M.01"}</definedName>
    <definedName name="_kl09" localSheetId="18">{#N/A,#N/A,FALSE,"M.01"}</definedName>
    <definedName name="_kl09" localSheetId="1">{#N/A,#N/A,FALSE,"M.01"}</definedName>
    <definedName name="_kl09" localSheetId="6">{#N/A,#N/A,FALSE,"M.01"}</definedName>
    <definedName name="_kl09" localSheetId="2">{#N/A,#N/A,FALSE,"M.01"}</definedName>
    <definedName name="_kl09" localSheetId="3">{#N/A,#N/A,FALSE,"M.01"}</definedName>
    <definedName name="_kl09" localSheetId="0">{#N/A,#N/A,FALSE,"M.01"}</definedName>
    <definedName name="_kl09" localSheetId="9">{#N/A,#N/A,FALSE,"M.01"}</definedName>
    <definedName name="_kl09">{#N/A,#N/A,FALSE,"M.01"}</definedName>
    <definedName name="_Order1">255</definedName>
    <definedName name="_Order2">0</definedName>
    <definedName name="_Regression_Int">1</definedName>
    <definedName name="_RIP2" localSheetId="7">{#N/A,#N/A,FALSE,"M.01"}</definedName>
    <definedName name="_RIP2" localSheetId="8">{#N/A,#N/A,FALSE,"M.01"}</definedName>
    <definedName name="_RIP2" localSheetId="14">{#N/A,#N/A,FALSE,"M.01"}</definedName>
    <definedName name="_RIP2" localSheetId="13">{#N/A,#N/A,FALSE,"M.01"}</definedName>
    <definedName name="_RIP2" localSheetId="11">{#N/A,#N/A,FALSE,"M.01"}</definedName>
    <definedName name="_RIP2" localSheetId="12">{#N/A,#N/A,FALSE,"M.01"}</definedName>
    <definedName name="_RIP2" localSheetId="17">{#N/A,#N/A,FALSE,"M.01"}</definedName>
    <definedName name="_RIP2" localSheetId="15">{#N/A,#N/A,FALSE,"M.01"}</definedName>
    <definedName name="_RIP2" localSheetId="16">{#N/A,#N/A,FALSE,"M.01"}</definedName>
    <definedName name="_RIP2" localSheetId="18">{#N/A,#N/A,FALSE,"M.01"}</definedName>
    <definedName name="_RIP2" localSheetId="1">{#N/A,#N/A,FALSE,"M.01"}</definedName>
    <definedName name="_RIP2" localSheetId="6">{#N/A,#N/A,FALSE,"M.01"}</definedName>
    <definedName name="_RIP2" localSheetId="2">{#N/A,#N/A,FALSE,"M.01"}</definedName>
    <definedName name="_RIP2" localSheetId="3">{#N/A,#N/A,FALSE,"M.01"}</definedName>
    <definedName name="_RIP2" localSheetId="0">{#N/A,#N/A,FALSE,"M.01"}</definedName>
    <definedName name="_RIP2" localSheetId="9">{#N/A,#N/A,FALSE,"M.01"}</definedName>
    <definedName name="_RIP2">{#N/A,#N/A,FALSE,"M.01"}</definedName>
    <definedName name="_RIP3" localSheetId="7">{#N/A,#N/A,FALSE,"M.41"}</definedName>
    <definedName name="_RIP3" localSheetId="8">{#N/A,#N/A,FALSE,"M.41"}</definedName>
    <definedName name="_RIP3" localSheetId="14">{#N/A,#N/A,FALSE,"M.41"}</definedName>
    <definedName name="_RIP3" localSheetId="13">{#N/A,#N/A,FALSE,"M.41"}</definedName>
    <definedName name="_RIP3" localSheetId="11">{#N/A,#N/A,FALSE,"M.41"}</definedName>
    <definedName name="_RIP3" localSheetId="12">{#N/A,#N/A,FALSE,"M.41"}</definedName>
    <definedName name="_RIP3" localSheetId="17">{#N/A,#N/A,FALSE,"M.41"}</definedName>
    <definedName name="_RIP3" localSheetId="15">{#N/A,#N/A,FALSE,"M.41"}</definedName>
    <definedName name="_RIP3" localSheetId="16">{#N/A,#N/A,FALSE,"M.41"}</definedName>
    <definedName name="_RIP3" localSheetId="18">{#N/A,#N/A,FALSE,"M.41"}</definedName>
    <definedName name="_RIP3" localSheetId="1">{#N/A,#N/A,FALSE,"M.41"}</definedName>
    <definedName name="_RIP3" localSheetId="6">{#N/A,#N/A,FALSE,"M.41"}</definedName>
    <definedName name="_RIP3" localSheetId="2">{#N/A,#N/A,FALSE,"M.41"}</definedName>
    <definedName name="_RIP3" localSheetId="3">{#N/A,#N/A,FALSE,"M.41"}</definedName>
    <definedName name="_RIP3" localSheetId="0">{#N/A,#N/A,FALSE,"M.41"}</definedName>
    <definedName name="_RIP3" localSheetId="9">{#N/A,#N/A,FALSE,"M.41"}</definedName>
    <definedName name="_RIP3">{#N/A,#N/A,FALSE,"M.41"}</definedName>
    <definedName name="_SLA2009" localSheetId="7">{#N/A,#N/A,FALSE,"M.32"}</definedName>
    <definedName name="_SLA2009" localSheetId="8">{#N/A,#N/A,FALSE,"M.32"}</definedName>
    <definedName name="_SLA2009" localSheetId="14">{#N/A,#N/A,FALSE,"M.32"}</definedName>
    <definedName name="_SLA2009" localSheetId="13">{#N/A,#N/A,FALSE,"M.32"}</definedName>
    <definedName name="_SLA2009" localSheetId="11">{#N/A,#N/A,FALSE,"M.32"}</definedName>
    <definedName name="_SLA2009" localSheetId="12">{#N/A,#N/A,FALSE,"M.32"}</definedName>
    <definedName name="_SLA2009" localSheetId="17">{#N/A,#N/A,FALSE,"M.32"}</definedName>
    <definedName name="_SLA2009" localSheetId="15">{#N/A,#N/A,FALSE,"M.32"}</definedName>
    <definedName name="_SLA2009" localSheetId="16">{#N/A,#N/A,FALSE,"M.32"}</definedName>
    <definedName name="_SLA2009" localSheetId="18">{#N/A,#N/A,FALSE,"M.32"}</definedName>
    <definedName name="_SLA2009" localSheetId="1">{#N/A,#N/A,FALSE,"M.32"}</definedName>
    <definedName name="_SLA2009" localSheetId="6">{#N/A,#N/A,FALSE,"M.32"}</definedName>
    <definedName name="_SLA2009" localSheetId="2">{#N/A,#N/A,FALSE,"M.32"}</definedName>
    <definedName name="_SLA2009" localSheetId="3">{#N/A,#N/A,FALSE,"M.32"}</definedName>
    <definedName name="_SLA2009" localSheetId="0">{#N/A,#N/A,FALSE,"M.32"}</definedName>
    <definedName name="_SLA2009" localSheetId="9">{#N/A,#N/A,FALSE,"M.32"}</definedName>
    <definedName name="_SLA2009">{#N/A,#N/A,FALSE,"M.32"}</definedName>
    <definedName name="_Sort" localSheetId="7">#REF!</definedName>
    <definedName name="_Sort" localSheetId="8">#REF!</definedName>
    <definedName name="_Sort" localSheetId="14">#REF!</definedName>
    <definedName name="_Sort" localSheetId="13">#REF!</definedName>
    <definedName name="_Sort" localSheetId="11">#REF!</definedName>
    <definedName name="_Sort" localSheetId="12">#REF!</definedName>
    <definedName name="_Sort" localSheetId="17">#REF!</definedName>
    <definedName name="_Sort" localSheetId="15">#REF!</definedName>
    <definedName name="_Sort" localSheetId="16">#REF!</definedName>
    <definedName name="_Sort" localSheetId="18">#REF!</definedName>
    <definedName name="_Sort" localSheetId="1">#REF!</definedName>
    <definedName name="_Sort" localSheetId="6">#REF!</definedName>
    <definedName name="_Sort" localSheetId="2">#REF!</definedName>
    <definedName name="_Sort" localSheetId="3">#REF!</definedName>
    <definedName name="_Sort">#REF!</definedName>
    <definedName name="_TH1" localSheetId="7">{#N/A,#N/A,FALSE,"M.34"}</definedName>
    <definedName name="_TH1" localSheetId="8">{#N/A,#N/A,FALSE,"M.34"}</definedName>
    <definedName name="_TH1" localSheetId="14">{#N/A,#N/A,FALSE,"M.34"}</definedName>
    <definedName name="_TH1" localSheetId="13">{#N/A,#N/A,FALSE,"M.34"}</definedName>
    <definedName name="_TH1" localSheetId="11">{#N/A,#N/A,FALSE,"M.34"}</definedName>
    <definedName name="_TH1" localSheetId="12">{#N/A,#N/A,FALSE,"M.34"}</definedName>
    <definedName name="_TH1" localSheetId="17">{#N/A,#N/A,FALSE,"M.34"}</definedName>
    <definedName name="_TH1" localSheetId="15">{#N/A,#N/A,FALSE,"M.34"}</definedName>
    <definedName name="_TH1" localSheetId="16">{#N/A,#N/A,FALSE,"M.34"}</definedName>
    <definedName name="_TH1" localSheetId="18">{#N/A,#N/A,FALSE,"M.34"}</definedName>
    <definedName name="_TH1" localSheetId="1">{#N/A,#N/A,FALSE,"M.34"}</definedName>
    <definedName name="_TH1" localSheetId="6">{#N/A,#N/A,FALSE,"M.34"}</definedName>
    <definedName name="_TH1" localSheetId="2">{#N/A,#N/A,FALSE,"M.34"}</definedName>
    <definedName name="_TH1" localSheetId="3">{#N/A,#N/A,FALSE,"M.34"}</definedName>
    <definedName name="_TH1" localSheetId="0">{#N/A,#N/A,FALSE,"M.34"}</definedName>
    <definedName name="_TH1" localSheetId="9">{#N/A,#N/A,FALSE,"M.34"}</definedName>
    <definedName name="_TH1">{#N/A,#N/A,FALSE,"M.34"}</definedName>
    <definedName name="_th2" localSheetId="7">{#N/A,#N/A,FALSE,"M.42"}</definedName>
    <definedName name="_th2" localSheetId="8">{#N/A,#N/A,FALSE,"M.42"}</definedName>
    <definedName name="_th2" localSheetId="14">{#N/A,#N/A,FALSE,"M.42"}</definedName>
    <definedName name="_th2" localSheetId="13">{#N/A,#N/A,FALSE,"M.42"}</definedName>
    <definedName name="_th2" localSheetId="11">{#N/A,#N/A,FALSE,"M.42"}</definedName>
    <definedName name="_th2" localSheetId="12">{#N/A,#N/A,FALSE,"M.42"}</definedName>
    <definedName name="_th2" localSheetId="17">{#N/A,#N/A,FALSE,"M.42"}</definedName>
    <definedName name="_th2" localSheetId="15">{#N/A,#N/A,FALSE,"M.42"}</definedName>
    <definedName name="_th2" localSheetId="16">{#N/A,#N/A,FALSE,"M.42"}</definedName>
    <definedName name="_th2" localSheetId="18">{#N/A,#N/A,FALSE,"M.42"}</definedName>
    <definedName name="_th2" localSheetId="1">{#N/A,#N/A,FALSE,"M.42"}</definedName>
    <definedName name="_th2" localSheetId="6">{#N/A,#N/A,FALSE,"M.42"}</definedName>
    <definedName name="_th2" localSheetId="2">{#N/A,#N/A,FALSE,"M.42"}</definedName>
    <definedName name="_th2" localSheetId="3">{#N/A,#N/A,FALSE,"M.42"}</definedName>
    <definedName name="_th2" localSheetId="0">{#N/A,#N/A,FALSE,"M.42"}</definedName>
    <definedName name="_th2" localSheetId="9">{#N/A,#N/A,FALSE,"M.42"}</definedName>
    <definedName name="_th2">{#N/A,#N/A,FALSE,"M.42"}</definedName>
    <definedName name="AAA" localSheetId="7">{#N/A,#N/A,FALSE,"M.42"}</definedName>
    <definedName name="AAA" localSheetId="8">{#N/A,#N/A,FALSE,"M.42"}</definedName>
    <definedName name="AAA" localSheetId="14">{#N/A,#N/A,FALSE,"M.42"}</definedName>
    <definedName name="AAA" localSheetId="13">{#N/A,#N/A,FALSE,"M.42"}</definedName>
    <definedName name="AAA" localSheetId="11">{#N/A,#N/A,FALSE,"M.42"}</definedName>
    <definedName name="AAA" localSheetId="12">{#N/A,#N/A,FALSE,"M.42"}</definedName>
    <definedName name="AAA" localSheetId="17">{#N/A,#N/A,FALSE,"M.42"}</definedName>
    <definedName name="AAA" localSheetId="15">{#N/A,#N/A,FALSE,"M.42"}</definedName>
    <definedName name="AAA" localSheetId="16">{#N/A,#N/A,FALSE,"M.42"}</definedName>
    <definedName name="AAA" localSheetId="18">{#N/A,#N/A,FALSE,"M.42"}</definedName>
    <definedName name="AAA" localSheetId="1">{#N/A,#N/A,FALSE,"M.42"}</definedName>
    <definedName name="AAA" localSheetId="6">{#N/A,#N/A,FALSE,"M.42"}</definedName>
    <definedName name="AAA" localSheetId="2">{#N/A,#N/A,FALSE,"M.42"}</definedName>
    <definedName name="AAA" localSheetId="3">{#N/A,#N/A,FALSE,"M.42"}</definedName>
    <definedName name="AAA" localSheetId="0">{#N/A,#N/A,FALSE,"M.42"}</definedName>
    <definedName name="AAA" localSheetId="9">{#N/A,#N/A,FALSE,"M.42"}</definedName>
    <definedName name="AAA">{#N/A,#N/A,FALSE,"M.42"}</definedName>
    <definedName name="aep" localSheetId="7">{#N/A,#N/A,FALSE,"M.41"}</definedName>
    <definedName name="aep" localSheetId="8">{#N/A,#N/A,FALSE,"M.41"}</definedName>
    <definedName name="aep" localSheetId="14">{#N/A,#N/A,FALSE,"M.41"}</definedName>
    <definedName name="aep" localSheetId="13">{#N/A,#N/A,FALSE,"M.41"}</definedName>
    <definedName name="aep" localSheetId="11">{#N/A,#N/A,FALSE,"M.41"}</definedName>
    <definedName name="aep" localSheetId="12">{#N/A,#N/A,FALSE,"M.41"}</definedName>
    <definedName name="aep" localSheetId="17">{#N/A,#N/A,FALSE,"M.41"}</definedName>
    <definedName name="aep" localSheetId="15">{#N/A,#N/A,FALSE,"M.41"}</definedName>
    <definedName name="aep" localSheetId="16">{#N/A,#N/A,FALSE,"M.41"}</definedName>
    <definedName name="aep" localSheetId="18">{#N/A,#N/A,FALSE,"M.41"}</definedName>
    <definedName name="aep" localSheetId="1">{#N/A,#N/A,FALSE,"M.41"}</definedName>
    <definedName name="aep" localSheetId="6">{#N/A,#N/A,FALSE,"M.41"}</definedName>
    <definedName name="aep" localSheetId="2">{#N/A,#N/A,FALSE,"M.41"}</definedName>
    <definedName name="aep" localSheetId="3">{#N/A,#N/A,FALSE,"M.41"}</definedName>
    <definedName name="aep" localSheetId="0">{#N/A,#N/A,FALSE,"M.41"}</definedName>
    <definedName name="aep" localSheetId="9">{#N/A,#N/A,FALSE,"M.41"}</definedName>
    <definedName name="aep">{#N/A,#N/A,FALSE,"M.41"}</definedName>
    <definedName name="aku" localSheetId="7">{#N/A,#N/A,FALSE,"M.43"}</definedName>
    <definedName name="aku" localSheetId="8">{#N/A,#N/A,FALSE,"M.43"}</definedName>
    <definedName name="aku" localSheetId="14">{#N/A,#N/A,FALSE,"M.43"}</definedName>
    <definedName name="aku" localSheetId="13">{#N/A,#N/A,FALSE,"M.43"}</definedName>
    <definedName name="aku" localSheetId="11">{#N/A,#N/A,FALSE,"M.43"}</definedName>
    <definedName name="aku" localSheetId="12">{#N/A,#N/A,FALSE,"M.43"}</definedName>
    <definedName name="aku" localSheetId="17">{#N/A,#N/A,FALSE,"M.43"}</definedName>
    <definedName name="aku" localSheetId="15">{#N/A,#N/A,FALSE,"M.43"}</definedName>
    <definedName name="aku" localSheetId="16">{#N/A,#N/A,FALSE,"M.43"}</definedName>
    <definedName name="aku" localSheetId="18">{#N/A,#N/A,FALSE,"M.43"}</definedName>
    <definedName name="aku" localSheetId="1">{#N/A,#N/A,FALSE,"M.43"}</definedName>
    <definedName name="aku" localSheetId="6">{#N/A,#N/A,FALSE,"M.43"}</definedName>
    <definedName name="aku" localSheetId="2">{#N/A,#N/A,FALSE,"M.43"}</definedName>
    <definedName name="aku" localSheetId="3">{#N/A,#N/A,FALSE,"M.43"}</definedName>
    <definedName name="aku" localSheetId="0">{#N/A,#N/A,FALSE,"M.43"}</definedName>
    <definedName name="aku" localSheetId="9">{#N/A,#N/A,FALSE,"M.43"}</definedName>
    <definedName name="aku">{#N/A,#N/A,FALSE,"M.43"}</definedName>
    <definedName name="anal" localSheetId="7">{#N/A,#N/A,FALSE,"M.31"}</definedName>
    <definedName name="anal" localSheetId="8">{#N/A,#N/A,FALSE,"M.31"}</definedName>
    <definedName name="anal" localSheetId="14">{#N/A,#N/A,FALSE,"M.31"}</definedName>
    <definedName name="anal" localSheetId="13">{#N/A,#N/A,FALSE,"M.31"}</definedName>
    <definedName name="anal" localSheetId="11">{#N/A,#N/A,FALSE,"M.31"}</definedName>
    <definedName name="anal" localSheetId="12">{#N/A,#N/A,FALSE,"M.31"}</definedName>
    <definedName name="anal" localSheetId="17">{#N/A,#N/A,FALSE,"M.31"}</definedName>
    <definedName name="anal" localSheetId="15">{#N/A,#N/A,FALSE,"M.31"}</definedName>
    <definedName name="anal" localSheetId="16">{#N/A,#N/A,FALSE,"M.31"}</definedName>
    <definedName name="anal" localSheetId="18">{#N/A,#N/A,FALSE,"M.31"}</definedName>
    <definedName name="anal" localSheetId="1">{#N/A,#N/A,FALSE,"M.31"}</definedName>
    <definedName name="anal" localSheetId="6">{#N/A,#N/A,FALSE,"M.31"}</definedName>
    <definedName name="anal" localSheetId="2">{#N/A,#N/A,FALSE,"M.31"}</definedName>
    <definedName name="anal" localSheetId="3">{#N/A,#N/A,FALSE,"M.31"}</definedName>
    <definedName name="anal" localSheetId="0">{#N/A,#N/A,FALSE,"M.31"}</definedName>
    <definedName name="anal" localSheetId="9">{#N/A,#N/A,FALSE,"M.31"}</definedName>
    <definedName name="anal">{#N/A,#N/A,FALSE,"M.31"}</definedName>
    <definedName name="Arus" localSheetId="7">{#N/A,#N/A,FALSE,"M.42"}</definedName>
    <definedName name="Arus" localSheetId="8">{#N/A,#N/A,FALSE,"M.42"}</definedName>
    <definedName name="Arus" localSheetId="14">{#N/A,#N/A,FALSE,"M.42"}</definedName>
    <definedName name="Arus" localSheetId="13">{#N/A,#N/A,FALSE,"M.42"}</definedName>
    <definedName name="Arus" localSheetId="11">{#N/A,#N/A,FALSE,"M.42"}</definedName>
    <definedName name="Arus" localSheetId="12">{#N/A,#N/A,FALSE,"M.42"}</definedName>
    <definedName name="Arus" localSheetId="17">{#N/A,#N/A,FALSE,"M.42"}</definedName>
    <definedName name="Arus" localSheetId="15">{#N/A,#N/A,FALSE,"M.42"}</definedName>
    <definedName name="Arus" localSheetId="16">{#N/A,#N/A,FALSE,"M.42"}</definedName>
    <definedName name="Arus" localSheetId="18">{#N/A,#N/A,FALSE,"M.42"}</definedName>
    <definedName name="Arus" localSheetId="1">{#N/A,#N/A,FALSE,"M.42"}</definedName>
    <definedName name="Arus" localSheetId="6">{#N/A,#N/A,FALSE,"M.42"}</definedName>
    <definedName name="Arus" localSheetId="2">{#N/A,#N/A,FALSE,"M.42"}</definedName>
    <definedName name="Arus" localSheetId="3">{#N/A,#N/A,FALSE,"M.42"}</definedName>
    <definedName name="Arus" localSheetId="0">{#N/A,#N/A,FALSE,"M.42"}</definedName>
    <definedName name="Arus" localSheetId="9">{#N/A,#N/A,FALSE,"M.42"}</definedName>
    <definedName name="Arus">{#N/A,#N/A,FALSE,"M.42"}</definedName>
    <definedName name="AS2DocOpenMode">"AS2DocumentEdit"</definedName>
    <definedName name="AS2ReportLS">1</definedName>
    <definedName name="AS2SyncStepLS">0</definedName>
    <definedName name="AS2TickmarkLS" localSheetId="7">#REF!</definedName>
    <definedName name="AS2TickmarkLS" localSheetId="8">#REF!</definedName>
    <definedName name="AS2TickmarkLS" localSheetId="14">#REF!</definedName>
    <definedName name="AS2TickmarkLS" localSheetId="13">#REF!</definedName>
    <definedName name="AS2TickmarkLS" localSheetId="11">#REF!</definedName>
    <definedName name="AS2TickmarkLS" localSheetId="12">#REF!</definedName>
    <definedName name="AS2TickmarkLS" localSheetId="17">#REF!</definedName>
    <definedName name="AS2TickmarkLS" localSheetId="15">#REF!</definedName>
    <definedName name="AS2TickmarkLS" localSheetId="16">#REF!</definedName>
    <definedName name="AS2TickmarkLS" localSheetId="18">#REF!</definedName>
    <definedName name="AS2TickmarkLS" localSheetId="1">#REF!</definedName>
    <definedName name="AS2TickmarkLS" localSheetId="6">#REF!</definedName>
    <definedName name="AS2TickmarkLS" localSheetId="2">#REF!</definedName>
    <definedName name="AS2TickmarkLS" localSheetId="3">#REF!</definedName>
    <definedName name="AS2TickmarkLS">#REF!</definedName>
    <definedName name="AS2VersionLS">300</definedName>
    <definedName name="asal" localSheetId="7">{#N/A,#N/A,FALSE,"M.31"}</definedName>
    <definedName name="asal" localSheetId="8">{#N/A,#N/A,FALSE,"M.31"}</definedName>
    <definedName name="asal" localSheetId="14">{#N/A,#N/A,FALSE,"M.31"}</definedName>
    <definedName name="asal" localSheetId="13">{#N/A,#N/A,FALSE,"M.31"}</definedName>
    <definedName name="asal" localSheetId="11">{#N/A,#N/A,FALSE,"M.31"}</definedName>
    <definedName name="asal" localSheetId="12">{#N/A,#N/A,FALSE,"M.31"}</definedName>
    <definedName name="asal" localSheetId="17">{#N/A,#N/A,FALSE,"M.31"}</definedName>
    <definedName name="asal" localSheetId="15">{#N/A,#N/A,FALSE,"M.31"}</definedName>
    <definedName name="asal" localSheetId="16">{#N/A,#N/A,FALSE,"M.31"}</definedName>
    <definedName name="asal" localSheetId="18">{#N/A,#N/A,FALSE,"M.31"}</definedName>
    <definedName name="asal" localSheetId="1">{#N/A,#N/A,FALSE,"M.31"}</definedName>
    <definedName name="asal" localSheetId="6">{#N/A,#N/A,FALSE,"M.31"}</definedName>
    <definedName name="asal" localSheetId="2">{#N/A,#N/A,FALSE,"M.31"}</definedName>
    <definedName name="asal" localSheetId="3">{#N/A,#N/A,FALSE,"M.31"}</definedName>
    <definedName name="asal" localSheetId="0">{#N/A,#N/A,FALSE,"M.31"}</definedName>
    <definedName name="asal" localSheetId="9">{#N/A,#N/A,FALSE,"M.31"}</definedName>
    <definedName name="asal">{#N/A,#N/A,FALSE,"M.31"}</definedName>
    <definedName name="asd" localSheetId="7">{#N/A,#N/A,FALSE,"M.43"}</definedName>
    <definedName name="asd" localSheetId="8">{#N/A,#N/A,FALSE,"M.43"}</definedName>
    <definedName name="asd" localSheetId="14">{#N/A,#N/A,FALSE,"M.43"}</definedName>
    <definedName name="asd" localSheetId="13">{#N/A,#N/A,FALSE,"M.43"}</definedName>
    <definedName name="asd" localSheetId="11">{#N/A,#N/A,FALSE,"M.43"}</definedName>
    <definedName name="asd" localSheetId="12">{#N/A,#N/A,FALSE,"M.43"}</definedName>
    <definedName name="asd" localSheetId="17">{#N/A,#N/A,FALSE,"M.43"}</definedName>
    <definedName name="asd" localSheetId="15">{#N/A,#N/A,FALSE,"M.43"}</definedName>
    <definedName name="asd" localSheetId="16">{#N/A,#N/A,FALSE,"M.43"}</definedName>
    <definedName name="asd" localSheetId="18">{#N/A,#N/A,FALSE,"M.43"}</definedName>
    <definedName name="asd" localSheetId="1">{#N/A,#N/A,FALSE,"M.43"}</definedName>
    <definedName name="asd" localSheetId="6">{#N/A,#N/A,FALSE,"M.43"}</definedName>
    <definedName name="asd" localSheetId="2">{#N/A,#N/A,FALSE,"M.43"}</definedName>
    <definedName name="asd" localSheetId="3">{#N/A,#N/A,FALSE,"M.43"}</definedName>
    <definedName name="asd" localSheetId="0">{#N/A,#N/A,FALSE,"M.43"}</definedName>
    <definedName name="asd" localSheetId="9">{#N/A,#N/A,FALSE,"M.43"}</definedName>
    <definedName name="asd">{#N/A,#N/A,FALSE,"M.43"}</definedName>
    <definedName name="asdfsaf" localSheetId="7">{#N/A,#N/A,FALSE,"M.01"}</definedName>
    <definedName name="asdfsaf" localSheetId="8">{#N/A,#N/A,FALSE,"M.01"}</definedName>
    <definedName name="asdfsaf" localSheetId="14">{#N/A,#N/A,FALSE,"M.01"}</definedName>
    <definedName name="asdfsaf" localSheetId="13">{#N/A,#N/A,FALSE,"M.01"}</definedName>
    <definedName name="asdfsaf" localSheetId="11">{#N/A,#N/A,FALSE,"M.01"}</definedName>
    <definedName name="asdfsaf" localSheetId="12">{#N/A,#N/A,FALSE,"M.01"}</definedName>
    <definedName name="asdfsaf" localSheetId="17">{#N/A,#N/A,FALSE,"M.01"}</definedName>
    <definedName name="asdfsaf" localSheetId="15">{#N/A,#N/A,FALSE,"M.01"}</definedName>
    <definedName name="asdfsaf" localSheetId="16">{#N/A,#N/A,FALSE,"M.01"}</definedName>
    <definedName name="asdfsaf" localSheetId="18">{#N/A,#N/A,FALSE,"M.01"}</definedName>
    <definedName name="asdfsaf" localSheetId="1">{#N/A,#N/A,FALSE,"M.01"}</definedName>
    <definedName name="asdfsaf" localSheetId="6">{#N/A,#N/A,FALSE,"M.01"}</definedName>
    <definedName name="asdfsaf" localSheetId="2">{#N/A,#N/A,FALSE,"M.01"}</definedName>
    <definedName name="asdfsaf" localSheetId="3">{#N/A,#N/A,FALSE,"M.01"}</definedName>
    <definedName name="asdfsaf" localSheetId="0">{#N/A,#N/A,FALSE,"M.01"}</definedName>
    <definedName name="asdfsaf" localSheetId="9">{#N/A,#N/A,FALSE,"M.01"}</definedName>
    <definedName name="asdfsaf">{#N/A,#N/A,FALSE,"M.01"}</definedName>
    <definedName name="BARU" localSheetId="7">{#N/A,#N/A,FALSE,"M.01"}</definedName>
    <definedName name="BARU" localSheetId="8">{#N/A,#N/A,FALSE,"M.01"}</definedName>
    <definedName name="BARU" localSheetId="14">{#N/A,#N/A,FALSE,"M.01"}</definedName>
    <definedName name="BARU" localSheetId="13">{#N/A,#N/A,FALSE,"M.01"}</definedName>
    <definedName name="BARU" localSheetId="11">{#N/A,#N/A,FALSE,"M.01"}</definedName>
    <definedName name="BARU" localSheetId="12">{#N/A,#N/A,FALSE,"M.01"}</definedName>
    <definedName name="BARU" localSheetId="17">{#N/A,#N/A,FALSE,"M.01"}</definedName>
    <definedName name="BARU" localSheetId="15">{#N/A,#N/A,FALSE,"M.01"}</definedName>
    <definedName name="BARU" localSheetId="16">{#N/A,#N/A,FALSE,"M.01"}</definedName>
    <definedName name="BARU" localSheetId="18">{#N/A,#N/A,FALSE,"M.01"}</definedName>
    <definedName name="BARU" localSheetId="1">{#N/A,#N/A,FALSE,"M.01"}</definedName>
    <definedName name="BARU" localSheetId="6">{#N/A,#N/A,FALSE,"M.01"}</definedName>
    <definedName name="BARU" localSheetId="2">{#N/A,#N/A,FALSE,"M.01"}</definedName>
    <definedName name="BARU" localSheetId="3">{#N/A,#N/A,FALSE,"M.01"}</definedName>
    <definedName name="BARU" localSheetId="0">{#N/A,#N/A,FALSE,"M.01"}</definedName>
    <definedName name="BARU" localSheetId="9">{#N/A,#N/A,FALSE,"M.01"}</definedName>
    <definedName name="BARU">{#N/A,#N/A,FALSE,"M.01"}</definedName>
    <definedName name="BG_Del">15</definedName>
    <definedName name="BG_Ins">4</definedName>
    <definedName name="BG_Mod">6</definedName>
    <definedName name="Biak" localSheetId="7">{#N/A,#N/A,FALSE,"M.31"}</definedName>
    <definedName name="Biak" localSheetId="8">{#N/A,#N/A,FALSE,"M.31"}</definedName>
    <definedName name="Biak" localSheetId="14">{#N/A,#N/A,FALSE,"M.31"}</definedName>
    <definedName name="Biak" localSheetId="13">{#N/A,#N/A,FALSE,"M.31"}</definedName>
    <definedName name="Biak" localSheetId="11">{#N/A,#N/A,FALSE,"M.31"}</definedName>
    <definedName name="Biak" localSheetId="12">{#N/A,#N/A,FALSE,"M.31"}</definedName>
    <definedName name="Biak" localSheetId="17">{#N/A,#N/A,FALSE,"M.31"}</definedName>
    <definedName name="Biak" localSheetId="15">{#N/A,#N/A,FALSE,"M.31"}</definedName>
    <definedName name="Biak" localSheetId="16">{#N/A,#N/A,FALSE,"M.31"}</definedName>
    <definedName name="Biak" localSheetId="18">{#N/A,#N/A,FALSE,"M.31"}</definedName>
    <definedName name="Biak" localSheetId="1">{#N/A,#N/A,FALSE,"M.31"}</definedName>
    <definedName name="Biak" localSheetId="6">{#N/A,#N/A,FALSE,"M.31"}</definedName>
    <definedName name="Biak" localSheetId="2">{#N/A,#N/A,FALSE,"M.31"}</definedName>
    <definedName name="Biak" localSheetId="3">{#N/A,#N/A,FALSE,"M.31"}</definedName>
    <definedName name="Biak" localSheetId="0">{#N/A,#N/A,FALSE,"M.31"}</definedName>
    <definedName name="Biak" localSheetId="9">{#N/A,#N/A,FALSE,"M.31"}</definedName>
    <definedName name="Biak">{#N/A,#N/A,FALSE,"M.31"}</definedName>
    <definedName name="bima3" localSheetId="7">{#N/A,#N/A,FALSE,"M.02"}</definedName>
    <definedName name="bima3" localSheetId="8">{#N/A,#N/A,FALSE,"M.02"}</definedName>
    <definedName name="bima3" localSheetId="14">{#N/A,#N/A,FALSE,"M.02"}</definedName>
    <definedName name="bima3" localSheetId="13">{#N/A,#N/A,FALSE,"M.02"}</definedName>
    <definedName name="bima3" localSheetId="11">{#N/A,#N/A,FALSE,"M.02"}</definedName>
    <definedName name="bima3" localSheetId="12">{#N/A,#N/A,FALSE,"M.02"}</definedName>
    <definedName name="bima3" localSheetId="17">{#N/A,#N/A,FALSE,"M.02"}</definedName>
    <definedName name="bima3" localSheetId="15">{#N/A,#N/A,FALSE,"M.02"}</definedName>
    <definedName name="bima3" localSheetId="16">{#N/A,#N/A,FALSE,"M.02"}</definedName>
    <definedName name="bima3" localSheetId="18">{#N/A,#N/A,FALSE,"M.02"}</definedName>
    <definedName name="bima3" localSheetId="1">{#N/A,#N/A,FALSE,"M.02"}</definedName>
    <definedName name="bima3" localSheetId="6">{#N/A,#N/A,FALSE,"M.02"}</definedName>
    <definedName name="bima3" localSheetId="2">{#N/A,#N/A,FALSE,"M.02"}</definedName>
    <definedName name="bima3" localSheetId="3">{#N/A,#N/A,FALSE,"M.02"}</definedName>
    <definedName name="bima3" localSheetId="0">{#N/A,#N/A,FALSE,"M.02"}</definedName>
    <definedName name="bima3" localSheetId="9">{#N/A,#N/A,FALSE,"M.02"}</definedName>
    <definedName name="bima3">{#N/A,#N/A,FALSE,"M.02"}</definedName>
    <definedName name="bjm" localSheetId="7">{#N/A,#N/A,FALSE,"M.02"}</definedName>
    <definedName name="bjm" localSheetId="8">{#N/A,#N/A,FALSE,"M.02"}</definedName>
    <definedName name="bjm" localSheetId="14">{#N/A,#N/A,FALSE,"M.02"}</definedName>
    <definedName name="bjm" localSheetId="13">{#N/A,#N/A,FALSE,"M.02"}</definedName>
    <definedName name="bjm" localSheetId="11">{#N/A,#N/A,FALSE,"M.02"}</definedName>
    <definedName name="bjm" localSheetId="12">{#N/A,#N/A,FALSE,"M.02"}</definedName>
    <definedName name="bjm" localSheetId="17">{#N/A,#N/A,FALSE,"M.02"}</definedName>
    <definedName name="bjm" localSheetId="15">{#N/A,#N/A,FALSE,"M.02"}</definedName>
    <definedName name="bjm" localSheetId="16">{#N/A,#N/A,FALSE,"M.02"}</definedName>
    <definedName name="bjm" localSheetId="18">{#N/A,#N/A,FALSE,"M.02"}</definedName>
    <definedName name="bjm" localSheetId="1">{#N/A,#N/A,FALSE,"M.02"}</definedName>
    <definedName name="bjm" localSheetId="6">{#N/A,#N/A,FALSE,"M.02"}</definedName>
    <definedName name="bjm" localSheetId="2">{#N/A,#N/A,FALSE,"M.02"}</definedName>
    <definedName name="bjm" localSheetId="3">{#N/A,#N/A,FALSE,"M.02"}</definedName>
    <definedName name="bjm" localSheetId="0">{#N/A,#N/A,FALSE,"M.02"}</definedName>
    <definedName name="bjm" localSheetId="9">{#N/A,#N/A,FALSE,"M.02"}</definedName>
    <definedName name="bjm">{#N/A,#N/A,FALSE,"M.02"}</definedName>
    <definedName name="BTLG" localSheetId="7">#REF!</definedName>
    <definedName name="BTLG" localSheetId="8">#REF!</definedName>
    <definedName name="BTLG" localSheetId="14">#REF!</definedName>
    <definedName name="BTLG" localSheetId="13">#REF!</definedName>
    <definedName name="BTLG" localSheetId="11">#REF!</definedName>
    <definedName name="BTLG" localSheetId="12">#REF!</definedName>
    <definedName name="BTLG" localSheetId="17">#REF!</definedName>
    <definedName name="BTLG" localSheetId="15">#REF!</definedName>
    <definedName name="BTLG" localSheetId="16">#REF!</definedName>
    <definedName name="BTLG" localSheetId="18">#REF!</definedName>
    <definedName name="BTLG" localSheetId="1">#REF!</definedName>
    <definedName name="BTLG" localSheetId="6">#REF!</definedName>
    <definedName name="BTLG" localSheetId="2">#REF!</definedName>
    <definedName name="BTLG" localSheetId="3">#REF!</definedName>
    <definedName name="BTLG">#REF!</definedName>
    <definedName name="busak2" localSheetId="7">#REF!</definedName>
    <definedName name="busak2" localSheetId="8">#REF!</definedName>
    <definedName name="busak2" localSheetId="14">#REF!</definedName>
    <definedName name="busak2" localSheetId="13">#REF!</definedName>
    <definedName name="busak2" localSheetId="11">#REF!</definedName>
    <definedName name="busak2" localSheetId="12">#REF!</definedName>
    <definedName name="busak2" localSheetId="17">#REF!</definedName>
    <definedName name="busak2" localSheetId="15">#REF!</definedName>
    <definedName name="busak2" localSheetId="16">#REF!</definedName>
    <definedName name="busak2" localSheetId="18">#REF!</definedName>
    <definedName name="busak2" localSheetId="1">#REF!</definedName>
    <definedName name="busak2" localSheetId="6">#REF!</definedName>
    <definedName name="busak2" localSheetId="2">#REF!</definedName>
    <definedName name="busak2" localSheetId="3">#REF!</definedName>
    <definedName name="busak2">#REF!</definedName>
    <definedName name="Cab_APJ_3" localSheetId="7">{#N/A,#N/A,FALSE,"M.41"}</definedName>
    <definedName name="Cab_APJ_3" localSheetId="8">{#N/A,#N/A,FALSE,"M.41"}</definedName>
    <definedName name="Cab_APJ_3" localSheetId="14">{#N/A,#N/A,FALSE,"M.41"}</definedName>
    <definedName name="Cab_APJ_3" localSheetId="13">{#N/A,#N/A,FALSE,"M.41"}</definedName>
    <definedName name="Cab_APJ_3" localSheetId="11">{#N/A,#N/A,FALSE,"M.41"}</definedName>
    <definedName name="Cab_APJ_3" localSheetId="12">{#N/A,#N/A,FALSE,"M.41"}</definedName>
    <definedName name="Cab_APJ_3" localSheetId="17">{#N/A,#N/A,FALSE,"M.41"}</definedName>
    <definedName name="Cab_APJ_3" localSheetId="15">{#N/A,#N/A,FALSE,"M.41"}</definedName>
    <definedName name="Cab_APJ_3" localSheetId="16">{#N/A,#N/A,FALSE,"M.41"}</definedName>
    <definedName name="Cab_APJ_3" localSheetId="18">{#N/A,#N/A,FALSE,"M.41"}</definedName>
    <definedName name="Cab_APJ_3" localSheetId="1">{#N/A,#N/A,FALSE,"M.41"}</definedName>
    <definedName name="Cab_APJ_3" localSheetId="6">{#N/A,#N/A,FALSE,"M.41"}</definedName>
    <definedName name="Cab_APJ_3" localSheetId="2">{#N/A,#N/A,FALSE,"M.41"}</definedName>
    <definedName name="Cab_APJ_3" localSheetId="3">{#N/A,#N/A,FALSE,"M.41"}</definedName>
    <definedName name="Cab_APJ_3" localSheetId="0">{#N/A,#N/A,FALSE,"M.41"}</definedName>
    <definedName name="Cab_APJ_3" localSheetId="9">{#N/A,#N/A,FALSE,"M.41"}</definedName>
    <definedName name="Cab_APJ_3">{#N/A,#N/A,FALSE,"M.41"}</definedName>
    <definedName name="Cab_APJ4" localSheetId="7">{#N/A,#N/A,FALSE,"M.41"}</definedName>
    <definedName name="Cab_APJ4" localSheetId="8">{#N/A,#N/A,FALSE,"M.41"}</definedName>
    <definedName name="Cab_APJ4" localSheetId="14">{#N/A,#N/A,FALSE,"M.41"}</definedName>
    <definedName name="Cab_APJ4" localSheetId="13">{#N/A,#N/A,FALSE,"M.41"}</definedName>
    <definedName name="Cab_APJ4" localSheetId="11">{#N/A,#N/A,FALSE,"M.41"}</definedName>
    <definedName name="Cab_APJ4" localSheetId="12">{#N/A,#N/A,FALSE,"M.41"}</definedName>
    <definedName name="Cab_APJ4" localSheetId="17">{#N/A,#N/A,FALSE,"M.41"}</definedName>
    <definedName name="Cab_APJ4" localSheetId="15">{#N/A,#N/A,FALSE,"M.41"}</definedName>
    <definedName name="Cab_APJ4" localSheetId="16">{#N/A,#N/A,FALSE,"M.41"}</definedName>
    <definedName name="Cab_APJ4" localSheetId="18">{#N/A,#N/A,FALSE,"M.41"}</definedName>
    <definedName name="Cab_APJ4" localSheetId="1">{#N/A,#N/A,FALSE,"M.41"}</definedName>
    <definedName name="Cab_APJ4" localSheetId="6">{#N/A,#N/A,FALSE,"M.41"}</definedName>
    <definedName name="Cab_APJ4" localSheetId="2">{#N/A,#N/A,FALSE,"M.41"}</definedName>
    <definedName name="Cab_APJ4" localSheetId="3">{#N/A,#N/A,FALSE,"M.41"}</definedName>
    <definedName name="Cab_APJ4" localSheetId="0">{#N/A,#N/A,FALSE,"M.41"}</definedName>
    <definedName name="Cab_APJ4" localSheetId="9">{#N/A,#N/A,FALSE,"M.41"}</definedName>
    <definedName name="Cab_APJ4">{#N/A,#N/A,FALSE,"M.41"}</definedName>
    <definedName name="CAB_BRB1" localSheetId="7">{#N/A,#N/A,FALSE,"M.41"}</definedName>
    <definedName name="CAB_BRB1" localSheetId="8">{#N/A,#N/A,FALSE,"M.41"}</definedName>
    <definedName name="CAB_BRB1" localSheetId="14">{#N/A,#N/A,FALSE,"M.41"}</definedName>
    <definedName name="CAB_BRB1" localSheetId="13">{#N/A,#N/A,FALSE,"M.41"}</definedName>
    <definedName name="CAB_BRB1" localSheetId="11">{#N/A,#N/A,FALSE,"M.41"}</definedName>
    <definedName name="CAB_BRB1" localSheetId="12">{#N/A,#N/A,FALSE,"M.41"}</definedName>
    <definedName name="CAB_BRB1" localSheetId="17">{#N/A,#N/A,FALSE,"M.41"}</definedName>
    <definedName name="CAB_BRB1" localSheetId="15">{#N/A,#N/A,FALSE,"M.41"}</definedName>
    <definedName name="CAB_BRB1" localSheetId="16">{#N/A,#N/A,FALSE,"M.41"}</definedName>
    <definedName name="CAB_BRB1" localSheetId="18">{#N/A,#N/A,FALSE,"M.41"}</definedName>
    <definedName name="CAB_BRB1" localSheetId="1">{#N/A,#N/A,FALSE,"M.41"}</definedName>
    <definedName name="CAB_BRB1" localSheetId="6">{#N/A,#N/A,FALSE,"M.41"}</definedName>
    <definedName name="CAB_BRB1" localSheetId="2">{#N/A,#N/A,FALSE,"M.41"}</definedName>
    <definedName name="CAB_BRB1" localSheetId="3">{#N/A,#N/A,FALSE,"M.41"}</definedName>
    <definedName name="CAB_BRB1" localSheetId="0">{#N/A,#N/A,FALSE,"M.41"}</definedName>
    <definedName name="CAB_BRB1" localSheetId="9">{#N/A,#N/A,FALSE,"M.41"}</definedName>
    <definedName name="CAB_BRB1">{#N/A,#N/A,FALSE,"M.41"}</definedName>
    <definedName name="cash" localSheetId="7">{#N/A,#N/A,FALSE,"M.43"}</definedName>
    <definedName name="cash" localSheetId="8">{#N/A,#N/A,FALSE,"M.43"}</definedName>
    <definedName name="cash" localSheetId="14">{#N/A,#N/A,FALSE,"M.43"}</definedName>
    <definedName name="cash" localSheetId="13">{#N/A,#N/A,FALSE,"M.43"}</definedName>
    <definedName name="cash" localSheetId="11">{#N/A,#N/A,FALSE,"M.43"}</definedName>
    <definedName name="cash" localSheetId="12">{#N/A,#N/A,FALSE,"M.43"}</definedName>
    <definedName name="cash" localSheetId="17">{#N/A,#N/A,FALSE,"M.43"}</definedName>
    <definedName name="cash" localSheetId="15">{#N/A,#N/A,FALSE,"M.43"}</definedName>
    <definedName name="cash" localSheetId="16">{#N/A,#N/A,FALSE,"M.43"}</definedName>
    <definedName name="cash" localSheetId="18">{#N/A,#N/A,FALSE,"M.43"}</definedName>
    <definedName name="cash" localSheetId="1">{#N/A,#N/A,FALSE,"M.43"}</definedName>
    <definedName name="cash" localSheetId="6">{#N/A,#N/A,FALSE,"M.43"}</definedName>
    <definedName name="cash" localSheetId="2">{#N/A,#N/A,FALSE,"M.43"}</definedName>
    <definedName name="cash" localSheetId="3">{#N/A,#N/A,FALSE,"M.43"}</definedName>
    <definedName name="cash" localSheetId="0">{#N/A,#N/A,FALSE,"M.43"}</definedName>
    <definedName name="cash" localSheetId="9">{#N/A,#N/A,FALSE,"M.43"}</definedName>
    <definedName name="cash">{#N/A,#N/A,FALSE,"M.43"}</definedName>
    <definedName name="CBJM" localSheetId="7">{#N/A,#N/A,FALSE,"M.01";#N/A,#N/A,FALSE,"M.01"}</definedName>
    <definedName name="CBJM" localSheetId="8">{#N/A,#N/A,FALSE,"M.01";#N/A,#N/A,FALSE,"M.01"}</definedName>
    <definedName name="CBJM" localSheetId="14">{#N/A,#N/A,FALSE,"M.01";#N/A,#N/A,FALSE,"M.01"}</definedName>
    <definedName name="CBJM" localSheetId="13">{#N/A,#N/A,FALSE,"M.01";#N/A,#N/A,FALSE,"M.01"}</definedName>
    <definedName name="CBJM" localSheetId="11">{#N/A,#N/A,FALSE,"M.01";#N/A,#N/A,FALSE,"M.01"}</definedName>
    <definedName name="CBJM" localSheetId="12">{#N/A,#N/A,FALSE,"M.01";#N/A,#N/A,FALSE,"M.01"}</definedName>
    <definedName name="CBJM" localSheetId="17">{#N/A,#N/A,FALSE,"M.01";#N/A,#N/A,FALSE,"M.01"}</definedName>
    <definedName name="CBJM" localSheetId="15">{#N/A,#N/A,FALSE,"M.01";#N/A,#N/A,FALSE,"M.01"}</definedName>
    <definedName name="CBJM" localSheetId="16">{#N/A,#N/A,FALSE,"M.01";#N/A,#N/A,FALSE,"M.01"}</definedName>
    <definedName name="CBJM" localSheetId="18">{#N/A,#N/A,FALSE,"M.01";#N/A,#N/A,FALSE,"M.01"}</definedName>
    <definedName name="CBJM" localSheetId="1">{#N/A,#N/A,FALSE,"M.01";#N/A,#N/A,FALSE,"M.01"}</definedName>
    <definedName name="CBJM" localSheetId="6">{#N/A,#N/A,FALSE,"M.01";#N/A,#N/A,FALSE,"M.01"}</definedName>
    <definedName name="CBJM" localSheetId="2">{#N/A,#N/A,FALSE,"M.01";#N/A,#N/A,FALSE,"M.01"}</definedName>
    <definedName name="CBJM" localSheetId="3">{#N/A,#N/A,FALSE,"M.01";#N/A,#N/A,FALSE,"M.01"}</definedName>
    <definedName name="CBJM" localSheetId="0">{#N/A,#N/A,FALSE,"M.01";#N/A,#N/A,FALSE,"M.01"}</definedName>
    <definedName name="CBJM" localSheetId="9">{#N/A,#N/A,FALSE,"M.01";#N/A,#N/A,FALSE,"M.01"}</definedName>
    <definedName name="CBJM">{#N/A,#N/A,FALSE,"M.01";#N/A,#N/A,FALSE,"M.01"}</definedName>
    <definedName name="CBRB" localSheetId="7">{#N/A,#N/A,FALSE,"M.02"}</definedName>
    <definedName name="CBRB" localSheetId="8">{#N/A,#N/A,FALSE,"M.02"}</definedName>
    <definedName name="CBRB" localSheetId="14">{#N/A,#N/A,FALSE,"M.02"}</definedName>
    <definedName name="CBRB" localSheetId="13">{#N/A,#N/A,FALSE,"M.02"}</definedName>
    <definedName name="CBRB" localSheetId="11">{#N/A,#N/A,FALSE,"M.02"}</definedName>
    <definedName name="CBRB" localSheetId="12">{#N/A,#N/A,FALSE,"M.02"}</definedName>
    <definedName name="CBRB" localSheetId="17">{#N/A,#N/A,FALSE,"M.02"}</definedName>
    <definedName name="CBRB" localSheetId="15">{#N/A,#N/A,FALSE,"M.02"}</definedName>
    <definedName name="CBRB" localSheetId="16">{#N/A,#N/A,FALSE,"M.02"}</definedName>
    <definedName name="CBRB" localSheetId="18">{#N/A,#N/A,FALSE,"M.02"}</definedName>
    <definedName name="CBRB" localSheetId="1">{#N/A,#N/A,FALSE,"M.02"}</definedName>
    <definedName name="CBRB" localSheetId="6">{#N/A,#N/A,FALSE,"M.02"}</definedName>
    <definedName name="CBRB" localSheetId="2">{#N/A,#N/A,FALSE,"M.02"}</definedName>
    <definedName name="CBRB" localSheetId="3">{#N/A,#N/A,FALSE,"M.02"}</definedName>
    <definedName name="CBRB" localSheetId="0">{#N/A,#N/A,FALSE,"M.02"}</definedName>
    <definedName name="CBRB" localSheetId="9">{#N/A,#N/A,FALSE,"M.02"}</definedName>
    <definedName name="CBRB">{#N/A,#N/A,FALSE,"M.02"}</definedName>
    <definedName name="CIPHSJ" localSheetId="7">#REF!</definedName>
    <definedName name="CIPHSJ" localSheetId="8">#REF!</definedName>
    <definedName name="CIPHSJ" localSheetId="14">#REF!</definedName>
    <definedName name="CIPHSJ" localSheetId="13">#REF!</definedName>
    <definedName name="CIPHSJ" localSheetId="11">#REF!</definedName>
    <definedName name="CIPHSJ" localSheetId="12">#REF!</definedName>
    <definedName name="CIPHSJ" localSheetId="17">#REF!</definedName>
    <definedName name="CIPHSJ" localSheetId="15">#REF!</definedName>
    <definedName name="CIPHSJ" localSheetId="16">#REF!</definedName>
    <definedName name="CIPHSJ" localSheetId="18">#REF!</definedName>
    <definedName name="CIPHSJ" localSheetId="1">#REF!</definedName>
    <definedName name="CIPHSJ" localSheetId="6">#REF!</definedName>
    <definedName name="CIPHSJ" localSheetId="2">#REF!</definedName>
    <definedName name="CIPHSJ" localSheetId="3">#REF!</definedName>
    <definedName name="CIPHSJ">#REF!</definedName>
    <definedName name="CKTB" localSheetId="7">{#N/A,#N/A,FALSE,"M.31"}</definedName>
    <definedName name="CKTB" localSheetId="8">{#N/A,#N/A,FALSE,"M.31"}</definedName>
    <definedName name="CKTB" localSheetId="14">{#N/A,#N/A,FALSE,"M.31"}</definedName>
    <definedName name="CKTB" localSheetId="13">{#N/A,#N/A,FALSE,"M.31"}</definedName>
    <definedName name="CKTB" localSheetId="11">{#N/A,#N/A,FALSE,"M.31"}</definedName>
    <definedName name="CKTB" localSheetId="12">{#N/A,#N/A,FALSE,"M.31"}</definedName>
    <definedName name="CKTB" localSheetId="17">{#N/A,#N/A,FALSE,"M.31"}</definedName>
    <definedName name="CKTB" localSheetId="15">{#N/A,#N/A,FALSE,"M.31"}</definedName>
    <definedName name="CKTB" localSheetId="16">{#N/A,#N/A,FALSE,"M.31"}</definedName>
    <definedName name="CKTB" localSheetId="18">{#N/A,#N/A,FALSE,"M.31"}</definedName>
    <definedName name="CKTB" localSheetId="1">{#N/A,#N/A,FALSE,"M.31"}</definedName>
    <definedName name="CKTB" localSheetId="6">{#N/A,#N/A,FALSE,"M.31"}</definedName>
    <definedName name="CKTB" localSheetId="2">{#N/A,#N/A,FALSE,"M.31"}</definedName>
    <definedName name="CKTB" localSheetId="3">{#N/A,#N/A,FALSE,"M.31"}</definedName>
    <definedName name="CKTB" localSheetId="0">{#N/A,#N/A,FALSE,"M.31"}</definedName>
    <definedName name="CKTB" localSheetId="9">{#N/A,#N/A,FALSE,"M.31"}</definedName>
    <definedName name="CKTB">{#N/A,#N/A,FALSE,"M.31"}</definedName>
    <definedName name="coba" localSheetId="7">{#N/A,#N/A,FALSE,"M.01"}</definedName>
    <definedName name="coba" localSheetId="8">{#N/A,#N/A,FALSE,"M.01"}</definedName>
    <definedName name="coba" localSheetId="14">{#N/A,#N/A,FALSE,"M.01"}</definedName>
    <definedName name="coba" localSheetId="13">{#N/A,#N/A,FALSE,"M.01"}</definedName>
    <definedName name="coba" localSheetId="11">{#N/A,#N/A,FALSE,"M.01"}</definedName>
    <definedName name="coba" localSheetId="12">{#N/A,#N/A,FALSE,"M.01"}</definedName>
    <definedName name="coba" localSheetId="17">{#N/A,#N/A,FALSE,"M.01"}</definedName>
    <definedName name="coba" localSheetId="15">{#N/A,#N/A,FALSE,"M.01"}</definedName>
    <definedName name="coba" localSheetId="16">{#N/A,#N/A,FALSE,"M.01"}</definedName>
    <definedName name="coba" localSheetId="18">{#N/A,#N/A,FALSE,"M.01"}</definedName>
    <definedName name="coba" localSheetId="1">{#N/A,#N/A,FALSE,"M.01"}</definedName>
    <definedName name="coba" localSheetId="6">{#N/A,#N/A,FALSE,"M.01"}</definedName>
    <definedName name="coba" localSheetId="2">{#N/A,#N/A,FALSE,"M.01"}</definedName>
    <definedName name="coba" localSheetId="3">{#N/A,#N/A,FALSE,"M.01"}</definedName>
    <definedName name="coba" localSheetId="0">{#N/A,#N/A,FALSE,"M.01"}</definedName>
    <definedName name="coba" localSheetId="9">{#N/A,#N/A,FALSE,"M.01"}</definedName>
    <definedName name="coba">{#N/A,#N/A,FALSE,"M.01"}</definedName>
    <definedName name="dfssfdhn" localSheetId="7">{#N/A,#N/A,FALSE,"M.42"}</definedName>
    <definedName name="dfssfdhn" localSheetId="8">{#N/A,#N/A,FALSE,"M.42"}</definedName>
    <definedName name="dfssfdhn" localSheetId="14">{#N/A,#N/A,FALSE,"M.42"}</definedName>
    <definedName name="dfssfdhn" localSheetId="13">{#N/A,#N/A,FALSE,"M.42"}</definedName>
    <definedName name="dfssfdhn" localSheetId="11">{#N/A,#N/A,FALSE,"M.42"}</definedName>
    <definedName name="dfssfdhn" localSheetId="12">{#N/A,#N/A,FALSE,"M.42"}</definedName>
    <definedName name="dfssfdhn" localSheetId="17">{#N/A,#N/A,FALSE,"M.42"}</definedName>
    <definedName name="dfssfdhn" localSheetId="15">{#N/A,#N/A,FALSE,"M.42"}</definedName>
    <definedName name="dfssfdhn" localSheetId="16">{#N/A,#N/A,FALSE,"M.42"}</definedName>
    <definedName name="dfssfdhn" localSheetId="18">{#N/A,#N/A,FALSE,"M.42"}</definedName>
    <definedName name="dfssfdhn" localSheetId="1">{#N/A,#N/A,FALSE,"M.42"}</definedName>
    <definedName name="dfssfdhn" localSheetId="6">{#N/A,#N/A,FALSE,"M.42"}</definedName>
    <definedName name="dfssfdhn" localSheetId="2">{#N/A,#N/A,FALSE,"M.42"}</definedName>
    <definedName name="dfssfdhn" localSheetId="3">{#N/A,#N/A,FALSE,"M.42"}</definedName>
    <definedName name="dfssfdhn" localSheetId="0">{#N/A,#N/A,FALSE,"M.42"}</definedName>
    <definedName name="dfssfdhn" localSheetId="9">{#N/A,#N/A,FALSE,"M.42"}</definedName>
    <definedName name="dfssfdhn">{#N/A,#N/A,FALSE,"M.42"}</definedName>
    <definedName name="dgx" localSheetId="7">{#N/A,#N/A,FALSE,"M.41"}</definedName>
    <definedName name="dgx" localSheetId="8">{#N/A,#N/A,FALSE,"M.41"}</definedName>
    <definedName name="dgx" localSheetId="14">{#N/A,#N/A,FALSE,"M.41"}</definedName>
    <definedName name="dgx" localSheetId="13">{#N/A,#N/A,FALSE,"M.41"}</definedName>
    <definedName name="dgx" localSheetId="11">{#N/A,#N/A,FALSE,"M.41"}</definedName>
    <definedName name="dgx" localSheetId="12">{#N/A,#N/A,FALSE,"M.41"}</definedName>
    <definedName name="dgx" localSheetId="17">{#N/A,#N/A,FALSE,"M.41"}</definedName>
    <definedName name="dgx" localSheetId="15">{#N/A,#N/A,FALSE,"M.41"}</definedName>
    <definedName name="dgx" localSheetId="16">{#N/A,#N/A,FALSE,"M.41"}</definedName>
    <definedName name="dgx" localSheetId="18">{#N/A,#N/A,FALSE,"M.41"}</definedName>
    <definedName name="dgx" localSheetId="1">{#N/A,#N/A,FALSE,"M.41"}</definedName>
    <definedName name="dgx" localSheetId="6">{#N/A,#N/A,FALSE,"M.41"}</definedName>
    <definedName name="dgx" localSheetId="2">{#N/A,#N/A,FALSE,"M.41"}</definedName>
    <definedName name="dgx" localSheetId="3">{#N/A,#N/A,FALSE,"M.41"}</definedName>
    <definedName name="dgx" localSheetId="0">{#N/A,#N/A,FALSE,"M.41"}</definedName>
    <definedName name="dgx" localSheetId="9">{#N/A,#N/A,FALSE,"M.41"}</definedName>
    <definedName name="dgx">{#N/A,#N/A,FALSE,"M.41"}</definedName>
    <definedName name="dpt" localSheetId="7">{#N/A,#N/A,FALSE,"M.42"}</definedName>
    <definedName name="dpt" localSheetId="8">{#N/A,#N/A,FALSE,"M.42"}</definedName>
    <definedName name="dpt" localSheetId="14">{#N/A,#N/A,FALSE,"M.42"}</definedName>
    <definedName name="dpt" localSheetId="13">{#N/A,#N/A,FALSE,"M.42"}</definedName>
    <definedName name="dpt" localSheetId="11">{#N/A,#N/A,FALSE,"M.42"}</definedName>
    <definedName name="dpt" localSheetId="12">{#N/A,#N/A,FALSE,"M.42"}</definedName>
    <definedName name="dpt" localSheetId="17">{#N/A,#N/A,FALSE,"M.42"}</definedName>
    <definedName name="dpt" localSheetId="15">{#N/A,#N/A,FALSE,"M.42"}</definedName>
    <definedName name="dpt" localSheetId="16">{#N/A,#N/A,FALSE,"M.42"}</definedName>
    <definedName name="dpt" localSheetId="18">{#N/A,#N/A,FALSE,"M.42"}</definedName>
    <definedName name="dpt" localSheetId="1">{#N/A,#N/A,FALSE,"M.42"}</definedName>
    <definedName name="dpt" localSheetId="6">{#N/A,#N/A,FALSE,"M.42"}</definedName>
    <definedName name="dpt" localSheetId="2">{#N/A,#N/A,FALSE,"M.42"}</definedName>
    <definedName name="dpt" localSheetId="3">{#N/A,#N/A,FALSE,"M.42"}</definedName>
    <definedName name="dpt" localSheetId="0">{#N/A,#N/A,FALSE,"M.42"}</definedName>
    <definedName name="dpt" localSheetId="9">{#N/A,#N/A,FALSE,"M.42"}</definedName>
    <definedName name="dpt">{#N/A,#N/A,FALSE,"M.42"}</definedName>
    <definedName name="dsd" localSheetId="7">{#N/A,#N/A,FALSE,"M.01"}</definedName>
    <definedName name="dsd" localSheetId="8">{#N/A,#N/A,FALSE,"M.01"}</definedName>
    <definedName name="dsd" localSheetId="14">{#N/A,#N/A,FALSE,"M.01"}</definedName>
    <definedName name="dsd" localSheetId="13">{#N/A,#N/A,FALSE,"M.01"}</definedName>
    <definedName name="dsd" localSheetId="11">{#N/A,#N/A,FALSE,"M.01"}</definedName>
    <definedName name="dsd" localSheetId="12">{#N/A,#N/A,FALSE,"M.01"}</definedName>
    <definedName name="dsd" localSheetId="17">{#N/A,#N/A,FALSE,"M.01"}</definedName>
    <definedName name="dsd" localSheetId="15">{#N/A,#N/A,FALSE,"M.01"}</definedName>
    <definedName name="dsd" localSheetId="16">{#N/A,#N/A,FALSE,"M.01"}</definedName>
    <definedName name="dsd" localSheetId="18">{#N/A,#N/A,FALSE,"M.01"}</definedName>
    <definedName name="dsd" localSheetId="1">{#N/A,#N/A,FALSE,"M.01"}</definedName>
    <definedName name="dsd" localSheetId="6">{#N/A,#N/A,FALSE,"M.01"}</definedName>
    <definedName name="dsd" localSheetId="2">{#N/A,#N/A,FALSE,"M.01"}</definedName>
    <definedName name="dsd" localSheetId="3">{#N/A,#N/A,FALSE,"M.01"}</definedName>
    <definedName name="dsd" localSheetId="0">{#N/A,#N/A,FALSE,"M.01"}</definedName>
    <definedName name="dsd" localSheetId="9">{#N/A,#N/A,FALSE,"M.01"}</definedName>
    <definedName name="dsd">{#N/A,#N/A,FALSE,"M.01"}</definedName>
    <definedName name="DUIT" localSheetId="7">{#N/A,#N/A,FALSE,"M.34"}</definedName>
    <definedName name="DUIT" localSheetId="8">{#N/A,#N/A,FALSE,"M.34"}</definedName>
    <definedName name="DUIT" localSheetId="14">{#N/A,#N/A,FALSE,"M.34"}</definedName>
    <definedName name="DUIT" localSheetId="13">{#N/A,#N/A,FALSE,"M.34"}</definedName>
    <definedName name="DUIT" localSheetId="11">{#N/A,#N/A,FALSE,"M.34"}</definedName>
    <definedName name="DUIT" localSheetId="12">{#N/A,#N/A,FALSE,"M.34"}</definedName>
    <definedName name="DUIT" localSheetId="17">{#N/A,#N/A,FALSE,"M.34"}</definedName>
    <definedName name="DUIT" localSheetId="15">{#N/A,#N/A,FALSE,"M.34"}</definedName>
    <definedName name="DUIT" localSheetId="16">{#N/A,#N/A,FALSE,"M.34"}</definedName>
    <definedName name="DUIT" localSheetId="18">{#N/A,#N/A,FALSE,"M.34"}</definedName>
    <definedName name="DUIT" localSheetId="1">{#N/A,#N/A,FALSE,"M.34"}</definedName>
    <definedName name="DUIT" localSheetId="6">{#N/A,#N/A,FALSE,"M.34"}</definedName>
    <definedName name="DUIT" localSheetId="2">{#N/A,#N/A,FALSE,"M.34"}</definedName>
    <definedName name="DUIT" localSheetId="3">{#N/A,#N/A,FALSE,"M.34"}</definedName>
    <definedName name="DUIT" localSheetId="0">{#N/A,#N/A,FALSE,"M.34"}</definedName>
    <definedName name="DUIT" localSheetId="9">{#N/A,#N/A,FALSE,"M.34"}</definedName>
    <definedName name="DUIT">{#N/A,#N/A,FALSE,"M.34"}</definedName>
    <definedName name="dyah" localSheetId="7">{#N/A,#N/A,FALSE,"M.31"}</definedName>
    <definedName name="dyah" localSheetId="8">{#N/A,#N/A,FALSE,"M.31"}</definedName>
    <definedName name="dyah" localSheetId="14">{#N/A,#N/A,FALSE,"M.31"}</definedName>
    <definedName name="dyah" localSheetId="13">{#N/A,#N/A,FALSE,"M.31"}</definedName>
    <definedName name="dyah" localSheetId="11">{#N/A,#N/A,FALSE,"M.31"}</definedName>
    <definedName name="dyah" localSheetId="12">{#N/A,#N/A,FALSE,"M.31"}</definedName>
    <definedName name="dyah" localSheetId="17">{#N/A,#N/A,FALSE,"M.31"}</definedName>
    <definedName name="dyah" localSheetId="15">{#N/A,#N/A,FALSE,"M.31"}</definedName>
    <definedName name="dyah" localSheetId="16">{#N/A,#N/A,FALSE,"M.31"}</definedName>
    <definedName name="dyah" localSheetId="18">{#N/A,#N/A,FALSE,"M.31"}</definedName>
    <definedName name="dyah" localSheetId="1">{#N/A,#N/A,FALSE,"M.31"}</definedName>
    <definedName name="dyah" localSheetId="6">{#N/A,#N/A,FALSE,"M.31"}</definedName>
    <definedName name="dyah" localSheetId="2">{#N/A,#N/A,FALSE,"M.31"}</definedName>
    <definedName name="dyah" localSheetId="3">{#N/A,#N/A,FALSE,"M.31"}</definedName>
    <definedName name="dyah" localSheetId="0">{#N/A,#N/A,FALSE,"M.31"}</definedName>
    <definedName name="dyah" localSheetId="9">{#N/A,#N/A,FALSE,"M.31"}</definedName>
    <definedName name="dyah">{#N/A,#N/A,FALSE,"M.31"}</definedName>
    <definedName name="E" localSheetId="7">{#N/A,#N/A,FALSE,"M.34"}</definedName>
    <definedName name="E" localSheetId="8">{#N/A,#N/A,FALSE,"M.34"}</definedName>
    <definedName name="E" localSheetId="14">{#N/A,#N/A,FALSE,"M.34"}</definedName>
    <definedName name="E" localSheetId="13">{#N/A,#N/A,FALSE,"M.34"}</definedName>
    <definedName name="E" localSheetId="11">{#N/A,#N/A,FALSE,"M.34"}</definedName>
    <definedName name="E" localSheetId="12">{#N/A,#N/A,FALSE,"M.34"}</definedName>
    <definedName name="E" localSheetId="17">{#N/A,#N/A,FALSE,"M.34"}</definedName>
    <definedName name="E" localSheetId="15">{#N/A,#N/A,FALSE,"M.34"}</definedName>
    <definedName name="E" localSheetId="16">{#N/A,#N/A,FALSE,"M.34"}</definedName>
    <definedName name="E" localSheetId="18">{#N/A,#N/A,FALSE,"M.34"}</definedName>
    <definedName name="E" localSheetId="1">{#N/A,#N/A,FALSE,"M.34"}</definedName>
    <definedName name="E" localSheetId="6">{#N/A,#N/A,FALSE,"M.34"}</definedName>
    <definedName name="E" localSheetId="2">{#N/A,#N/A,FALSE,"M.34"}</definedName>
    <definedName name="E" localSheetId="3">{#N/A,#N/A,FALSE,"M.34"}</definedName>
    <definedName name="E" localSheetId="0">{#N/A,#N/A,FALSE,"M.34"}</definedName>
    <definedName name="E" localSheetId="9">{#N/A,#N/A,FALSE,"M.34"}</definedName>
    <definedName name="E">{#N/A,#N/A,FALSE,"M.34"}</definedName>
    <definedName name="eee" localSheetId="7">{#N/A,#N/A,FALSE,"M.01"}</definedName>
    <definedName name="eee" localSheetId="8">{#N/A,#N/A,FALSE,"M.01"}</definedName>
    <definedName name="eee" localSheetId="14">{#N/A,#N/A,FALSE,"M.01"}</definedName>
    <definedName name="eee" localSheetId="13">{#N/A,#N/A,FALSE,"M.01"}</definedName>
    <definedName name="eee" localSheetId="11">{#N/A,#N/A,FALSE,"M.01"}</definedName>
    <definedName name="eee" localSheetId="12">{#N/A,#N/A,FALSE,"M.01"}</definedName>
    <definedName name="eee" localSheetId="17">{#N/A,#N/A,FALSE,"M.01"}</definedName>
    <definedName name="eee" localSheetId="15">{#N/A,#N/A,FALSE,"M.01"}</definedName>
    <definedName name="eee" localSheetId="16">{#N/A,#N/A,FALSE,"M.01"}</definedName>
    <definedName name="eee" localSheetId="18">{#N/A,#N/A,FALSE,"M.01"}</definedName>
    <definedName name="eee" localSheetId="1">{#N/A,#N/A,FALSE,"M.01"}</definedName>
    <definedName name="eee" localSheetId="6">{#N/A,#N/A,FALSE,"M.01"}</definedName>
    <definedName name="eee" localSheetId="2">{#N/A,#N/A,FALSE,"M.01"}</definedName>
    <definedName name="eee" localSheetId="3">{#N/A,#N/A,FALSE,"M.01"}</definedName>
    <definedName name="eee" localSheetId="0">{#N/A,#N/A,FALSE,"M.01"}</definedName>
    <definedName name="eee" localSheetId="9">{#N/A,#N/A,FALSE,"M.01"}</definedName>
    <definedName name="eee">{#N/A,#N/A,FALSE,"M.01"}</definedName>
    <definedName name="EFERFER" localSheetId="7">{#N/A,#N/A,FALSE,"M.43"}</definedName>
    <definedName name="EFERFER" localSheetId="8">{#N/A,#N/A,FALSE,"M.43"}</definedName>
    <definedName name="EFERFER" localSheetId="14">{#N/A,#N/A,FALSE,"M.43"}</definedName>
    <definedName name="EFERFER" localSheetId="13">{#N/A,#N/A,FALSE,"M.43"}</definedName>
    <definedName name="EFERFER" localSheetId="11">{#N/A,#N/A,FALSE,"M.43"}</definedName>
    <definedName name="EFERFER" localSheetId="12">{#N/A,#N/A,FALSE,"M.43"}</definedName>
    <definedName name="EFERFER" localSheetId="17">{#N/A,#N/A,FALSE,"M.43"}</definedName>
    <definedName name="EFERFER" localSheetId="15">{#N/A,#N/A,FALSE,"M.43"}</definedName>
    <definedName name="EFERFER" localSheetId="16">{#N/A,#N/A,FALSE,"M.43"}</definedName>
    <definedName name="EFERFER" localSheetId="18">{#N/A,#N/A,FALSE,"M.43"}</definedName>
    <definedName name="EFERFER" localSheetId="1">{#N/A,#N/A,FALSE,"M.43"}</definedName>
    <definedName name="EFERFER" localSheetId="6">{#N/A,#N/A,FALSE,"M.43"}</definedName>
    <definedName name="EFERFER" localSheetId="2">{#N/A,#N/A,FALSE,"M.43"}</definedName>
    <definedName name="EFERFER" localSheetId="3">{#N/A,#N/A,FALSE,"M.43"}</definedName>
    <definedName name="EFERFER" localSheetId="0">{#N/A,#N/A,FALSE,"M.43"}</definedName>
    <definedName name="EFERFER" localSheetId="9">{#N/A,#N/A,FALSE,"M.43"}</definedName>
    <definedName name="EFERFER">{#N/A,#N/A,FALSE,"M.43"}</definedName>
    <definedName name="egfegrg" localSheetId="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14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1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1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1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1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15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1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1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0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 localSheetId="9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gfegrg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ERE" localSheetId="7">{#N/A,#N/A,FALSE,"M.42"}</definedName>
    <definedName name="ERE" localSheetId="8">{#N/A,#N/A,FALSE,"M.42"}</definedName>
    <definedName name="ERE" localSheetId="14">{#N/A,#N/A,FALSE,"M.42"}</definedName>
    <definedName name="ERE" localSheetId="13">{#N/A,#N/A,FALSE,"M.42"}</definedName>
    <definedName name="ERE" localSheetId="11">{#N/A,#N/A,FALSE,"M.42"}</definedName>
    <definedName name="ERE" localSheetId="12">{#N/A,#N/A,FALSE,"M.42"}</definedName>
    <definedName name="ERE" localSheetId="17">{#N/A,#N/A,FALSE,"M.42"}</definedName>
    <definedName name="ERE" localSheetId="15">{#N/A,#N/A,FALSE,"M.42"}</definedName>
    <definedName name="ERE" localSheetId="16">{#N/A,#N/A,FALSE,"M.42"}</definedName>
    <definedName name="ERE" localSheetId="18">{#N/A,#N/A,FALSE,"M.42"}</definedName>
    <definedName name="ERE" localSheetId="1">{#N/A,#N/A,FALSE,"M.42"}</definedName>
    <definedName name="ERE" localSheetId="6">{#N/A,#N/A,FALSE,"M.42"}</definedName>
    <definedName name="ERE" localSheetId="2">{#N/A,#N/A,FALSE,"M.42"}</definedName>
    <definedName name="ERE" localSheetId="3">{#N/A,#N/A,FALSE,"M.42"}</definedName>
    <definedName name="ERE" localSheetId="0">{#N/A,#N/A,FALSE,"M.42"}</definedName>
    <definedName name="ERE" localSheetId="9">{#N/A,#N/A,FALSE,"M.42"}</definedName>
    <definedName name="ERE">{#N/A,#N/A,FALSE,"M.42"}</definedName>
    <definedName name="ERWER" localSheetId="7">{#N/A,#N/A,FALSE,"M.42"}</definedName>
    <definedName name="ERWER" localSheetId="8">{#N/A,#N/A,FALSE,"M.42"}</definedName>
    <definedName name="ERWER" localSheetId="14">{#N/A,#N/A,FALSE,"M.42"}</definedName>
    <definedName name="ERWER" localSheetId="13">{#N/A,#N/A,FALSE,"M.42"}</definedName>
    <definedName name="ERWER" localSheetId="11">{#N/A,#N/A,FALSE,"M.42"}</definedName>
    <definedName name="ERWER" localSheetId="12">{#N/A,#N/A,FALSE,"M.42"}</definedName>
    <definedName name="ERWER" localSheetId="17">{#N/A,#N/A,FALSE,"M.42"}</definedName>
    <definedName name="ERWER" localSheetId="15">{#N/A,#N/A,FALSE,"M.42"}</definedName>
    <definedName name="ERWER" localSheetId="16">{#N/A,#N/A,FALSE,"M.42"}</definedName>
    <definedName name="ERWER" localSheetId="18">{#N/A,#N/A,FALSE,"M.42"}</definedName>
    <definedName name="ERWER" localSheetId="1">{#N/A,#N/A,FALSE,"M.42"}</definedName>
    <definedName name="ERWER" localSheetId="6">{#N/A,#N/A,FALSE,"M.42"}</definedName>
    <definedName name="ERWER" localSheetId="2">{#N/A,#N/A,FALSE,"M.42"}</definedName>
    <definedName name="ERWER" localSheetId="3">{#N/A,#N/A,FALSE,"M.42"}</definedName>
    <definedName name="ERWER" localSheetId="0">{#N/A,#N/A,FALSE,"M.42"}</definedName>
    <definedName name="ERWER" localSheetId="9">{#N/A,#N/A,FALSE,"M.42"}</definedName>
    <definedName name="ERWER">{#N/A,#N/A,FALSE,"M.42"}</definedName>
    <definedName name="ESTIMASIKINERJA2004" localSheetId="7">{#N/A,#N/A,FALSE,"M.31"}</definedName>
    <definedName name="ESTIMASIKINERJA2004" localSheetId="8">{#N/A,#N/A,FALSE,"M.31"}</definedName>
    <definedName name="ESTIMASIKINERJA2004" localSheetId="14">{#N/A,#N/A,FALSE,"M.31"}</definedName>
    <definedName name="ESTIMASIKINERJA2004" localSheetId="13">{#N/A,#N/A,FALSE,"M.31"}</definedName>
    <definedName name="ESTIMASIKINERJA2004" localSheetId="11">{#N/A,#N/A,FALSE,"M.31"}</definedName>
    <definedName name="ESTIMASIKINERJA2004" localSheetId="12">{#N/A,#N/A,FALSE,"M.31"}</definedName>
    <definedName name="ESTIMASIKINERJA2004" localSheetId="17">{#N/A,#N/A,FALSE,"M.31"}</definedName>
    <definedName name="ESTIMASIKINERJA2004" localSheetId="15">{#N/A,#N/A,FALSE,"M.31"}</definedName>
    <definedName name="ESTIMASIKINERJA2004" localSheetId="16">{#N/A,#N/A,FALSE,"M.31"}</definedName>
    <definedName name="ESTIMASIKINERJA2004" localSheetId="18">{#N/A,#N/A,FALSE,"M.31"}</definedName>
    <definedName name="ESTIMASIKINERJA2004" localSheetId="1">{#N/A,#N/A,FALSE,"M.31"}</definedName>
    <definedName name="ESTIMASIKINERJA2004" localSheetId="6">{#N/A,#N/A,FALSE,"M.31"}</definedName>
    <definedName name="ESTIMASIKINERJA2004" localSheetId="2">{#N/A,#N/A,FALSE,"M.31"}</definedName>
    <definedName name="ESTIMASIKINERJA2004" localSheetId="3">{#N/A,#N/A,FALSE,"M.31"}</definedName>
    <definedName name="ESTIMASIKINERJA2004" localSheetId="0">{#N/A,#N/A,FALSE,"M.31"}</definedName>
    <definedName name="ESTIMASIKINERJA2004" localSheetId="9">{#N/A,#N/A,FALSE,"M.31"}</definedName>
    <definedName name="ESTIMASIKINERJA2004">{#N/A,#N/A,FALSE,"M.31"}</definedName>
    <definedName name="ewrwef" localSheetId="7">{#N/A,#N/A,FALSE,"M.43"}</definedName>
    <definedName name="ewrwef" localSheetId="8">{#N/A,#N/A,FALSE,"M.43"}</definedName>
    <definedName name="ewrwef" localSheetId="14">{#N/A,#N/A,FALSE,"M.43"}</definedName>
    <definedName name="ewrwef" localSheetId="13">{#N/A,#N/A,FALSE,"M.43"}</definedName>
    <definedName name="ewrwef" localSheetId="11">{#N/A,#N/A,FALSE,"M.43"}</definedName>
    <definedName name="ewrwef" localSheetId="12">{#N/A,#N/A,FALSE,"M.43"}</definedName>
    <definedName name="ewrwef" localSheetId="17">{#N/A,#N/A,FALSE,"M.43"}</definedName>
    <definedName name="ewrwef" localSheetId="15">{#N/A,#N/A,FALSE,"M.43"}</definedName>
    <definedName name="ewrwef" localSheetId="16">{#N/A,#N/A,FALSE,"M.43"}</definedName>
    <definedName name="ewrwef" localSheetId="18">{#N/A,#N/A,FALSE,"M.43"}</definedName>
    <definedName name="ewrwef" localSheetId="1">{#N/A,#N/A,FALSE,"M.43"}</definedName>
    <definedName name="ewrwef" localSheetId="6">{#N/A,#N/A,FALSE,"M.43"}</definedName>
    <definedName name="ewrwef" localSheetId="2">{#N/A,#N/A,FALSE,"M.43"}</definedName>
    <definedName name="ewrwef" localSheetId="3">{#N/A,#N/A,FALSE,"M.43"}</definedName>
    <definedName name="ewrwef" localSheetId="0">{#N/A,#N/A,FALSE,"M.43"}</definedName>
    <definedName name="ewrwef" localSheetId="9">{#N/A,#N/A,FALSE,"M.43"}</definedName>
    <definedName name="ewrwef">{#N/A,#N/A,FALSE,"M.43"}</definedName>
    <definedName name="f" localSheetId="7">{#N/A,#N/A,FALSE,"M.42"}</definedName>
    <definedName name="f" localSheetId="8">{#N/A,#N/A,FALSE,"M.42"}</definedName>
    <definedName name="f" localSheetId="14">{#N/A,#N/A,FALSE,"M.42"}</definedName>
    <definedName name="f" localSheetId="13">{#N/A,#N/A,FALSE,"M.42"}</definedName>
    <definedName name="f" localSheetId="11">{#N/A,#N/A,FALSE,"M.42"}</definedName>
    <definedName name="f" localSheetId="12">{#N/A,#N/A,FALSE,"M.42"}</definedName>
    <definedName name="f" localSheetId="17">{#N/A,#N/A,FALSE,"M.42"}</definedName>
    <definedName name="f" localSheetId="15">{#N/A,#N/A,FALSE,"M.42"}</definedName>
    <definedName name="f" localSheetId="16">{#N/A,#N/A,FALSE,"M.42"}</definedName>
    <definedName name="f" localSheetId="18">{#N/A,#N/A,FALSE,"M.42"}</definedName>
    <definedName name="f" localSheetId="1">{#N/A,#N/A,FALSE,"M.42"}</definedName>
    <definedName name="f" localSheetId="6">{#N/A,#N/A,FALSE,"M.42"}</definedName>
    <definedName name="f" localSheetId="2">{#N/A,#N/A,FALSE,"M.42"}</definedName>
    <definedName name="f" localSheetId="3">{#N/A,#N/A,FALSE,"M.42"}</definedName>
    <definedName name="f" localSheetId="0">{#N/A,#N/A,FALSE,"M.42"}</definedName>
    <definedName name="f" localSheetId="9">{#N/A,#N/A,FALSE,"M.42"}</definedName>
    <definedName name="f">{#N/A,#N/A,FALSE,"M.42"}</definedName>
    <definedName name="ffffsgdhqa35y" localSheetId="7">{#N/A,#N/A,FALSE,"M.01";#N/A,#N/A,FALSE,"M.01"}</definedName>
    <definedName name="ffffsgdhqa35y" localSheetId="8">{#N/A,#N/A,FALSE,"M.01";#N/A,#N/A,FALSE,"M.01"}</definedName>
    <definedName name="ffffsgdhqa35y" localSheetId="14">{#N/A,#N/A,FALSE,"M.01";#N/A,#N/A,FALSE,"M.01"}</definedName>
    <definedName name="ffffsgdhqa35y" localSheetId="13">{#N/A,#N/A,FALSE,"M.01";#N/A,#N/A,FALSE,"M.01"}</definedName>
    <definedName name="ffffsgdhqa35y" localSheetId="11">{#N/A,#N/A,FALSE,"M.01";#N/A,#N/A,FALSE,"M.01"}</definedName>
    <definedName name="ffffsgdhqa35y" localSheetId="12">{#N/A,#N/A,FALSE,"M.01";#N/A,#N/A,FALSE,"M.01"}</definedName>
    <definedName name="ffffsgdhqa35y" localSheetId="17">{#N/A,#N/A,FALSE,"M.01";#N/A,#N/A,FALSE,"M.01"}</definedName>
    <definedName name="ffffsgdhqa35y" localSheetId="15">{#N/A,#N/A,FALSE,"M.01";#N/A,#N/A,FALSE,"M.01"}</definedName>
    <definedName name="ffffsgdhqa35y" localSheetId="16">{#N/A,#N/A,FALSE,"M.01";#N/A,#N/A,FALSE,"M.01"}</definedName>
    <definedName name="ffffsgdhqa35y" localSheetId="18">{#N/A,#N/A,FALSE,"M.01";#N/A,#N/A,FALSE,"M.01"}</definedName>
    <definedName name="ffffsgdhqa35y" localSheetId="1">{#N/A,#N/A,FALSE,"M.01";#N/A,#N/A,FALSE,"M.01"}</definedName>
    <definedName name="ffffsgdhqa35y" localSheetId="6">{#N/A,#N/A,FALSE,"M.01";#N/A,#N/A,FALSE,"M.01"}</definedName>
    <definedName name="ffffsgdhqa35y" localSheetId="2">{#N/A,#N/A,FALSE,"M.01";#N/A,#N/A,FALSE,"M.01"}</definedName>
    <definedName name="ffffsgdhqa35y" localSheetId="3">{#N/A,#N/A,FALSE,"M.01";#N/A,#N/A,FALSE,"M.01"}</definedName>
    <definedName name="ffffsgdhqa35y" localSheetId="0">{#N/A,#N/A,FALSE,"M.01";#N/A,#N/A,FALSE,"M.01"}</definedName>
    <definedName name="ffffsgdhqa35y" localSheetId="9">{#N/A,#N/A,FALSE,"M.01";#N/A,#N/A,FALSE,"M.01"}</definedName>
    <definedName name="ffffsgdhqa35y">{#N/A,#N/A,FALSE,"M.01";#N/A,#N/A,FALSE,"M.01"}</definedName>
    <definedName name="FILL">[4]UshDeb00!#REF!</definedName>
    <definedName name="g" localSheetId="7">{#N/A,#N/A,FALSE,"M.42"}</definedName>
    <definedName name="g" localSheetId="8">{#N/A,#N/A,FALSE,"M.42"}</definedName>
    <definedName name="g" localSheetId="14">{#N/A,#N/A,FALSE,"M.42"}</definedName>
    <definedName name="g" localSheetId="13">{#N/A,#N/A,FALSE,"M.42"}</definedName>
    <definedName name="g" localSheetId="11">{#N/A,#N/A,FALSE,"M.42"}</definedName>
    <definedName name="g" localSheetId="12">{#N/A,#N/A,FALSE,"M.42"}</definedName>
    <definedName name="g" localSheetId="17">{#N/A,#N/A,FALSE,"M.42"}</definedName>
    <definedName name="g" localSheetId="15">{#N/A,#N/A,FALSE,"M.42"}</definedName>
    <definedName name="g" localSheetId="16">{#N/A,#N/A,FALSE,"M.42"}</definedName>
    <definedName name="g" localSheetId="18">{#N/A,#N/A,FALSE,"M.42"}</definedName>
    <definedName name="g" localSheetId="1">{#N/A,#N/A,FALSE,"M.42"}</definedName>
    <definedName name="g" localSheetId="6">{#N/A,#N/A,FALSE,"M.42"}</definedName>
    <definedName name="g" localSheetId="2">{#N/A,#N/A,FALSE,"M.42"}</definedName>
    <definedName name="g" localSheetId="3">{#N/A,#N/A,FALSE,"M.42"}</definedName>
    <definedName name="g" localSheetId="0">{#N/A,#N/A,FALSE,"M.42"}</definedName>
    <definedName name="g" localSheetId="9">{#N/A,#N/A,FALSE,"M.42"}</definedName>
    <definedName name="g">{#N/A,#N/A,FALSE,"M.42"}</definedName>
    <definedName name="gd" localSheetId="7">#REF!</definedName>
    <definedName name="gd" localSheetId="8">#REF!</definedName>
    <definedName name="gd" localSheetId="14">#REF!</definedName>
    <definedName name="gd" localSheetId="13">#REF!</definedName>
    <definedName name="gd" localSheetId="11">#REF!</definedName>
    <definedName name="gd" localSheetId="12">#REF!</definedName>
    <definedName name="gd" localSheetId="17">#REF!</definedName>
    <definedName name="gd" localSheetId="15">#REF!</definedName>
    <definedName name="gd" localSheetId="16">#REF!</definedName>
    <definedName name="gd" localSheetId="18">#REF!</definedName>
    <definedName name="gd" localSheetId="1">#REF!</definedName>
    <definedName name="gd" localSheetId="6">#REF!</definedName>
    <definedName name="gd" localSheetId="2">#REF!</definedName>
    <definedName name="gd" localSheetId="3">#REF!</definedName>
    <definedName name="gd">#REF!</definedName>
    <definedName name="HH" localSheetId="7">{#N/A,#N/A,FALSE,"M.34"}</definedName>
    <definedName name="HH" localSheetId="8">{#N/A,#N/A,FALSE,"M.34"}</definedName>
    <definedName name="HH" localSheetId="14">{#N/A,#N/A,FALSE,"M.34"}</definedName>
    <definedName name="HH" localSheetId="13">{#N/A,#N/A,FALSE,"M.34"}</definedName>
    <definedName name="HH" localSheetId="11">{#N/A,#N/A,FALSE,"M.34"}</definedName>
    <definedName name="HH" localSheetId="12">{#N/A,#N/A,FALSE,"M.34"}</definedName>
    <definedName name="HH" localSheetId="17">{#N/A,#N/A,FALSE,"M.34"}</definedName>
    <definedName name="HH" localSheetId="15">{#N/A,#N/A,FALSE,"M.34"}</definedName>
    <definedName name="HH" localSheetId="16">{#N/A,#N/A,FALSE,"M.34"}</definedName>
    <definedName name="HH" localSheetId="18">{#N/A,#N/A,FALSE,"M.34"}</definedName>
    <definedName name="HH" localSheetId="1">{#N/A,#N/A,FALSE,"M.34"}</definedName>
    <definedName name="HH" localSheetId="6">{#N/A,#N/A,FALSE,"M.34"}</definedName>
    <definedName name="HH" localSheetId="2">{#N/A,#N/A,FALSE,"M.34"}</definedName>
    <definedName name="HH" localSheetId="3">{#N/A,#N/A,FALSE,"M.34"}</definedName>
    <definedName name="HH" localSheetId="0">{#N/A,#N/A,FALSE,"M.34"}</definedName>
    <definedName name="HH" localSheetId="9">{#N/A,#N/A,FALSE,"M.34"}</definedName>
    <definedName name="HH">{#N/A,#N/A,FALSE,"M.34"}</definedName>
    <definedName name="hist" localSheetId="7">{#N/A,#N/A,FALSE,"M.42"}</definedName>
    <definedName name="hist" localSheetId="8">{#N/A,#N/A,FALSE,"M.42"}</definedName>
    <definedName name="hist" localSheetId="14">{#N/A,#N/A,FALSE,"M.42"}</definedName>
    <definedName name="hist" localSheetId="13">{#N/A,#N/A,FALSE,"M.42"}</definedName>
    <definedName name="hist" localSheetId="11">{#N/A,#N/A,FALSE,"M.42"}</definedName>
    <definedName name="hist" localSheetId="12">{#N/A,#N/A,FALSE,"M.42"}</definedName>
    <definedName name="hist" localSheetId="17">{#N/A,#N/A,FALSE,"M.42"}</definedName>
    <definedName name="hist" localSheetId="15">{#N/A,#N/A,FALSE,"M.42"}</definedName>
    <definedName name="hist" localSheetId="16">{#N/A,#N/A,FALSE,"M.42"}</definedName>
    <definedName name="hist" localSheetId="18">{#N/A,#N/A,FALSE,"M.42"}</definedName>
    <definedName name="hist" localSheetId="1">{#N/A,#N/A,FALSE,"M.42"}</definedName>
    <definedName name="hist" localSheetId="6">{#N/A,#N/A,FALSE,"M.42"}</definedName>
    <definedName name="hist" localSheetId="2">{#N/A,#N/A,FALSE,"M.42"}</definedName>
    <definedName name="hist" localSheetId="3">{#N/A,#N/A,FALSE,"M.42"}</definedName>
    <definedName name="hist" localSheetId="0">{#N/A,#N/A,FALSE,"M.42"}</definedName>
    <definedName name="hist" localSheetId="9">{#N/A,#N/A,FALSE,"M.42"}</definedName>
    <definedName name="hist">{#N/A,#N/A,FALSE,"M.42"}</definedName>
    <definedName name="hlihgoiyhnpoi" localSheetId="7">{#N/A,#N/A,FALSE,"M.01"}</definedName>
    <definedName name="hlihgoiyhnpoi" localSheetId="8">{#N/A,#N/A,FALSE,"M.01"}</definedName>
    <definedName name="hlihgoiyhnpoi" localSheetId="14">{#N/A,#N/A,FALSE,"M.01"}</definedName>
    <definedName name="hlihgoiyhnpoi" localSheetId="13">{#N/A,#N/A,FALSE,"M.01"}</definedName>
    <definedName name="hlihgoiyhnpoi" localSheetId="11">{#N/A,#N/A,FALSE,"M.01"}</definedName>
    <definedName name="hlihgoiyhnpoi" localSheetId="12">{#N/A,#N/A,FALSE,"M.01"}</definedName>
    <definedName name="hlihgoiyhnpoi" localSheetId="17">{#N/A,#N/A,FALSE,"M.01"}</definedName>
    <definedName name="hlihgoiyhnpoi" localSheetId="15">{#N/A,#N/A,FALSE,"M.01"}</definedName>
    <definedName name="hlihgoiyhnpoi" localSheetId="16">{#N/A,#N/A,FALSE,"M.01"}</definedName>
    <definedName name="hlihgoiyhnpoi" localSheetId="18">{#N/A,#N/A,FALSE,"M.01"}</definedName>
    <definedName name="hlihgoiyhnpoi" localSheetId="1">{#N/A,#N/A,FALSE,"M.01"}</definedName>
    <definedName name="hlihgoiyhnpoi" localSheetId="6">{#N/A,#N/A,FALSE,"M.01"}</definedName>
    <definedName name="hlihgoiyhnpoi" localSheetId="2">{#N/A,#N/A,FALSE,"M.01"}</definedName>
    <definedName name="hlihgoiyhnpoi" localSheetId="3">{#N/A,#N/A,FALSE,"M.01"}</definedName>
    <definedName name="hlihgoiyhnpoi" localSheetId="0">{#N/A,#N/A,FALSE,"M.01"}</definedName>
    <definedName name="hlihgoiyhnpoi" localSheetId="9">{#N/A,#N/A,FALSE,"M.01"}</definedName>
    <definedName name="hlihgoiyhnpoi">{#N/A,#N/A,FALSE,"M.01"}</definedName>
    <definedName name="Hutang" localSheetId="7">{#N/A,#N/A,FALSE,"M.01";#N/A,#N/A,FALSE,"M.01"}</definedName>
    <definedName name="Hutang" localSheetId="8">{#N/A,#N/A,FALSE,"M.01";#N/A,#N/A,FALSE,"M.01"}</definedName>
    <definedName name="Hutang" localSheetId="14">{#N/A,#N/A,FALSE,"M.01";#N/A,#N/A,FALSE,"M.01"}</definedName>
    <definedName name="Hutang" localSheetId="13">{#N/A,#N/A,FALSE,"M.01";#N/A,#N/A,FALSE,"M.01"}</definedName>
    <definedName name="Hutang" localSheetId="11">{#N/A,#N/A,FALSE,"M.01";#N/A,#N/A,FALSE,"M.01"}</definedName>
    <definedName name="Hutang" localSheetId="12">{#N/A,#N/A,FALSE,"M.01";#N/A,#N/A,FALSE,"M.01"}</definedName>
    <definedName name="Hutang" localSheetId="17">{#N/A,#N/A,FALSE,"M.01";#N/A,#N/A,FALSE,"M.01"}</definedName>
    <definedName name="Hutang" localSheetId="15">{#N/A,#N/A,FALSE,"M.01";#N/A,#N/A,FALSE,"M.01"}</definedName>
    <definedName name="Hutang" localSheetId="16">{#N/A,#N/A,FALSE,"M.01";#N/A,#N/A,FALSE,"M.01"}</definedName>
    <definedName name="Hutang" localSheetId="18">{#N/A,#N/A,FALSE,"M.01";#N/A,#N/A,FALSE,"M.01"}</definedName>
    <definedName name="Hutang" localSheetId="1">{#N/A,#N/A,FALSE,"M.01";#N/A,#N/A,FALSE,"M.01"}</definedName>
    <definedName name="Hutang" localSheetId="6">{#N/A,#N/A,FALSE,"M.01";#N/A,#N/A,FALSE,"M.01"}</definedName>
    <definedName name="Hutang" localSheetId="2">{#N/A,#N/A,FALSE,"M.01";#N/A,#N/A,FALSE,"M.01"}</definedName>
    <definedName name="Hutang" localSheetId="3">{#N/A,#N/A,FALSE,"M.01";#N/A,#N/A,FALSE,"M.01"}</definedName>
    <definedName name="Hutang" localSheetId="0">{#N/A,#N/A,FALSE,"M.01";#N/A,#N/A,FALSE,"M.01"}</definedName>
    <definedName name="Hutang" localSheetId="9">{#N/A,#N/A,FALSE,"M.01";#N/A,#N/A,FALSE,"M.01"}</definedName>
    <definedName name="Hutang">{#N/A,#N/A,FALSE,"M.01";#N/A,#N/A,FALSE,"M.01"}</definedName>
    <definedName name="I" localSheetId="7">{#N/A,#N/A,FALSE,"M.41"}</definedName>
    <definedName name="I" localSheetId="8">{#N/A,#N/A,FALSE,"M.41"}</definedName>
    <definedName name="I" localSheetId="14">{#N/A,#N/A,FALSE,"M.41"}</definedName>
    <definedName name="I" localSheetId="13">{#N/A,#N/A,FALSE,"M.41"}</definedName>
    <definedName name="I" localSheetId="11">{#N/A,#N/A,FALSE,"M.41"}</definedName>
    <definedName name="I" localSheetId="12">{#N/A,#N/A,FALSE,"M.41"}</definedName>
    <definedName name="I" localSheetId="17">{#N/A,#N/A,FALSE,"M.41"}</definedName>
    <definedName name="I" localSheetId="15">{#N/A,#N/A,FALSE,"M.41"}</definedName>
    <definedName name="I" localSheetId="16">{#N/A,#N/A,FALSE,"M.41"}</definedName>
    <definedName name="I" localSheetId="18">{#N/A,#N/A,FALSE,"M.41"}</definedName>
    <definedName name="I" localSheetId="1">{#N/A,#N/A,FALSE,"M.41"}</definedName>
    <definedName name="I" localSheetId="6">{#N/A,#N/A,FALSE,"M.41"}</definedName>
    <definedName name="I" localSheetId="2">{#N/A,#N/A,FALSE,"M.41"}</definedName>
    <definedName name="I" localSheetId="3">{#N/A,#N/A,FALSE,"M.41"}</definedName>
    <definedName name="I" localSheetId="0">{#N/A,#N/A,FALSE,"M.41"}</definedName>
    <definedName name="I" localSheetId="9">{#N/A,#N/A,FALSE,"M.41"}</definedName>
    <definedName name="I">{#N/A,#N/A,FALSE,"M.41"}</definedName>
    <definedName name="II" localSheetId="7">{#N/A,#N/A,FALSE,"M.42"}</definedName>
    <definedName name="II" localSheetId="8">{#N/A,#N/A,FALSE,"M.42"}</definedName>
    <definedName name="II" localSheetId="14">{#N/A,#N/A,FALSE,"M.42"}</definedName>
    <definedName name="II" localSheetId="13">{#N/A,#N/A,FALSE,"M.42"}</definedName>
    <definedName name="II" localSheetId="11">{#N/A,#N/A,FALSE,"M.42"}</definedName>
    <definedName name="II" localSheetId="12">{#N/A,#N/A,FALSE,"M.42"}</definedName>
    <definedName name="II" localSheetId="17">{#N/A,#N/A,FALSE,"M.42"}</definedName>
    <definedName name="II" localSheetId="15">{#N/A,#N/A,FALSE,"M.42"}</definedName>
    <definedName name="II" localSheetId="16">{#N/A,#N/A,FALSE,"M.42"}</definedName>
    <definedName name="II" localSheetId="18">{#N/A,#N/A,FALSE,"M.42"}</definedName>
    <definedName name="II" localSheetId="1">{#N/A,#N/A,FALSE,"M.42"}</definedName>
    <definedName name="II" localSheetId="6">{#N/A,#N/A,FALSE,"M.42"}</definedName>
    <definedName name="II" localSheetId="2">{#N/A,#N/A,FALSE,"M.42"}</definedName>
    <definedName name="II" localSheetId="3">{#N/A,#N/A,FALSE,"M.42"}</definedName>
    <definedName name="II" localSheetId="0">{#N/A,#N/A,FALSE,"M.42"}</definedName>
    <definedName name="II" localSheetId="9">{#N/A,#N/A,FALSE,"M.42"}</definedName>
    <definedName name="II">{#N/A,#N/A,FALSE,"M.42"}</definedName>
    <definedName name="indikatorlurruptl" localSheetId="7">{#N/A,#N/A,FALSE,"M.31"}</definedName>
    <definedName name="indikatorlurruptl" localSheetId="8">{#N/A,#N/A,FALSE,"M.31"}</definedName>
    <definedName name="indikatorlurruptl" localSheetId="14">{#N/A,#N/A,FALSE,"M.31"}</definedName>
    <definedName name="indikatorlurruptl" localSheetId="13">{#N/A,#N/A,FALSE,"M.31"}</definedName>
    <definedName name="indikatorlurruptl" localSheetId="11">{#N/A,#N/A,FALSE,"M.31"}</definedName>
    <definedName name="indikatorlurruptl" localSheetId="12">{#N/A,#N/A,FALSE,"M.31"}</definedName>
    <definedName name="indikatorlurruptl" localSheetId="17">{#N/A,#N/A,FALSE,"M.31"}</definedName>
    <definedName name="indikatorlurruptl" localSheetId="15">{#N/A,#N/A,FALSE,"M.31"}</definedName>
    <definedName name="indikatorlurruptl" localSheetId="16">{#N/A,#N/A,FALSE,"M.31"}</definedName>
    <definedName name="indikatorlurruptl" localSheetId="18">{#N/A,#N/A,FALSE,"M.31"}</definedName>
    <definedName name="indikatorlurruptl" localSheetId="1">{#N/A,#N/A,FALSE,"M.31"}</definedName>
    <definedName name="indikatorlurruptl" localSheetId="6">{#N/A,#N/A,FALSE,"M.31"}</definedName>
    <definedName name="indikatorlurruptl" localSheetId="2">{#N/A,#N/A,FALSE,"M.31"}</definedName>
    <definedName name="indikatorlurruptl" localSheetId="3">{#N/A,#N/A,FALSE,"M.31"}</definedName>
    <definedName name="indikatorlurruptl" localSheetId="0">{#N/A,#N/A,FALSE,"M.31"}</definedName>
    <definedName name="indikatorlurruptl" localSheetId="9">{#N/A,#N/A,FALSE,"M.31"}</definedName>
    <definedName name="indikatorlurruptl">{#N/A,#N/A,FALSE,"M.31"}</definedName>
    <definedName name="Ipo" localSheetId="7">{#N/A,#N/A,FALSE,"M.02"}</definedName>
    <definedName name="Ipo" localSheetId="8">{#N/A,#N/A,FALSE,"M.02"}</definedName>
    <definedName name="Ipo" localSheetId="14">{#N/A,#N/A,FALSE,"M.02"}</definedName>
    <definedName name="Ipo" localSheetId="13">{#N/A,#N/A,FALSE,"M.02"}</definedName>
    <definedName name="Ipo" localSheetId="11">{#N/A,#N/A,FALSE,"M.02"}</definedName>
    <definedName name="Ipo" localSheetId="12">{#N/A,#N/A,FALSE,"M.02"}</definedName>
    <definedName name="Ipo" localSheetId="17">{#N/A,#N/A,FALSE,"M.02"}</definedName>
    <definedName name="Ipo" localSheetId="15">{#N/A,#N/A,FALSE,"M.02"}</definedName>
    <definedName name="Ipo" localSheetId="16">{#N/A,#N/A,FALSE,"M.02"}</definedName>
    <definedName name="Ipo" localSheetId="18">{#N/A,#N/A,FALSE,"M.02"}</definedName>
    <definedName name="Ipo" localSheetId="1">{#N/A,#N/A,FALSE,"M.02"}</definedName>
    <definedName name="Ipo" localSheetId="6">{#N/A,#N/A,FALSE,"M.02"}</definedName>
    <definedName name="Ipo" localSheetId="2">{#N/A,#N/A,FALSE,"M.02"}</definedName>
    <definedName name="Ipo" localSheetId="3">{#N/A,#N/A,FALSE,"M.02"}</definedName>
    <definedName name="Ipo" localSheetId="0">{#N/A,#N/A,FALSE,"M.02"}</definedName>
    <definedName name="Ipo" localSheetId="9">{#N/A,#N/A,FALSE,"M.02"}</definedName>
    <definedName name="Ipo">{#N/A,#N/A,FALSE,"M.02"}</definedName>
    <definedName name="jbnrev2" localSheetId="7">{#N/A,#N/A,FALSE,"M.32"}</definedName>
    <definedName name="jbnrev2" localSheetId="8">{#N/A,#N/A,FALSE,"M.32"}</definedName>
    <definedName name="jbnrev2" localSheetId="14">{#N/A,#N/A,FALSE,"M.32"}</definedName>
    <definedName name="jbnrev2" localSheetId="13">{#N/A,#N/A,FALSE,"M.32"}</definedName>
    <definedName name="jbnrev2" localSheetId="11">{#N/A,#N/A,FALSE,"M.32"}</definedName>
    <definedName name="jbnrev2" localSheetId="12">{#N/A,#N/A,FALSE,"M.32"}</definedName>
    <definedName name="jbnrev2" localSheetId="17">{#N/A,#N/A,FALSE,"M.32"}</definedName>
    <definedName name="jbnrev2" localSheetId="15">{#N/A,#N/A,FALSE,"M.32"}</definedName>
    <definedName name="jbnrev2" localSheetId="16">{#N/A,#N/A,FALSE,"M.32"}</definedName>
    <definedName name="jbnrev2" localSheetId="18">{#N/A,#N/A,FALSE,"M.32"}</definedName>
    <definedName name="jbnrev2" localSheetId="1">{#N/A,#N/A,FALSE,"M.32"}</definedName>
    <definedName name="jbnrev2" localSheetId="6">{#N/A,#N/A,FALSE,"M.32"}</definedName>
    <definedName name="jbnrev2" localSheetId="2">{#N/A,#N/A,FALSE,"M.32"}</definedName>
    <definedName name="jbnrev2" localSheetId="3">{#N/A,#N/A,FALSE,"M.32"}</definedName>
    <definedName name="jbnrev2" localSheetId="0">{#N/A,#N/A,FALSE,"M.32"}</definedName>
    <definedName name="jbnrev2" localSheetId="9">{#N/A,#N/A,FALSE,"M.32"}</definedName>
    <definedName name="jbnrev2">{#N/A,#N/A,FALSE,"M.32"}</definedName>
    <definedName name="jh" localSheetId="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14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1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1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1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1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15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1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1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0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 localSheetId="9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h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JJJJ" localSheetId="7">{#N/A,#N/A,FALSE,"M.41"}</definedName>
    <definedName name="JJJJ" localSheetId="8">{#N/A,#N/A,FALSE,"M.41"}</definedName>
    <definedName name="JJJJ" localSheetId="14">{#N/A,#N/A,FALSE,"M.41"}</definedName>
    <definedName name="JJJJ" localSheetId="13">{#N/A,#N/A,FALSE,"M.41"}</definedName>
    <definedName name="JJJJ" localSheetId="11">{#N/A,#N/A,FALSE,"M.41"}</definedName>
    <definedName name="JJJJ" localSheetId="12">{#N/A,#N/A,FALSE,"M.41"}</definedName>
    <definedName name="JJJJ" localSheetId="17">{#N/A,#N/A,FALSE,"M.41"}</definedName>
    <definedName name="JJJJ" localSheetId="15">{#N/A,#N/A,FALSE,"M.41"}</definedName>
    <definedName name="JJJJ" localSheetId="16">{#N/A,#N/A,FALSE,"M.41"}</definedName>
    <definedName name="JJJJ" localSheetId="18">{#N/A,#N/A,FALSE,"M.41"}</definedName>
    <definedName name="JJJJ" localSheetId="1">{#N/A,#N/A,FALSE,"M.41"}</definedName>
    <definedName name="JJJJ" localSheetId="6">{#N/A,#N/A,FALSE,"M.41"}</definedName>
    <definedName name="JJJJ" localSheetId="2">{#N/A,#N/A,FALSE,"M.41"}</definedName>
    <definedName name="JJJJ" localSheetId="3">{#N/A,#N/A,FALSE,"M.41"}</definedName>
    <definedName name="JJJJ" localSheetId="0">{#N/A,#N/A,FALSE,"M.41"}</definedName>
    <definedName name="JJJJ" localSheetId="9">{#N/A,#N/A,FALSE,"M.41"}</definedName>
    <definedName name="JJJJ">{#N/A,#N/A,FALSE,"M.41"}</definedName>
    <definedName name="JR_PAGE_ANCHOR_0_1" localSheetId="7">'4472.BDB.001'!$A$17</definedName>
    <definedName name="JR_PAGE_ANCHOR_0_1" localSheetId="8">'4472.BDB.002'!$A$18</definedName>
    <definedName name="JR_PAGE_ANCHOR_0_1" localSheetId="14">'6392.EBA.962'!#REF!</definedName>
    <definedName name="JR_PAGE_ANCHOR_0_1" localSheetId="13">'6392.EBB.951'!#REF!</definedName>
    <definedName name="JR_PAGE_ANCHOR_0_1" localSheetId="5">'Indikatif 2025'!$A$5</definedName>
    <definedName name="JR_PAGE_ANCHOR_0_1" localSheetId="11">'RAB 7733.BDB.002'!#REF!</definedName>
    <definedName name="JR_PAGE_ANCHOR_0_1" localSheetId="12">'RAB 7733.BEJ.001'!#REF!</definedName>
    <definedName name="JR_PAGE_ANCHOR_0_1" localSheetId="17">'RAB 7735.EBA.956'!#REF!</definedName>
    <definedName name="JR_PAGE_ANCHOR_0_1" localSheetId="15">'RAB 7735.EBA.962'!#REF!</definedName>
    <definedName name="JR_PAGE_ANCHOR_0_1" localSheetId="16">'RAB 7735.EBA.994'!#REF!</definedName>
    <definedName name="JR_PAGE_ANCHOR_0_1" localSheetId="18">'RAB 7735.EBB.951'!#REF!</definedName>
    <definedName name="JR_PAGE_ANCHOR_0_1" localSheetId="1">'RAB Full 2026'!$A$5</definedName>
    <definedName name="JR_PAGE_ANCHOR_0_1" localSheetId="6">'RAB Pagu Tambahan'!$A$20</definedName>
    <definedName name="JR_PAGE_ANCHOR_0_1" localSheetId="2">'RAB Rev Terakhir'!$A$5</definedName>
    <definedName name="JR_PAGE_ANCHOR_0_1" localSheetId="3">'RAB Semula Menjadi'!$A$5</definedName>
    <definedName name="JR_PAGE_ANCHOR_0_1" localSheetId="0">'RKA 2024'!$A$5</definedName>
    <definedName name="JR_PAGE_ANCHOR_0_1">#REF!</definedName>
    <definedName name="K" localSheetId="7">{#N/A,#N/A,FALSE,"M.42"}</definedName>
    <definedName name="K" localSheetId="8">{#N/A,#N/A,FALSE,"M.42"}</definedName>
    <definedName name="K" localSheetId="14">{#N/A,#N/A,FALSE,"M.42"}</definedName>
    <definedName name="K" localSheetId="13">{#N/A,#N/A,FALSE,"M.42"}</definedName>
    <definedName name="K" localSheetId="11">{#N/A,#N/A,FALSE,"M.42"}</definedName>
    <definedName name="K" localSheetId="12">{#N/A,#N/A,FALSE,"M.42"}</definedName>
    <definedName name="K" localSheetId="17">{#N/A,#N/A,FALSE,"M.42"}</definedName>
    <definedName name="K" localSheetId="15">{#N/A,#N/A,FALSE,"M.42"}</definedName>
    <definedName name="K" localSheetId="16">{#N/A,#N/A,FALSE,"M.42"}</definedName>
    <definedName name="K" localSheetId="18">{#N/A,#N/A,FALSE,"M.42"}</definedName>
    <definedName name="K" localSheetId="1">{#N/A,#N/A,FALSE,"M.42"}</definedName>
    <definedName name="K" localSheetId="6">{#N/A,#N/A,FALSE,"M.42"}</definedName>
    <definedName name="K" localSheetId="2">{#N/A,#N/A,FALSE,"M.42"}</definedName>
    <definedName name="K" localSheetId="3">{#N/A,#N/A,FALSE,"M.42"}</definedName>
    <definedName name="K" localSheetId="0">{#N/A,#N/A,FALSE,"M.42"}</definedName>
    <definedName name="K" localSheetId="9">{#N/A,#N/A,FALSE,"M.42"}</definedName>
    <definedName name="K">{#N/A,#N/A,FALSE,"M.42"}</definedName>
    <definedName name="kinerja" localSheetId="7">{#N/A,#N/A,FALSE,"M.32"}</definedName>
    <definedName name="kinerja" localSheetId="8">{#N/A,#N/A,FALSE,"M.32"}</definedName>
    <definedName name="kinerja" localSheetId="14">{#N/A,#N/A,FALSE,"M.32"}</definedName>
    <definedName name="kinerja" localSheetId="13">{#N/A,#N/A,FALSE,"M.32"}</definedName>
    <definedName name="kinerja" localSheetId="11">{#N/A,#N/A,FALSE,"M.32"}</definedName>
    <definedName name="kinerja" localSheetId="12">{#N/A,#N/A,FALSE,"M.32"}</definedName>
    <definedName name="kinerja" localSheetId="17">{#N/A,#N/A,FALSE,"M.32"}</definedName>
    <definedName name="kinerja" localSheetId="15">{#N/A,#N/A,FALSE,"M.32"}</definedName>
    <definedName name="kinerja" localSheetId="16">{#N/A,#N/A,FALSE,"M.32"}</definedName>
    <definedName name="kinerja" localSheetId="18">{#N/A,#N/A,FALSE,"M.32"}</definedName>
    <definedName name="kinerja" localSheetId="1">{#N/A,#N/A,FALSE,"M.32"}</definedName>
    <definedName name="kinerja" localSheetId="6">{#N/A,#N/A,FALSE,"M.32"}</definedName>
    <definedName name="kinerja" localSheetId="2">{#N/A,#N/A,FALSE,"M.32"}</definedName>
    <definedName name="kinerja" localSheetId="3">{#N/A,#N/A,FALSE,"M.32"}</definedName>
    <definedName name="kinerja" localSheetId="0">{#N/A,#N/A,FALSE,"M.32"}</definedName>
    <definedName name="kinerja" localSheetId="9">{#N/A,#N/A,FALSE,"M.32"}</definedName>
    <definedName name="kinerja">{#N/A,#N/A,FALSE,"M.32"}</definedName>
    <definedName name="kinerja_1" localSheetId="7">{#N/A,#N/A,FALSE,"M.42"}</definedName>
    <definedName name="kinerja_1" localSheetId="8">{#N/A,#N/A,FALSE,"M.42"}</definedName>
    <definedName name="kinerja_1" localSheetId="14">{#N/A,#N/A,FALSE,"M.42"}</definedName>
    <definedName name="kinerja_1" localSheetId="13">{#N/A,#N/A,FALSE,"M.42"}</definedName>
    <definedName name="kinerja_1" localSheetId="11">{#N/A,#N/A,FALSE,"M.42"}</definedName>
    <definedName name="kinerja_1" localSheetId="12">{#N/A,#N/A,FALSE,"M.42"}</definedName>
    <definedName name="kinerja_1" localSheetId="17">{#N/A,#N/A,FALSE,"M.42"}</definedName>
    <definedName name="kinerja_1" localSheetId="15">{#N/A,#N/A,FALSE,"M.42"}</definedName>
    <definedName name="kinerja_1" localSheetId="16">{#N/A,#N/A,FALSE,"M.42"}</definedName>
    <definedName name="kinerja_1" localSheetId="18">{#N/A,#N/A,FALSE,"M.42"}</definedName>
    <definedName name="kinerja_1" localSheetId="1">{#N/A,#N/A,FALSE,"M.42"}</definedName>
    <definedName name="kinerja_1" localSheetId="6">{#N/A,#N/A,FALSE,"M.42"}</definedName>
    <definedName name="kinerja_1" localSheetId="2">{#N/A,#N/A,FALSE,"M.42"}</definedName>
    <definedName name="kinerja_1" localSheetId="3">{#N/A,#N/A,FALSE,"M.42"}</definedName>
    <definedName name="kinerja_1" localSheetId="0">{#N/A,#N/A,FALSE,"M.42"}</definedName>
    <definedName name="kinerja_1" localSheetId="9">{#N/A,#N/A,FALSE,"M.42"}</definedName>
    <definedName name="kinerja_1">{#N/A,#N/A,FALSE,"M.42"}</definedName>
    <definedName name="KINERJA2004ESTIMASI" localSheetId="7">{#N/A,#N/A,FALSE,"M.02"}</definedName>
    <definedName name="KINERJA2004ESTIMASI" localSheetId="8">{#N/A,#N/A,FALSE,"M.02"}</definedName>
    <definedName name="KINERJA2004ESTIMASI" localSheetId="14">{#N/A,#N/A,FALSE,"M.02"}</definedName>
    <definedName name="KINERJA2004ESTIMASI" localSheetId="13">{#N/A,#N/A,FALSE,"M.02"}</definedName>
    <definedName name="KINERJA2004ESTIMASI" localSheetId="11">{#N/A,#N/A,FALSE,"M.02"}</definedName>
    <definedName name="KINERJA2004ESTIMASI" localSheetId="12">{#N/A,#N/A,FALSE,"M.02"}</definedName>
    <definedName name="KINERJA2004ESTIMASI" localSheetId="17">{#N/A,#N/A,FALSE,"M.02"}</definedName>
    <definedName name="KINERJA2004ESTIMASI" localSheetId="15">{#N/A,#N/A,FALSE,"M.02"}</definedName>
    <definedName name="KINERJA2004ESTIMASI" localSheetId="16">{#N/A,#N/A,FALSE,"M.02"}</definedName>
    <definedName name="KINERJA2004ESTIMASI" localSheetId="18">{#N/A,#N/A,FALSE,"M.02"}</definedName>
    <definedName name="KINERJA2004ESTIMASI" localSheetId="1">{#N/A,#N/A,FALSE,"M.02"}</definedName>
    <definedName name="KINERJA2004ESTIMASI" localSheetId="6">{#N/A,#N/A,FALSE,"M.02"}</definedName>
    <definedName name="KINERJA2004ESTIMASI" localSheetId="2">{#N/A,#N/A,FALSE,"M.02"}</definedName>
    <definedName name="KINERJA2004ESTIMASI" localSheetId="3">{#N/A,#N/A,FALSE,"M.02"}</definedName>
    <definedName name="KINERJA2004ESTIMASI" localSheetId="0">{#N/A,#N/A,FALSE,"M.02"}</definedName>
    <definedName name="KINERJA2004ESTIMASI" localSheetId="9">{#N/A,#N/A,FALSE,"M.02"}</definedName>
    <definedName name="KINERJA2004ESTIMASI">{#N/A,#N/A,FALSE,"M.02"}</definedName>
    <definedName name="kk">[3]PkRp!#REF!</definedName>
    <definedName name="ko" localSheetId="7">{#N/A,#N/A,FALSE,"M.01";#N/A,#N/A,FALSE,"M.01"}</definedName>
    <definedName name="ko" localSheetId="8">{#N/A,#N/A,FALSE,"M.01";#N/A,#N/A,FALSE,"M.01"}</definedName>
    <definedName name="ko" localSheetId="14">{#N/A,#N/A,FALSE,"M.01";#N/A,#N/A,FALSE,"M.01"}</definedName>
    <definedName name="ko" localSheetId="13">{#N/A,#N/A,FALSE,"M.01";#N/A,#N/A,FALSE,"M.01"}</definedName>
    <definedName name="ko" localSheetId="11">{#N/A,#N/A,FALSE,"M.01";#N/A,#N/A,FALSE,"M.01"}</definedName>
    <definedName name="ko" localSheetId="12">{#N/A,#N/A,FALSE,"M.01";#N/A,#N/A,FALSE,"M.01"}</definedName>
    <definedName name="ko" localSheetId="17">{#N/A,#N/A,FALSE,"M.01";#N/A,#N/A,FALSE,"M.01"}</definedName>
    <definedName name="ko" localSheetId="15">{#N/A,#N/A,FALSE,"M.01";#N/A,#N/A,FALSE,"M.01"}</definedName>
    <definedName name="ko" localSheetId="16">{#N/A,#N/A,FALSE,"M.01";#N/A,#N/A,FALSE,"M.01"}</definedName>
    <definedName name="ko" localSheetId="18">{#N/A,#N/A,FALSE,"M.01";#N/A,#N/A,FALSE,"M.01"}</definedName>
    <definedName name="ko" localSheetId="1">{#N/A,#N/A,FALSE,"M.01";#N/A,#N/A,FALSE,"M.01"}</definedName>
    <definedName name="ko" localSheetId="6">{#N/A,#N/A,FALSE,"M.01";#N/A,#N/A,FALSE,"M.01"}</definedName>
    <definedName name="ko" localSheetId="2">{#N/A,#N/A,FALSE,"M.01";#N/A,#N/A,FALSE,"M.01"}</definedName>
    <definedName name="ko" localSheetId="3">{#N/A,#N/A,FALSE,"M.01";#N/A,#N/A,FALSE,"M.01"}</definedName>
    <definedName name="ko" localSheetId="0">{#N/A,#N/A,FALSE,"M.01";#N/A,#N/A,FALSE,"M.01"}</definedName>
    <definedName name="ko" localSheetId="9">{#N/A,#N/A,FALSE,"M.01";#N/A,#N/A,FALSE,"M.01"}</definedName>
    <definedName name="ko">{#N/A,#N/A,FALSE,"M.01";#N/A,#N/A,FALSE,"M.01"}</definedName>
    <definedName name="l" localSheetId="7">{#N/A,#N/A,FALSE,"M.42"}</definedName>
    <definedName name="l" localSheetId="8">{#N/A,#N/A,FALSE,"M.42"}</definedName>
    <definedName name="l" localSheetId="14">{#N/A,#N/A,FALSE,"M.42"}</definedName>
    <definedName name="l" localSheetId="13">{#N/A,#N/A,FALSE,"M.42"}</definedName>
    <definedName name="l" localSheetId="11">{#N/A,#N/A,FALSE,"M.42"}</definedName>
    <definedName name="l" localSheetId="12">{#N/A,#N/A,FALSE,"M.42"}</definedName>
    <definedName name="l" localSheetId="17">{#N/A,#N/A,FALSE,"M.42"}</definedName>
    <definedName name="l" localSheetId="15">{#N/A,#N/A,FALSE,"M.42"}</definedName>
    <definedName name="l" localSheetId="16">{#N/A,#N/A,FALSE,"M.42"}</definedName>
    <definedName name="l" localSheetId="18">{#N/A,#N/A,FALSE,"M.42"}</definedName>
    <definedName name="l" localSheetId="1">{#N/A,#N/A,FALSE,"M.42"}</definedName>
    <definedName name="l" localSheetId="6">{#N/A,#N/A,FALSE,"M.42"}</definedName>
    <definedName name="l" localSheetId="2">{#N/A,#N/A,FALSE,"M.42"}</definedName>
    <definedName name="l" localSheetId="3">{#N/A,#N/A,FALSE,"M.42"}</definedName>
    <definedName name="l" localSheetId="0">{#N/A,#N/A,FALSE,"M.42"}</definedName>
    <definedName name="l" localSheetId="9">{#N/A,#N/A,FALSE,"M.42"}</definedName>
    <definedName name="l">{#N/A,#N/A,FALSE,"M.42"}</definedName>
    <definedName name="lpo" localSheetId="7">{#N/A,#N/A,FALSE,"M.02"}</definedName>
    <definedName name="lpo" localSheetId="8">{#N/A,#N/A,FALSE,"M.02"}</definedName>
    <definedName name="lpo" localSheetId="14">{#N/A,#N/A,FALSE,"M.02"}</definedName>
    <definedName name="lpo" localSheetId="13">{#N/A,#N/A,FALSE,"M.02"}</definedName>
    <definedName name="lpo" localSheetId="11">{#N/A,#N/A,FALSE,"M.02"}</definedName>
    <definedName name="lpo" localSheetId="12">{#N/A,#N/A,FALSE,"M.02"}</definedName>
    <definedName name="lpo" localSheetId="17">{#N/A,#N/A,FALSE,"M.02"}</definedName>
    <definedName name="lpo" localSheetId="15">{#N/A,#N/A,FALSE,"M.02"}</definedName>
    <definedName name="lpo" localSheetId="16">{#N/A,#N/A,FALSE,"M.02"}</definedName>
    <definedName name="lpo" localSheetId="18">{#N/A,#N/A,FALSE,"M.02"}</definedName>
    <definedName name="lpo" localSheetId="1">{#N/A,#N/A,FALSE,"M.02"}</definedName>
    <definedName name="lpo" localSheetId="6">{#N/A,#N/A,FALSE,"M.02"}</definedName>
    <definedName name="lpo" localSheetId="2">{#N/A,#N/A,FALSE,"M.02"}</definedName>
    <definedName name="lpo" localSheetId="3">{#N/A,#N/A,FALSE,"M.02"}</definedName>
    <definedName name="lpo" localSheetId="0">{#N/A,#N/A,FALSE,"M.02"}</definedName>
    <definedName name="lpo" localSheetId="9">{#N/A,#N/A,FALSE,"M.02"}</definedName>
    <definedName name="lpo">{#N/A,#N/A,FALSE,"M.02"}</definedName>
    <definedName name="marwan" localSheetId="7">{#N/A,#N/A,FALSE,"M.02"}</definedName>
    <definedName name="marwan" localSheetId="8">{#N/A,#N/A,FALSE,"M.02"}</definedName>
    <definedName name="marwan" localSheetId="14">{#N/A,#N/A,FALSE,"M.02"}</definedName>
    <definedName name="marwan" localSheetId="13">{#N/A,#N/A,FALSE,"M.02"}</definedName>
    <definedName name="marwan" localSheetId="11">{#N/A,#N/A,FALSE,"M.02"}</definedName>
    <definedName name="marwan" localSheetId="12">{#N/A,#N/A,FALSE,"M.02"}</definedName>
    <definedName name="marwan" localSheetId="17">{#N/A,#N/A,FALSE,"M.02"}</definedName>
    <definedName name="marwan" localSheetId="15">{#N/A,#N/A,FALSE,"M.02"}</definedName>
    <definedName name="marwan" localSheetId="16">{#N/A,#N/A,FALSE,"M.02"}</definedName>
    <definedName name="marwan" localSheetId="18">{#N/A,#N/A,FALSE,"M.02"}</definedName>
    <definedName name="marwan" localSheetId="1">{#N/A,#N/A,FALSE,"M.02"}</definedName>
    <definedName name="marwan" localSheetId="6">{#N/A,#N/A,FALSE,"M.02"}</definedName>
    <definedName name="marwan" localSheetId="2">{#N/A,#N/A,FALSE,"M.02"}</definedName>
    <definedName name="marwan" localSheetId="3">{#N/A,#N/A,FALSE,"M.02"}</definedName>
    <definedName name="marwan" localSheetId="0">{#N/A,#N/A,FALSE,"M.02"}</definedName>
    <definedName name="marwan" localSheetId="9">{#N/A,#N/A,FALSE,"M.02"}</definedName>
    <definedName name="marwan">{#N/A,#N/A,FALSE,"M.02"}</definedName>
    <definedName name="mbo" localSheetId="7">{#N/A,#N/A,FALSE,"M.34"}</definedName>
    <definedName name="mbo" localSheetId="8">{#N/A,#N/A,FALSE,"M.34"}</definedName>
    <definedName name="mbo" localSheetId="14">{#N/A,#N/A,FALSE,"M.34"}</definedName>
    <definedName name="mbo" localSheetId="13">{#N/A,#N/A,FALSE,"M.34"}</definedName>
    <definedName name="mbo" localSheetId="11">{#N/A,#N/A,FALSE,"M.34"}</definedName>
    <definedName name="mbo" localSheetId="12">{#N/A,#N/A,FALSE,"M.34"}</definedName>
    <definedName name="mbo" localSheetId="17">{#N/A,#N/A,FALSE,"M.34"}</definedName>
    <definedName name="mbo" localSheetId="15">{#N/A,#N/A,FALSE,"M.34"}</definedName>
    <definedName name="mbo" localSheetId="16">{#N/A,#N/A,FALSE,"M.34"}</definedName>
    <definedName name="mbo" localSheetId="18">{#N/A,#N/A,FALSE,"M.34"}</definedName>
    <definedName name="mbo" localSheetId="1">{#N/A,#N/A,FALSE,"M.34"}</definedName>
    <definedName name="mbo" localSheetId="6">{#N/A,#N/A,FALSE,"M.34"}</definedName>
    <definedName name="mbo" localSheetId="2">{#N/A,#N/A,FALSE,"M.34"}</definedName>
    <definedName name="mbo" localSheetId="3">{#N/A,#N/A,FALSE,"M.34"}</definedName>
    <definedName name="mbo" localSheetId="0">{#N/A,#N/A,FALSE,"M.34"}</definedName>
    <definedName name="mbo" localSheetId="9">{#N/A,#N/A,FALSE,"M.34"}</definedName>
    <definedName name="mbo">{#N/A,#N/A,FALSE,"M.34"}</definedName>
    <definedName name="mmc" localSheetId="7">{#N/A,#N/A,FALSE,"M.42"}</definedName>
    <definedName name="mmc" localSheetId="8">{#N/A,#N/A,FALSE,"M.42"}</definedName>
    <definedName name="mmc" localSheetId="14">{#N/A,#N/A,FALSE,"M.42"}</definedName>
    <definedName name="mmc" localSheetId="13">{#N/A,#N/A,FALSE,"M.42"}</definedName>
    <definedName name="mmc" localSheetId="11">{#N/A,#N/A,FALSE,"M.42"}</definedName>
    <definedName name="mmc" localSheetId="12">{#N/A,#N/A,FALSE,"M.42"}</definedName>
    <definedName name="mmc" localSheetId="17">{#N/A,#N/A,FALSE,"M.42"}</definedName>
    <definedName name="mmc" localSheetId="15">{#N/A,#N/A,FALSE,"M.42"}</definedName>
    <definedName name="mmc" localSheetId="16">{#N/A,#N/A,FALSE,"M.42"}</definedName>
    <definedName name="mmc" localSheetId="18">{#N/A,#N/A,FALSE,"M.42"}</definedName>
    <definedName name="mmc" localSheetId="1">{#N/A,#N/A,FALSE,"M.42"}</definedName>
    <definedName name="mmc" localSheetId="6">{#N/A,#N/A,FALSE,"M.42"}</definedName>
    <definedName name="mmc" localSheetId="2">{#N/A,#N/A,FALSE,"M.42"}</definedName>
    <definedName name="mmc" localSheetId="3">{#N/A,#N/A,FALSE,"M.42"}</definedName>
    <definedName name="mmc" localSheetId="0">{#N/A,#N/A,FALSE,"M.42"}</definedName>
    <definedName name="mmc" localSheetId="9">{#N/A,#N/A,FALSE,"M.42"}</definedName>
    <definedName name="mmc">{#N/A,#N/A,FALSE,"M.42"}</definedName>
    <definedName name="mmd" localSheetId="7">{#N/A,#N/A,FALSE,"M.32"}</definedName>
    <definedName name="mmd" localSheetId="8">{#N/A,#N/A,FALSE,"M.32"}</definedName>
    <definedName name="mmd" localSheetId="14">{#N/A,#N/A,FALSE,"M.32"}</definedName>
    <definedName name="mmd" localSheetId="13">{#N/A,#N/A,FALSE,"M.32"}</definedName>
    <definedName name="mmd" localSheetId="11">{#N/A,#N/A,FALSE,"M.32"}</definedName>
    <definedName name="mmd" localSheetId="12">{#N/A,#N/A,FALSE,"M.32"}</definedName>
    <definedName name="mmd" localSheetId="17">{#N/A,#N/A,FALSE,"M.32"}</definedName>
    <definedName name="mmd" localSheetId="15">{#N/A,#N/A,FALSE,"M.32"}</definedName>
    <definedName name="mmd" localSheetId="16">{#N/A,#N/A,FALSE,"M.32"}</definedName>
    <definedName name="mmd" localSheetId="18">{#N/A,#N/A,FALSE,"M.32"}</definedName>
    <definedName name="mmd" localSheetId="1">{#N/A,#N/A,FALSE,"M.32"}</definedName>
    <definedName name="mmd" localSheetId="6">{#N/A,#N/A,FALSE,"M.32"}</definedName>
    <definedName name="mmd" localSheetId="2">{#N/A,#N/A,FALSE,"M.32"}</definedName>
    <definedName name="mmd" localSheetId="3">{#N/A,#N/A,FALSE,"M.32"}</definedName>
    <definedName name="mmd" localSheetId="0">{#N/A,#N/A,FALSE,"M.32"}</definedName>
    <definedName name="mmd" localSheetId="9">{#N/A,#N/A,FALSE,"M.32"}</definedName>
    <definedName name="mmd">{#N/A,#N/A,FALSE,"M.32"}</definedName>
    <definedName name="moodys" localSheetId="7">{#N/A,#N/A,FALSE,"M.01"}</definedName>
    <definedName name="moodys" localSheetId="8">{#N/A,#N/A,FALSE,"M.01"}</definedName>
    <definedName name="moodys" localSheetId="14">{#N/A,#N/A,FALSE,"M.01"}</definedName>
    <definedName name="moodys" localSheetId="13">{#N/A,#N/A,FALSE,"M.01"}</definedName>
    <definedName name="moodys" localSheetId="11">{#N/A,#N/A,FALSE,"M.01"}</definedName>
    <definedName name="moodys" localSheetId="12">{#N/A,#N/A,FALSE,"M.01"}</definedName>
    <definedName name="moodys" localSheetId="17">{#N/A,#N/A,FALSE,"M.01"}</definedName>
    <definedName name="moodys" localSheetId="15">{#N/A,#N/A,FALSE,"M.01"}</definedName>
    <definedName name="moodys" localSheetId="16">{#N/A,#N/A,FALSE,"M.01"}</definedName>
    <definedName name="moodys" localSheetId="18">{#N/A,#N/A,FALSE,"M.01"}</definedName>
    <definedName name="moodys" localSheetId="1">{#N/A,#N/A,FALSE,"M.01"}</definedName>
    <definedName name="moodys" localSheetId="6">{#N/A,#N/A,FALSE,"M.01"}</definedName>
    <definedName name="moodys" localSheetId="2">{#N/A,#N/A,FALSE,"M.01"}</definedName>
    <definedName name="moodys" localSheetId="3">{#N/A,#N/A,FALSE,"M.01"}</definedName>
    <definedName name="moodys" localSheetId="0">{#N/A,#N/A,FALSE,"M.01"}</definedName>
    <definedName name="moodys" localSheetId="9">{#N/A,#N/A,FALSE,"M.01"}</definedName>
    <definedName name="moodys">{#N/A,#N/A,FALSE,"M.01"}</definedName>
    <definedName name="ni" localSheetId="7">{#N/A,#N/A,FALSE,"M.42"}</definedName>
    <definedName name="ni" localSheetId="8">{#N/A,#N/A,FALSE,"M.42"}</definedName>
    <definedName name="ni" localSheetId="14">{#N/A,#N/A,FALSE,"M.42"}</definedName>
    <definedName name="ni" localSheetId="13">{#N/A,#N/A,FALSE,"M.42"}</definedName>
    <definedName name="ni" localSheetId="11">{#N/A,#N/A,FALSE,"M.42"}</definedName>
    <definedName name="ni" localSheetId="12">{#N/A,#N/A,FALSE,"M.42"}</definedName>
    <definedName name="ni" localSheetId="17">{#N/A,#N/A,FALSE,"M.42"}</definedName>
    <definedName name="ni" localSheetId="15">{#N/A,#N/A,FALSE,"M.42"}</definedName>
    <definedName name="ni" localSheetId="16">{#N/A,#N/A,FALSE,"M.42"}</definedName>
    <definedName name="ni" localSheetId="18">{#N/A,#N/A,FALSE,"M.42"}</definedName>
    <definedName name="ni" localSheetId="1">{#N/A,#N/A,FALSE,"M.42"}</definedName>
    <definedName name="ni" localSheetId="6">{#N/A,#N/A,FALSE,"M.42"}</definedName>
    <definedName name="ni" localSheetId="2">{#N/A,#N/A,FALSE,"M.42"}</definedName>
    <definedName name="ni" localSheetId="3">{#N/A,#N/A,FALSE,"M.42"}</definedName>
    <definedName name="ni" localSheetId="0">{#N/A,#N/A,FALSE,"M.42"}</definedName>
    <definedName name="ni" localSheetId="9">{#N/A,#N/A,FALSE,"M.42"}</definedName>
    <definedName name="ni">{#N/A,#N/A,FALSE,"M.42"}</definedName>
    <definedName name="nnm" localSheetId="7">{#N/A,#N/A,FALSE,"M.43"}</definedName>
    <definedName name="nnm" localSheetId="8">{#N/A,#N/A,FALSE,"M.43"}</definedName>
    <definedName name="nnm" localSheetId="14">{#N/A,#N/A,FALSE,"M.43"}</definedName>
    <definedName name="nnm" localSheetId="13">{#N/A,#N/A,FALSE,"M.43"}</definedName>
    <definedName name="nnm" localSheetId="11">{#N/A,#N/A,FALSE,"M.43"}</definedName>
    <definedName name="nnm" localSheetId="12">{#N/A,#N/A,FALSE,"M.43"}</definedName>
    <definedName name="nnm" localSheetId="17">{#N/A,#N/A,FALSE,"M.43"}</definedName>
    <definedName name="nnm" localSheetId="15">{#N/A,#N/A,FALSE,"M.43"}</definedName>
    <definedName name="nnm" localSheetId="16">{#N/A,#N/A,FALSE,"M.43"}</definedName>
    <definedName name="nnm" localSheetId="18">{#N/A,#N/A,FALSE,"M.43"}</definedName>
    <definedName name="nnm" localSheetId="1">{#N/A,#N/A,FALSE,"M.43"}</definedName>
    <definedName name="nnm" localSheetId="6">{#N/A,#N/A,FALSE,"M.43"}</definedName>
    <definedName name="nnm" localSheetId="2">{#N/A,#N/A,FALSE,"M.43"}</definedName>
    <definedName name="nnm" localSheetId="3">{#N/A,#N/A,FALSE,"M.43"}</definedName>
    <definedName name="nnm" localSheetId="0">{#N/A,#N/A,FALSE,"M.43"}</definedName>
    <definedName name="nnm" localSheetId="9">{#N/A,#N/A,FALSE,"M.43"}</definedName>
    <definedName name="nnm">{#N/A,#N/A,FALSE,"M.43"}</definedName>
    <definedName name="nnnm" localSheetId="7">{#N/A,#N/A,FALSE,"M.42"}</definedName>
    <definedName name="nnnm" localSheetId="8">{#N/A,#N/A,FALSE,"M.42"}</definedName>
    <definedName name="nnnm" localSheetId="14">{#N/A,#N/A,FALSE,"M.42"}</definedName>
    <definedName name="nnnm" localSheetId="13">{#N/A,#N/A,FALSE,"M.42"}</definedName>
    <definedName name="nnnm" localSheetId="11">{#N/A,#N/A,FALSE,"M.42"}</definedName>
    <definedName name="nnnm" localSheetId="12">{#N/A,#N/A,FALSE,"M.42"}</definedName>
    <definedName name="nnnm" localSheetId="17">{#N/A,#N/A,FALSE,"M.42"}</definedName>
    <definedName name="nnnm" localSheetId="15">{#N/A,#N/A,FALSE,"M.42"}</definedName>
    <definedName name="nnnm" localSheetId="16">{#N/A,#N/A,FALSE,"M.42"}</definedName>
    <definedName name="nnnm" localSheetId="18">{#N/A,#N/A,FALSE,"M.42"}</definedName>
    <definedName name="nnnm" localSheetId="1">{#N/A,#N/A,FALSE,"M.42"}</definedName>
    <definedName name="nnnm" localSheetId="6">{#N/A,#N/A,FALSE,"M.42"}</definedName>
    <definedName name="nnnm" localSheetId="2">{#N/A,#N/A,FALSE,"M.42"}</definedName>
    <definedName name="nnnm" localSheetId="3">{#N/A,#N/A,FALSE,"M.42"}</definedName>
    <definedName name="nnnm" localSheetId="0">{#N/A,#N/A,FALSE,"M.42"}</definedName>
    <definedName name="nnnm" localSheetId="9">{#N/A,#N/A,FALSE,"M.42"}</definedName>
    <definedName name="nnnm">{#N/A,#N/A,FALSE,"M.42"}</definedName>
    <definedName name="pdi">[5]UshDeb00!#REF!</definedName>
    <definedName name="pdp" localSheetId="7">{#N/A,#N/A,FALSE,"M.31"}</definedName>
    <definedName name="pdp" localSheetId="8">{#N/A,#N/A,FALSE,"M.31"}</definedName>
    <definedName name="pdp" localSheetId="14">{#N/A,#N/A,FALSE,"M.31"}</definedName>
    <definedName name="pdp" localSheetId="13">{#N/A,#N/A,FALSE,"M.31"}</definedName>
    <definedName name="pdp" localSheetId="11">{#N/A,#N/A,FALSE,"M.31"}</definedName>
    <definedName name="pdp" localSheetId="12">{#N/A,#N/A,FALSE,"M.31"}</definedName>
    <definedName name="pdp" localSheetId="17">{#N/A,#N/A,FALSE,"M.31"}</definedName>
    <definedName name="pdp" localSheetId="15">{#N/A,#N/A,FALSE,"M.31"}</definedName>
    <definedName name="pdp" localSheetId="16">{#N/A,#N/A,FALSE,"M.31"}</definedName>
    <definedName name="pdp" localSheetId="18">{#N/A,#N/A,FALSE,"M.31"}</definedName>
    <definedName name="pdp" localSheetId="1">{#N/A,#N/A,FALSE,"M.31"}</definedName>
    <definedName name="pdp" localSheetId="6">{#N/A,#N/A,FALSE,"M.31"}</definedName>
    <definedName name="pdp" localSheetId="2">{#N/A,#N/A,FALSE,"M.31"}</definedName>
    <definedName name="pdp" localSheetId="3">{#N/A,#N/A,FALSE,"M.31"}</definedName>
    <definedName name="pdp" localSheetId="0">{#N/A,#N/A,FALSE,"M.31"}</definedName>
    <definedName name="pdp" localSheetId="9">{#N/A,#N/A,FALSE,"M.31"}</definedName>
    <definedName name="pdp">{#N/A,#N/A,FALSE,"M.31"}</definedName>
    <definedName name="PDPT" localSheetId="7">{#N/A,#N/A,FALSE,"M.31"}</definedName>
    <definedName name="PDPT" localSheetId="8">{#N/A,#N/A,FALSE,"M.31"}</definedName>
    <definedName name="PDPT" localSheetId="14">{#N/A,#N/A,FALSE,"M.31"}</definedName>
    <definedName name="PDPT" localSheetId="13">{#N/A,#N/A,FALSE,"M.31"}</definedName>
    <definedName name="PDPT" localSheetId="11">{#N/A,#N/A,FALSE,"M.31"}</definedName>
    <definedName name="PDPT" localSheetId="12">{#N/A,#N/A,FALSE,"M.31"}</definedName>
    <definedName name="PDPT" localSheetId="17">{#N/A,#N/A,FALSE,"M.31"}</definedName>
    <definedName name="PDPT" localSheetId="15">{#N/A,#N/A,FALSE,"M.31"}</definedName>
    <definedName name="PDPT" localSheetId="16">{#N/A,#N/A,FALSE,"M.31"}</definedName>
    <definedName name="PDPT" localSheetId="18">{#N/A,#N/A,FALSE,"M.31"}</definedName>
    <definedName name="PDPT" localSheetId="1">{#N/A,#N/A,FALSE,"M.31"}</definedName>
    <definedName name="PDPT" localSheetId="6">{#N/A,#N/A,FALSE,"M.31"}</definedName>
    <definedName name="PDPT" localSheetId="2">{#N/A,#N/A,FALSE,"M.31"}</definedName>
    <definedName name="PDPT" localSheetId="3">{#N/A,#N/A,FALSE,"M.31"}</definedName>
    <definedName name="PDPT" localSheetId="0">{#N/A,#N/A,FALSE,"M.31"}</definedName>
    <definedName name="PDPT" localSheetId="9">{#N/A,#N/A,FALSE,"M.31"}</definedName>
    <definedName name="PDPT">{#N/A,#N/A,FALSE,"M.31"}</definedName>
    <definedName name="_xlnm.Print_Area" localSheetId="7">'4472.BDB.001'!$A$1:$F$317</definedName>
    <definedName name="_xlnm.Print_Area" localSheetId="8">'4472.BDB.002'!$A$1:$F$84</definedName>
    <definedName name="_xlnm.Print_Area" localSheetId="14">'6392.EBA.962'!$A$1:$F$85</definedName>
    <definedName name="_xlnm.Print_Area" localSheetId="13">'6392.EBB.951'!$A$1:$F$30</definedName>
    <definedName name="_xlnm.Print_Area" localSheetId="10">'RAB 7733.BDB.001'!$A$1:$I$218</definedName>
    <definedName name="_xlnm.Print_Area" localSheetId="11">'RAB 7733.BDB.002'!$A$1:$I$66</definedName>
    <definedName name="_xlnm.Print_Area" localSheetId="12">'RAB 7733.BEJ.001'!$A$1:$H$67</definedName>
    <definedName name="_xlnm.Print_Area" localSheetId="17">'RAB 7735.EBA.956'!$A$1:$H$37</definedName>
    <definedName name="_xlnm.Print_Area" localSheetId="16">'RAB 7735.EBA.994'!$A$1:$I$177</definedName>
    <definedName name="_xlnm.Print_Area" localSheetId="18">'RAB 7735.EBB.951'!$A$1:$I$38</definedName>
    <definedName name="_xlnm.Print_Titles" localSheetId="7">'4472.BDB.001'!$15:$16</definedName>
    <definedName name="_xlnm.Print_Titles" localSheetId="8">'4472.BDB.002'!$16:$17</definedName>
    <definedName name="_xlnm.Print_Titles" localSheetId="14">'6392.EBA.962'!$16:$17</definedName>
    <definedName name="_xlnm.Print_Titles" localSheetId="10">'RAB 7733.BDB.001'!$15:$16</definedName>
    <definedName name="_xlnm.Print_Titles" localSheetId="11">'RAB 7733.BDB.002'!$15:$16</definedName>
    <definedName name="_xlnm.Print_Titles" localSheetId="12">'RAB 7733.BEJ.001'!$15:$16</definedName>
    <definedName name="_xlnm.Print_Titles" localSheetId="15">'RAB 7735.EBA.962'!$15:$16</definedName>
    <definedName name="_xlnm.Print_Titles" localSheetId="16">'RAB 7735.EBA.994'!$14:$15</definedName>
    <definedName name="_xlnm.Print_Titles" localSheetId="18">'RAB 7735.EBB.951'!$15:$16</definedName>
    <definedName name="Psl.7.a_b" localSheetId="7">{#N/A,#N/A,FALSE,"M.01"}</definedName>
    <definedName name="Psl.7.a_b" localSheetId="8">{#N/A,#N/A,FALSE,"M.01"}</definedName>
    <definedName name="Psl.7.a_b" localSheetId="14">{#N/A,#N/A,FALSE,"M.01"}</definedName>
    <definedName name="Psl.7.a_b" localSheetId="13">{#N/A,#N/A,FALSE,"M.01"}</definedName>
    <definedName name="Psl.7.a_b" localSheetId="11">{#N/A,#N/A,FALSE,"M.01"}</definedName>
    <definedName name="Psl.7.a_b" localSheetId="12">{#N/A,#N/A,FALSE,"M.01"}</definedName>
    <definedName name="Psl.7.a_b" localSheetId="17">{#N/A,#N/A,FALSE,"M.01"}</definedName>
    <definedName name="Psl.7.a_b" localSheetId="15">{#N/A,#N/A,FALSE,"M.01"}</definedName>
    <definedName name="Psl.7.a_b" localSheetId="16">{#N/A,#N/A,FALSE,"M.01"}</definedName>
    <definedName name="Psl.7.a_b" localSheetId="18">{#N/A,#N/A,FALSE,"M.01"}</definedName>
    <definedName name="Psl.7.a_b" localSheetId="1">{#N/A,#N/A,FALSE,"M.01"}</definedName>
    <definedName name="Psl.7.a_b" localSheetId="6">{#N/A,#N/A,FALSE,"M.01"}</definedName>
    <definedName name="Psl.7.a_b" localSheetId="2">{#N/A,#N/A,FALSE,"M.01"}</definedName>
    <definedName name="Psl.7.a_b" localSheetId="3">{#N/A,#N/A,FALSE,"M.01"}</definedName>
    <definedName name="Psl.7.a_b" localSheetId="0">{#N/A,#N/A,FALSE,"M.01"}</definedName>
    <definedName name="Psl.7.a_b" localSheetId="9">{#N/A,#N/A,FALSE,"M.01"}</definedName>
    <definedName name="Psl.7.a_b">{#N/A,#N/A,FALSE,"M.01"}</definedName>
    <definedName name="qq" localSheetId="7">{#N/A,#N/A,FALSE,"M.01"}</definedName>
    <definedName name="qq" localSheetId="8">{#N/A,#N/A,FALSE,"M.01"}</definedName>
    <definedName name="qq" localSheetId="14">{#N/A,#N/A,FALSE,"M.01"}</definedName>
    <definedName name="qq" localSheetId="13">{#N/A,#N/A,FALSE,"M.01"}</definedName>
    <definedName name="qq" localSheetId="11">{#N/A,#N/A,FALSE,"M.01"}</definedName>
    <definedName name="qq" localSheetId="12">{#N/A,#N/A,FALSE,"M.01"}</definedName>
    <definedName name="qq" localSheetId="17">{#N/A,#N/A,FALSE,"M.01"}</definedName>
    <definedName name="qq" localSheetId="15">{#N/A,#N/A,FALSE,"M.01"}</definedName>
    <definedName name="qq" localSheetId="16">{#N/A,#N/A,FALSE,"M.01"}</definedName>
    <definedName name="qq" localSheetId="18">{#N/A,#N/A,FALSE,"M.01"}</definedName>
    <definedName name="qq" localSheetId="1">{#N/A,#N/A,FALSE,"M.01"}</definedName>
    <definedName name="qq" localSheetId="6">{#N/A,#N/A,FALSE,"M.01"}</definedName>
    <definedName name="qq" localSheetId="2">{#N/A,#N/A,FALSE,"M.01"}</definedName>
    <definedName name="qq" localSheetId="3">{#N/A,#N/A,FALSE,"M.01"}</definedName>
    <definedName name="qq" localSheetId="0">{#N/A,#N/A,FALSE,"M.01"}</definedName>
    <definedName name="qq" localSheetId="9">{#N/A,#N/A,FALSE,"M.01"}</definedName>
    <definedName name="qq">{#N/A,#N/A,FALSE,"M.01"}</definedName>
    <definedName name="qqq" localSheetId="7">{#N/A,#N/A,FALSE,"M.42"}</definedName>
    <definedName name="qqq" localSheetId="8">{#N/A,#N/A,FALSE,"M.42"}</definedName>
    <definedName name="qqq" localSheetId="14">{#N/A,#N/A,FALSE,"M.42"}</definedName>
    <definedName name="qqq" localSheetId="13">{#N/A,#N/A,FALSE,"M.42"}</definedName>
    <definedName name="qqq" localSheetId="11">{#N/A,#N/A,FALSE,"M.42"}</definedName>
    <definedName name="qqq" localSheetId="12">{#N/A,#N/A,FALSE,"M.42"}</definedName>
    <definedName name="qqq" localSheetId="17">{#N/A,#N/A,FALSE,"M.42"}</definedName>
    <definedName name="qqq" localSheetId="15">{#N/A,#N/A,FALSE,"M.42"}</definedName>
    <definedName name="qqq" localSheetId="16">{#N/A,#N/A,FALSE,"M.42"}</definedName>
    <definedName name="qqq" localSheetId="18">{#N/A,#N/A,FALSE,"M.42"}</definedName>
    <definedName name="qqq" localSheetId="1">{#N/A,#N/A,FALSE,"M.42"}</definedName>
    <definedName name="qqq" localSheetId="6">{#N/A,#N/A,FALSE,"M.42"}</definedName>
    <definedName name="qqq" localSheetId="2">{#N/A,#N/A,FALSE,"M.42"}</definedName>
    <definedName name="qqq" localSheetId="3">{#N/A,#N/A,FALSE,"M.42"}</definedName>
    <definedName name="qqq" localSheetId="0">{#N/A,#N/A,FALSE,"M.42"}</definedName>
    <definedName name="qqq" localSheetId="9">{#N/A,#N/A,FALSE,"M.42"}</definedName>
    <definedName name="qqq">{#N/A,#N/A,FALSE,"M.42"}</definedName>
    <definedName name="qqqq" localSheetId="7">{#N/A,#N/A,FALSE,"M.01"}</definedName>
    <definedName name="qqqq" localSheetId="8">{#N/A,#N/A,FALSE,"M.01"}</definedName>
    <definedName name="qqqq" localSheetId="14">{#N/A,#N/A,FALSE,"M.01"}</definedName>
    <definedName name="qqqq" localSheetId="13">{#N/A,#N/A,FALSE,"M.01"}</definedName>
    <definedName name="qqqq" localSheetId="11">{#N/A,#N/A,FALSE,"M.01"}</definedName>
    <definedName name="qqqq" localSheetId="12">{#N/A,#N/A,FALSE,"M.01"}</definedName>
    <definedName name="qqqq" localSheetId="17">{#N/A,#N/A,FALSE,"M.01"}</definedName>
    <definedName name="qqqq" localSheetId="15">{#N/A,#N/A,FALSE,"M.01"}</definedName>
    <definedName name="qqqq" localSheetId="16">{#N/A,#N/A,FALSE,"M.01"}</definedName>
    <definedName name="qqqq" localSheetId="18">{#N/A,#N/A,FALSE,"M.01"}</definedName>
    <definedName name="qqqq" localSheetId="1">{#N/A,#N/A,FALSE,"M.01"}</definedName>
    <definedName name="qqqq" localSheetId="6">{#N/A,#N/A,FALSE,"M.01"}</definedName>
    <definedName name="qqqq" localSheetId="2">{#N/A,#N/A,FALSE,"M.01"}</definedName>
    <definedName name="qqqq" localSheetId="3">{#N/A,#N/A,FALSE,"M.01"}</definedName>
    <definedName name="qqqq" localSheetId="0">{#N/A,#N/A,FALSE,"M.01"}</definedName>
    <definedName name="qqqq" localSheetId="9">{#N/A,#N/A,FALSE,"M.01"}</definedName>
    <definedName name="qqqq">{#N/A,#N/A,FALSE,"M.01"}</definedName>
    <definedName name="Rekap1" localSheetId="7">{#N/A,#N/A,FALSE,"M.01"}</definedName>
    <definedName name="Rekap1" localSheetId="8">{#N/A,#N/A,FALSE,"M.01"}</definedName>
    <definedName name="Rekap1" localSheetId="14">{#N/A,#N/A,FALSE,"M.01"}</definedName>
    <definedName name="Rekap1" localSheetId="13">{#N/A,#N/A,FALSE,"M.01"}</definedName>
    <definedName name="Rekap1" localSheetId="11">{#N/A,#N/A,FALSE,"M.01"}</definedName>
    <definedName name="Rekap1" localSheetId="12">{#N/A,#N/A,FALSE,"M.01"}</definedName>
    <definedName name="Rekap1" localSheetId="17">{#N/A,#N/A,FALSE,"M.01"}</definedName>
    <definedName name="Rekap1" localSheetId="15">{#N/A,#N/A,FALSE,"M.01"}</definedName>
    <definedName name="Rekap1" localSheetId="16">{#N/A,#N/A,FALSE,"M.01"}</definedName>
    <definedName name="Rekap1" localSheetId="18">{#N/A,#N/A,FALSE,"M.01"}</definedName>
    <definedName name="Rekap1" localSheetId="1">{#N/A,#N/A,FALSE,"M.01"}</definedName>
    <definedName name="Rekap1" localSheetId="6">{#N/A,#N/A,FALSE,"M.01"}</definedName>
    <definedName name="Rekap1" localSheetId="2">{#N/A,#N/A,FALSE,"M.01"}</definedName>
    <definedName name="Rekap1" localSheetId="3">{#N/A,#N/A,FALSE,"M.01"}</definedName>
    <definedName name="Rekap1" localSheetId="0">{#N/A,#N/A,FALSE,"M.01"}</definedName>
    <definedName name="Rekap1" localSheetId="9">{#N/A,#N/A,FALSE,"M.01"}</definedName>
    <definedName name="Rekap1">{#N/A,#N/A,FALSE,"M.01"}</definedName>
    <definedName name="REKAPA1" localSheetId="7">{#N/A,#N/A,FALSE,"M.42"}</definedName>
    <definedName name="REKAPA1" localSheetId="8">{#N/A,#N/A,FALSE,"M.42"}</definedName>
    <definedName name="REKAPA1" localSheetId="14">{#N/A,#N/A,FALSE,"M.42"}</definedName>
    <definedName name="REKAPA1" localSheetId="13">{#N/A,#N/A,FALSE,"M.42"}</definedName>
    <definedName name="REKAPA1" localSheetId="11">{#N/A,#N/A,FALSE,"M.42"}</definedName>
    <definedName name="REKAPA1" localSheetId="12">{#N/A,#N/A,FALSE,"M.42"}</definedName>
    <definedName name="REKAPA1" localSheetId="17">{#N/A,#N/A,FALSE,"M.42"}</definedName>
    <definedName name="REKAPA1" localSheetId="15">{#N/A,#N/A,FALSE,"M.42"}</definedName>
    <definedName name="REKAPA1" localSheetId="16">{#N/A,#N/A,FALSE,"M.42"}</definedName>
    <definedName name="REKAPA1" localSheetId="18">{#N/A,#N/A,FALSE,"M.42"}</definedName>
    <definedName name="REKAPA1" localSheetId="1">{#N/A,#N/A,FALSE,"M.42"}</definedName>
    <definedName name="REKAPA1" localSheetId="6">{#N/A,#N/A,FALSE,"M.42"}</definedName>
    <definedName name="REKAPA1" localSheetId="2">{#N/A,#N/A,FALSE,"M.42"}</definedName>
    <definedName name="REKAPA1" localSheetId="3">{#N/A,#N/A,FALSE,"M.42"}</definedName>
    <definedName name="REKAPA1" localSheetId="0">{#N/A,#N/A,FALSE,"M.42"}</definedName>
    <definedName name="REKAPA1" localSheetId="9">{#N/A,#N/A,FALSE,"M.42"}</definedName>
    <definedName name="REKAPA1">{#N/A,#N/A,FALSE,"M.42"}</definedName>
    <definedName name="RMS" localSheetId="7">{#N/A,#N/A,FALSE,"M.42"}</definedName>
    <definedName name="RMS" localSheetId="8">{#N/A,#N/A,FALSE,"M.42"}</definedName>
    <definedName name="RMS" localSheetId="14">{#N/A,#N/A,FALSE,"M.42"}</definedName>
    <definedName name="RMS" localSheetId="13">{#N/A,#N/A,FALSE,"M.42"}</definedName>
    <definedName name="RMS" localSheetId="11">{#N/A,#N/A,FALSE,"M.42"}</definedName>
    <definedName name="RMS" localSheetId="12">{#N/A,#N/A,FALSE,"M.42"}</definedName>
    <definedName name="RMS" localSheetId="17">{#N/A,#N/A,FALSE,"M.42"}</definedName>
    <definedName name="RMS" localSheetId="15">{#N/A,#N/A,FALSE,"M.42"}</definedName>
    <definedName name="RMS" localSheetId="16">{#N/A,#N/A,FALSE,"M.42"}</definedName>
    <definedName name="RMS" localSheetId="18">{#N/A,#N/A,FALSE,"M.42"}</definedName>
    <definedName name="RMS" localSheetId="1">{#N/A,#N/A,FALSE,"M.42"}</definedName>
    <definedName name="RMS" localSheetId="6">{#N/A,#N/A,FALSE,"M.42"}</definedName>
    <definedName name="RMS" localSheetId="2">{#N/A,#N/A,FALSE,"M.42"}</definedName>
    <definedName name="RMS" localSheetId="3">{#N/A,#N/A,FALSE,"M.42"}</definedName>
    <definedName name="RMS" localSheetId="0">{#N/A,#N/A,FALSE,"M.42"}</definedName>
    <definedName name="RMS" localSheetId="9">{#N/A,#N/A,FALSE,"M.42"}</definedName>
    <definedName name="RMS">{#N/A,#N/A,FALSE,"M.42"}</definedName>
    <definedName name="rrr">'[6]Sudah Berjalan'!#REF!</definedName>
    <definedName name="RRT" localSheetId="7">{#N/A,#N/A,FALSE,"M.32"}</definedName>
    <definedName name="RRT" localSheetId="8">{#N/A,#N/A,FALSE,"M.32"}</definedName>
    <definedName name="RRT" localSheetId="14">{#N/A,#N/A,FALSE,"M.32"}</definedName>
    <definedName name="RRT" localSheetId="13">{#N/A,#N/A,FALSE,"M.32"}</definedName>
    <definedName name="RRT" localSheetId="11">{#N/A,#N/A,FALSE,"M.32"}</definedName>
    <definedName name="RRT" localSheetId="12">{#N/A,#N/A,FALSE,"M.32"}</definedName>
    <definedName name="RRT" localSheetId="17">{#N/A,#N/A,FALSE,"M.32"}</definedName>
    <definedName name="RRT" localSheetId="15">{#N/A,#N/A,FALSE,"M.32"}</definedName>
    <definedName name="RRT" localSheetId="16">{#N/A,#N/A,FALSE,"M.32"}</definedName>
    <definedName name="RRT" localSheetId="18">{#N/A,#N/A,FALSE,"M.32"}</definedName>
    <definedName name="RRT" localSheetId="1">{#N/A,#N/A,FALSE,"M.32"}</definedName>
    <definedName name="RRT" localSheetId="6">{#N/A,#N/A,FALSE,"M.32"}</definedName>
    <definedName name="RRT" localSheetId="2">{#N/A,#N/A,FALSE,"M.32"}</definedName>
    <definedName name="RRT" localSheetId="3">{#N/A,#N/A,FALSE,"M.32"}</definedName>
    <definedName name="RRT" localSheetId="0">{#N/A,#N/A,FALSE,"M.32"}</definedName>
    <definedName name="RRT" localSheetId="9">{#N/A,#N/A,FALSE,"M.32"}</definedName>
    <definedName name="RRT">{#N/A,#N/A,FALSE,"M.32"}</definedName>
    <definedName name="sad" localSheetId="7">{#N/A,#N/A,FALSE,"M.34"}</definedName>
    <definedName name="sad" localSheetId="8">{#N/A,#N/A,FALSE,"M.34"}</definedName>
    <definedName name="sad" localSheetId="14">{#N/A,#N/A,FALSE,"M.34"}</definedName>
    <definedName name="sad" localSheetId="13">{#N/A,#N/A,FALSE,"M.34"}</definedName>
    <definedName name="sad" localSheetId="11">{#N/A,#N/A,FALSE,"M.34"}</definedName>
    <definedName name="sad" localSheetId="12">{#N/A,#N/A,FALSE,"M.34"}</definedName>
    <definedName name="sad" localSheetId="17">{#N/A,#N/A,FALSE,"M.34"}</definedName>
    <definedName name="sad" localSheetId="15">{#N/A,#N/A,FALSE,"M.34"}</definedName>
    <definedName name="sad" localSheetId="16">{#N/A,#N/A,FALSE,"M.34"}</definedName>
    <definedName name="sad" localSheetId="18">{#N/A,#N/A,FALSE,"M.34"}</definedName>
    <definedName name="sad" localSheetId="1">{#N/A,#N/A,FALSE,"M.34"}</definedName>
    <definedName name="sad" localSheetId="6">{#N/A,#N/A,FALSE,"M.34"}</definedName>
    <definedName name="sad" localSheetId="2">{#N/A,#N/A,FALSE,"M.34"}</definedName>
    <definedName name="sad" localSheetId="3">{#N/A,#N/A,FALSE,"M.34"}</definedName>
    <definedName name="sad" localSheetId="0">{#N/A,#N/A,FALSE,"M.34"}</definedName>
    <definedName name="sad" localSheetId="9">{#N/A,#N/A,FALSE,"M.34"}</definedName>
    <definedName name="sad">{#N/A,#N/A,FALSE,"M.34"}</definedName>
    <definedName name="sgi" localSheetId="7">{#N/A,#N/A,FALSE,"M.01"}</definedName>
    <definedName name="sgi" localSheetId="8">{#N/A,#N/A,FALSE,"M.01"}</definedName>
    <definedName name="sgi" localSheetId="14">{#N/A,#N/A,FALSE,"M.01"}</definedName>
    <definedName name="sgi" localSheetId="13">{#N/A,#N/A,FALSE,"M.01"}</definedName>
    <definedName name="sgi" localSheetId="11">{#N/A,#N/A,FALSE,"M.01"}</definedName>
    <definedName name="sgi" localSheetId="12">{#N/A,#N/A,FALSE,"M.01"}</definedName>
    <definedName name="sgi" localSheetId="17">{#N/A,#N/A,FALSE,"M.01"}</definedName>
    <definedName name="sgi" localSheetId="15">{#N/A,#N/A,FALSE,"M.01"}</definedName>
    <definedName name="sgi" localSheetId="16">{#N/A,#N/A,FALSE,"M.01"}</definedName>
    <definedName name="sgi" localSheetId="18">{#N/A,#N/A,FALSE,"M.01"}</definedName>
    <definedName name="sgi" localSheetId="1">{#N/A,#N/A,FALSE,"M.01"}</definedName>
    <definedName name="sgi" localSheetId="6">{#N/A,#N/A,FALSE,"M.01"}</definedName>
    <definedName name="sgi" localSheetId="2">{#N/A,#N/A,FALSE,"M.01"}</definedName>
    <definedName name="sgi" localSheetId="3">{#N/A,#N/A,FALSE,"M.01"}</definedName>
    <definedName name="sgi" localSheetId="0">{#N/A,#N/A,FALSE,"M.01"}</definedName>
    <definedName name="sgi" localSheetId="9">{#N/A,#N/A,FALSE,"M.01"}</definedName>
    <definedName name="sgi">{#N/A,#N/A,FALSE,"M.01"}</definedName>
    <definedName name="sses" localSheetId="7">{#N/A,#N/A,FALSE,"M.02"}</definedName>
    <definedName name="sses" localSheetId="8">{#N/A,#N/A,FALSE,"M.02"}</definedName>
    <definedName name="sses" localSheetId="14">{#N/A,#N/A,FALSE,"M.02"}</definedName>
    <definedName name="sses" localSheetId="13">{#N/A,#N/A,FALSE,"M.02"}</definedName>
    <definedName name="sses" localSheetId="11">{#N/A,#N/A,FALSE,"M.02"}</definedName>
    <definedName name="sses" localSheetId="12">{#N/A,#N/A,FALSE,"M.02"}</definedName>
    <definedName name="sses" localSheetId="17">{#N/A,#N/A,FALSE,"M.02"}</definedName>
    <definedName name="sses" localSheetId="15">{#N/A,#N/A,FALSE,"M.02"}</definedName>
    <definedName name="sses" localSheetId="16">{#N/A,#N/A,FALSE,"M.02"}</definedName>
    <definedName name="sses" localSheetId="18">{#N/A,#N/A,FALSE,"M.02"}</definedName>
    <definedName name="sses" localSheetId="1">{#N/A,#N/A,FALSE,"M.02"}</definedName>
    <definedName name="sses" localSheetId="6">{#N/A,#N/A,FALSE,"M.02"}</definedName>
    <definedName name="sses" localSheetId="2">{#N/A,#N/A,FALSE,"M.02"}</definedName>
    <definedName name="sses" localSheetId="3">{#N/A,#N/A,FALSE,"M.02"}</definedName>
    <definedName name="sses" localSheetId="0">{#N/A,#N/A,FALSE,"M.02"}</definedName>
    <definedName name="sses" localSheetId="9">{#N/A,#N/A,FALSE,"M.02"}</definedName>
    <definedName name="sses">{#N/A,#N/A,FALSE,"M.02"}</definedName>
    <definedName name="sss" localSheetId="7">{#N/A,#N/A,FALSE,"M.01";#N/A,#N/A,FALSE,"M.01"}</definedName>
    <definedName name="sss" localSheetId="8">{#N/A,#N/A,FALSE,"M.01";#N/A,#N/A,FALSE,"M.01"}</definedName>
    <definedName name="sss" localSheetId="14">{#N/A,#N/A,FALSE,"M.01";#N/A,#N/A,FALSE,"M.01"}</definedName>
    <definedName name="sss" localSheetId="13">{#N/A,#N/A,FALSE,"M.01";#N/A,#N/A,FALSE,"M.01"}</definedName>
    <definedName name="sss" localSheetId="11">{#N/A,#N/A,FALSE,"M.01";#N/A,#N/A,FALSE,"M.01"}</definedName>
    <definedName name="sss" localSheetId="12">{#N/A,#N/A,FALSE,"M.01";#N/A,#N/A,FALSE,"M.01"}</definedName>
    <definedName name="sss" localSheetId="17">{#N/A,#N/A,FALSE,"M.01";#N/A,#N/A,FALSE,"M.01"}</definedName>
    <definedName name="sss" localSheetId="15">{#N/A,#N/A,FALSE,"M.01";#N/A,#N/A,FALSE,"M.01"}</definedName>
    <definedName name="sss" localSheetId="16">{#N/A,#N/A,FALSE,"M.01";#N/A,#N/A,FALSE,"M.01"}</definedName>
    <definedName name="sss" localSheetId="18">{#N/A,#N/A,FALSE,"M.01";#N/A,#N/A,FALSE,"M.01"}</definedName>
    <definedName name="sss" localSheetId="1">{#N/A,#N/A,FALSE,"M.01";#N/A,#N/A,FALSE,"M.01"}</definedName>
    <definedName name="sss" localSheetId="6">{#N/A,#N/A,FALSE,"M.01";#N/A,#N/A,FALSE,"M.01"}</definedName>
    <definedName name="sss" localSheetId="2">{#N/A,#N/A,FALSE,"M.01";#N/A,#N/A,FALSE,"M.01"}</definedName>
    <definedName name="sss" localSheetId="3">{#N/A,#N/A,FALSE,"M.01";#N/A,#N/A,FALSE,"M.01"}</definedName>
    <definedName name="sss" localSheetId="0">{#N/A,#N/A,FALSE,"M.01";#N/A,#N/A,FALSE,"M.01"}</definedName>
    <definedName name="sss" localSheetId="9">{#N/A,#N/A,FALSE,"M.01";#N/A,#N/A,FALSE,"M.01"}</definedName>
    <definedName name="sss">{#N/A,#N/A,FALSE,"M.01";#N/A,#N/A,FALSE,"M.01"}</definedName>
    <definedName name="swap" localSheetId="7">{#N/A,#N/A,FALSE,"M.01"}</definedName>
    <definedName name="swap" localSheetId="8">{#N/A,#N/A,FALSE,"M.01"}</definedName>
    <definedName name="swap" localSheetId="14">{#N/A,#N/A,FALSE,"M.01"}</definedName>
    <definedName name="swap" localSheetId="13">{#N/A,#N/A,FALSE,"M.01"}</definedName>
    <definedName name="swap" localSheetId="11">{#N/A,#N/A,FALSE,"M.01"}</definedName>
    <definedName name="swap" localSheetId="12">{#N/A,#N/A,FALSE,"M.01"}</definedName>
    <definedName name="swap" localSheetId="17">{#N/A,#N/A,FALSE,"M.01"}</definedName>
    <definedName name="swap" localSheetId="15">{#N/A,#N/A,FALSE,"M.01"}</definedName>
    <definedName name="swap" localSheetId="16">{#N/A,#N/A,FALSE,"M.01"}</definedName>
    <definedName name="swap" localSheetId="18">{#N/A,#N/A,FALSE,"M.01"}</definedName>
    <definedName name="swap" localSheetId="1">{#N/A,#N/A,FALSE,"M.01"}</definedName>
    <definedName name="swap" localSheetId="6">{#N/A,#N/A,FALSE,"M.01"}</definedName>
    <definedName name="swap" localSheetId="2">{#N/A,#N/A,FALSE,"M.01"}</definedName>
    <definedName name="swap" localSheetId="3">{#N/A,#N/A,FALSE,"M.01"}</definedName>
    <definedName name="swap" localSheetId="0">{#N/A,#N/A,FALSE,"M.01"}</definedName>
    <definedName name="swap" localSheetId="9">{#N/A,#N/A,FALSE,"M.01"}</definedName>
    <definedName name="swap">{#N/A,#N/A,FALSE,"M.01"}</definedName>
    <definedName name="TextRefCopyRangeCount">1</definedName>
    <definedName name="u" localSheetId="7">{#N/A,#N/A,FALSE,"M.32"}</definedName>
    <definedName name="u" localSheetId="8">{#N/A,#N/A,FALSE,"M.32"}</definedName>
    <definedName name="u" localSheetId="14">{#N/A,#N/A,FALSE,"M.32"}</definedName>
    <definedName name="u" localSheetId="13">{#N/A,#N/A,FALSE,"M.32"}</definedName>
    <definedName name="u" localSheetId="11">{#N/A,#N/A,FALSE,"M.32"}</definedName>
    <definedName name="u" localSheetId="12">{#N/A,#N/A,FALSE,"M.32"}</definedName>
    <definedName name="u" localSheetId="17">{#N/A,#N/A,FALSE,"M.32"}</definedName>
    <definedName name="u" localSheetId="15">{#N/A,#N/A,FALSE,"M.32"}</definedName>
    <definedName name="u" localSheetId="16">{#N/A,#N/A,FALSE,"M.32"}</definedName>
    <definedName name="u" localSheetId="18">{#N/A,#N/A,FALSE,"M.32"}</definedName>
    <definedName name="u" localSheetId="1">{#N/A,#N/A,FALSE,"M.32"}</definedName>
    <definedName name="u" localSheetId="6">{#N/A,#N/A,FALSE,"M.32"}</definedName>
    <definedName name="u" localSheetId="2">{#N/A,#N/A,FALSE,"M.32"}</definedName>
    <definedName name="u" localSheetId="3">{#N/A,#N/A,FALSE,"M.32"}</definedName>
    <definedName name="u" localSheetId="0">{#N/A,#N/A,FALSE,"M.32"}</definedName>
    <definedName name="u" localSheetId="9">{#N/A,#N/A,FALSE,"M.32"}</definedName>
    <definedName name="u">{#N/A,#N/A,FALSE,"M.32"}</definedName>
    <definedName name="uuy" localSheetId="7">#REF!</definedName>
    <definedName name="uuy" localSheetId="8">#REF!</definedName>
    <definedName name="uuy" localSheetId="14">#REF!</definedName>
    <definedName name="uuy" localSheetId="13">#REF!</definedName>
    <definedName name="uuy" localSheetId="11">#REF!</definedName>
    <definedName name="uuy" localSheetId="12">#REF!</definedName>
    <definedName name="uuy" localSheetId="17">#REF!</definedName>
    <definedName name="uuy" localSheetId="15">#REF!</definedName>
    <definedName name="uuy" localSheetId="16">#REF!</definedName>
    <definedName name="uuy" localSheetId="18">#REF!</definedName>
    <definedName name="uuy" localSheetId="1">#REF!</definedName>
    <definedName name="uuy" localSheetId="6">#REF!</definedName>
    <definedName name="uuy" localSheetId="2">#REF!</definedName>
    <definedName name="uuy" localSheetId="3">#REF!</definedName>
    <definedName name="uuy">#REF!</definedName>
    <definedName name="WIL" localSheetId="7">{#N/A,#N/A,FALSE,"M.01";#N/A,#N/A,FALSE,"M.01"}</definedName>
    <definedName name="WIL" localSheetId="8">{#N/A,#N/A,FALSE,"M.01";#N/A,#N/A,FALSE,"M.01"}</definedName>
    <definedName name="WIL" localSheetId="14">{#N/A,#N/A,FALSE,"M.01";#N/A,#N/A,FALSE,"M.01"}</definedName>
    <definedName name="WIL" localSheetId="13">{#N/A,#N/A,FALSE,"M.01";#N/A,#N/A,FALSE,"M.01"}</definedName>
    <definedName name="WIL" localSheetId="11">{#N/A,#N/A,FALSE,"M.01";#N/A,#N/A,FALSE,"M.01"}</definedName>
    <definedName name="WIL" localSheetId="12">{#N/A,#N/A,FALSE,"M.01";#N/A,#N/A,FALSE,"M.01"}</definedName>
    <definedName name="WIL" localSheetId="17">{#N/A,#N/A,FALSE,"M.01";#N/A,#N/A,FALSE,"M.01"}</definedName>
    <definedName name="WIL" localSheetId="15">{#N/A,#N/A,FALSE,"M.01";#N/A,#N/A,FALSE,"M.01"}</definedName>
    <definedName name="WIL" localSheetId="16">{#N/A,#N/A,FALSE,"M.01";#N/A,#N/A,FALSE,"M.01"}</definedName>
    <definedName name="WIL" localSheetId="18">{#N/A,#N/A,FALSE,"M.01";#N/A,#N/A,FALSE,"M.01"}</definedName>
    <definedName name="WIL" localSheetId="1">{#N/A,#N/A,FALSE,"M.01";#N/A,#N/A,FALSE,"M.01"}</definedName>
    <definedName name="WIL" localSheetId="6">{#N/A,#N/A,FALSE,"M.01";#N/A,#N/A,FALSE,"M.01"}</definedName>
    <definedName name="WIL" localSheetId="2">{#N/A,#N/A,FALSE,"M.01";#N/A,#N/A,FALSE,"M.01"}</definedName>
    <definedName name="WIL" localSheetId="3">{#N/A,#N/A,FALSE,"M.01";#N/A,#N/A,FALSE,"M.01"}</definedName>
    <definedName name="WIL" localSheetId="0">{#N/A,#N/A,FALSE,"M.01";#N/A,#N/A,FALSE,"M.01"}</definedName>
    <definedName name="WIL" localSheetId="9">{#N/A,#N/A,FALSE,"M.01";#N/A,#N/A,FALSE,"M.01"}</definedName>
    <definedName name="WIL">{#N/A,#N/A,FALSE,"M.01";#N/A,#N/A,FALSE,"M.01"}</definedName>
    <definedName name="wrn.10" localSheetId="7">{#N/A,#N/A,FALSE,"M.01"}</definedName>
    <definedName name="wrn.10" localSheetId="8">{#N/A,#N/A,FALSE,"M.01"}</definedName>
    <definedName name="wrn.10" localSheetId="14">{#N/A,#N/A,FALSE,"M.01"}</definedName>
    <definedName name="wrn.10" localSheetId="13">{#N/A,#N/A,FALSE,"M.01"}</definedName>
    <definedName name="wrn.10" localSheetId="11">{#N/A,#N/A,FALSE,"M.01"}</definedName>
    <definedName name="wrn.10" localSheetId="12">{#N/A,#N/A,FALSE,"M.01"}</definedName>
    <definedName name="wrn.10" localSheetId="17">{#N/A,#N/A,FALSE,"M.01"}</definedName>
    <definedName name="wrn.10" localSheetId="15">{#N/A,#N/A,FALSE,"M.01"}</definedName>
    <definedName name="wrn.10" localSheetId="16">{#N/A,#N/A,FALSE,"M.01"}</definedName>
    <definedName name="wrn.10" localSheetId="18">{#N/A,#N/A,FALSE,"M.01"}</definedName>
    <definedName name="wrn.10" localSheetId="1">{#N/A,#N/A,FALSE,"M.01"}</definedName>
    <definedName name="wrn.10" localSheetId="6">{#N/A,#N/A,FALSE,"M.01"}</definedName>
    <definedName name="wrn.10" localSheetId="2">{#N/A,#N/A,FALSE,"M.01"}</definedName>
    <definedName name="wrn.10" localSheetId="3">{#N/A,#N/A,FALSE,"M.01"}</definedName>
    <definedName name="wrn.10" localSheetId="0">{#N/A,#N/A,FALSE,"M.01"}</definedName>
    <definedName name="wrn.10" localSheetId="9">{#N/A,#N/A,FALSE,"M.01"}</definedName>
    <definedName name="wrn.10">{#N/A,#N/A,FALSE,"M.01"}</definedName>
    <definedName name="wrn.M.01" localSheetId="7">{#N/A,#N/A,FALSE,"M.01"}</definedName>
    <definedName name="wrn.M.01" localSheetId="8">{#N/A,#N/A,FALSE,"M.01"}</definedName>
    <definedName name="wrn.M.01" localSheetId="14">{#N/A,#N/A,FALSE,"M.01"}</definedName>
    <definedName name="wrn.M.01" localSheetId="13">{#N/A,#N/A,FALSE,"M.01"}</definedName>
    <definedName name="wrn.M.01" localSheetId="11">{#N/A,#N/A,FALSE,"M.01"}</definedName>
    <definedName name="wrn.M.01" localSheetId="12">{#N/A,#N/A,FALSE,"M.01"}</definedName>
    <definedName name="wrn.M.01" localSheetId="17">{#N/A,#N/A,FALSE,"M.01"}</definedName>
    <definedName name="wrn.M.01" localSheetId="15">{#N/A,#N/A,FALSE,"M.01"}</definedName>
    <definedName name="wrn.M.01" localSheetId="16">{#N/A,#N/A,FALSE,"M.01"}</definedName>
    <definedName name="wrn.M.01" localSheetId="18">{#N/A,#N/A,FALSE,"M.01"}</definedName>
    <definedName name="wrn.M.01" localSheetId="1">{#N/A,#N/A,FALSE,"M.01"}</definedName>
    <definedName name="wrn.M.01" localSheetId="6">{#N/A,#N/A,FALSE,"M.01"}</definedName>
    <definedName name="wrn.M.01" localSheetId="2">{#N/A,#N/A,FALSE,"M.01"}</definedName>
    <definedName name="wrn.M.01" localSheetId="3">{#N/A,#N/A,FALSE,"M.01"}</definedName>
    <definedName name="wrn.M.01" localSheetId="0">{#N/A,#N/A,FALSE,"M.01"}</definedName>
    <definedName name="wrn.M.01" localSheetId="9">{#N/A,#N/A,FALSE,"M.01"}</definedName>
    <definedName name="wrn.M.01">{#N/A,#N/A,FALSE,"M.01"}</definedName>
    <definedName name="wrn.M.01." localSheetId="7">{#N/A,#N/A,FALSE,"M.01"}</definedName>
    <definedName name="wrn.M.01." localSheetId="8">{#N/A,#N/A,FALSE,"M.01"}</definedName>
    <definedName name="wrn.M.01." localSheetId="14">{#N/A,#N/A,FALSE,"M.01"}</definedName>
    <definedName name="wrn.M.01." localSheetId="13">{#N/A,#N/A,FALSE,"M.01"}</definedName>
    <definedName name="wrn.M.01." localSheetId="11">{#N/A,#N/A,FALSE,"M.01"}</definedName>
    <definedName name="wrn.M.01." localSheetId="12">{#N/A,#N/A,FALSE,"M.01"}</definedName>
    <definedName name="wrn.M.01." localSheetId="17">{#N/A,#N/A,FALSE,"M.01"}</definedName>
    <definedName name="wrn.M.01." localSheetId="15">{#N/A,#N/A,FALSE,"M.01"}</definedName>
    <definedName name="wrn.M.01." localSheetId="16">{#N/A,#N/A,FALSE,"M.01"}</definedName>
    <definedName name="wrn.M.01." localSheetId="18">{#N/A,#N/A,FALSE,"M.01"}</definedName>
    <definedName name="wrn.M.01." localSheetId="1">{#N/A,#N/A,FALSE,"M.01"}</definedName>
    <definedName name="wrn.M.01." localSheetId="6">{#N/A,#N/A,FALSE,"M.01"}</definedName>
    <definedName name="wrn.M.01." localSheetId="2">{#N/A,#N/A,FALSE,"M.01"}</definedName>
    <definedName name="wrn.M.01." localSheetId="3">{#N/A,#N/A,FALSE,"M.01"}</definedName>
    <definedName name="wrn.M.01." localSheetId="0">{#N/A,#N/A,FALSE,"M.01"}</definedName>
    <definedName name="wrn.M.01." localSheetId="9">{#N/A,#N/A,FALSE,"M.01"}</definedName>
    <definedName name="wrn.M.01.">{#N/A,#N/A,FALSE,"M.01"}</definedName>
    <definedName name="wrn.M.01D." localSheetId="7">{#N/A,#N/A,FALSE,"M.01";#N/A,#N/A,FALSE,"M.01"}</definedName>
    <definedName name="wrn.M.01D." localSheetId="8">{#N/A,#N/A,FALSE,"M.01";#N/A,#N/A,FALSE,"M.01"}</definedName>
    <definedName name="wrn.M.01D." localSheetId="14">{#N/A,#N/A,FALSE,"M.01";#N/A,#N/A,FALSE,"M.01"}</definedName>
    <definedName name="wrn.M.01D." localSheetId="13">{#N/A,#N/A,FALSE,"M.01";#N/A,#N/A,FALSE,"M.01"}</definedName>
    <definedName name="wrn.M.01D." localSheetId="11">{#N/A,#N/A,FALSE,"M.01";#N/A,#N/A,FALSE,"M.01"}</definedName>
    <definedName name="wrn.M.01D." localSheetId="12">{#N/A,#N/A,FALSE,"M.01";#N/A,#N/A,FALSE,"M.01"}</definedName>
    <definedName name="wrn.M.01D." localSheetId="17">{#N/A,#N/A,FALSE,"M.01";#N/A,#N/A,FALSE,"M.01"}</definedName>
    <definedName name="wrn.M.01D." localSheetId="15">{#N/A,#N/A,FALSE,"M.01";#N/A,#N/A,FALSE,"M.01"}</definedName>
    <definedName name="wrn.M.01D." localSheetId="16">{#N/A,#N/A,FALSE,"M.01";#N/A,#N/A,FALSE,"M.01"}</definedName>
    <definedName name="wrn.M.01D." localSheetId="18">{#N/A,#N/A,FALSE,"M.01";#N/A,#N/A,FALSE,"M.01"}</definedName>
    <definedName name="wrn.M.01D." localSheetId="1">{#N/A,#N/A,FALSE,"M.01";#N/A,#N/A,FALSE,"M.01"}</definedName>
    <definedName name="wrn.M.01D." localSheetId="6">{#N/A,#N/A,FALSE,"M.01";#N/A,#N/A,FALSE,"M.01"}</definedName>
    <definedName name="wrn.M.01D." localSheetId="2">{#N/A,#N/A,FALSE,"M.01";#N/A,#N/A,FALSE,"M.01"}</definedName>
    <definedName name="wrn.M.01D." localSheetId="3">{#N/A,#N/A,FALSE,"M.01";#N/A,#N/A,FALSE,"M.01"}</definedName>
    <definedName name="wrn.M.01D." localSheetId="0">{#N/A,#N/A,FALSE,"M.01";#N/A,#N/A,FALSE,"M.01"}</definedName>
    <definedName name="wrn.M.01D." localSheetId="9">{#N/A,#N/A,FALSE,"M.01";#N/A,#N/A,FALSE,"M.01"}</definedName>
    <definedName name="wrn.M.01D.">{#N/A,#N/A,FALSE,"M.01";#N/A,#N/A,FALSE,"M.01"}</definedName>
    <definedName name="wrn.M.02" localSheetId="7">{#N/A,#N/A,FALSE,"M.01"}</definedName>
    <definedName name="wrn.M.02" localSheetId="8">{#N/A,#N/A,FALSE,"M.01"}</definedName>
    <definedName name="wrn.M.02" localSheetId="14">{#N/A,#N/A,FALSE,"M.01"}</definedName>
    <definedName name="wrn.M.02" localSheetId="13">{#N/A,#N/A,FALSE,"M.01"}</definedName>
    <definedName name="wrn.M.02" localSheetId="11">{#N/A,#N/A,FALSE,"M.01"}</definedName>
    <definedName name="wrn.M.02" localSheetId="12">{#N/A,#N/A,FALSE,"M.01"}</definedName>
    <definedName name="wrn.M.02" localSheetId="17">{#N/A,#N/A,FALSE,"M.01"}</definedName>
    <definedName name="wrn.M.02" localSheetId="15">{#N/A,#N/A,FALSE,"M.01"}</definedName>
    <definedName name="wrn.M.02" localSheetId="16">{#N/A,#N/A,FALSE,"M.01"}</definedName>
    <definedName name="wrn.M.02" localSheetId="18">{#N/A,#N/A,FALSE,"M.01"}</definedName>
    <definedName name="wrn.M.02" localSheetId="1">{#N/A,#N/A,FALSE,"M.01"}</definedName>
    <definedName name="wrn.M.02" localSheetId="6">{#N/A,#N/A,FALSE,"M.01"}</definedName>
    <definedName name="wrn.M.02" localSheetId="2">{#N/A,#N/A,FALSE,"M.01"}</definedName>
    <definedName name="wrn.M.02" localSheetId="3">{#N/A,#N/A,FALSE,"M.01"}</definedName>
    <definedName name="wrn.M.02" localSheetId="0">{#N/A,#N/A,FALSE,"M.01"}</definedName>
    <definedName name="wrn.M.02" localSheetId="9">{#N/A,#N/A,FALSE,"M.01"}</definedName>
    <definedName name="wrn.M.02">{#N/A,#N/A,FALSE,"M.01"}</definedName>
    <definedName name="wrn.M.02." localSheetId="7">{#N/A,#N/A,FALSE,"M.02"}</definedName>
    <definedName name="wrn.M.02." localSheetId="8">{#N/A,#N/A,FALSE,"M.02"}</definedName>
    <definedName name="wrn.M.02." localSheetId="14">{#N/A,#N/A,FALSE,"M.02"}</definedName>
    <definedName name="wrn.M.02." localSheetId="13">{#N/A,#N/A,FALSE,"M.02"}</definedName>
    <definedName name="wrn.M.02." localSheetId="11">{#N/A,#N/A,FALSE,"M.02"}</definedName>
    <definedName name="wrn.M.02." localSheetId="12">{#N/A,#N/A,FALSE,"M.02"}</definedName>
    <definedName name="wrn.M.02." localSheetId="17">{#N/A,#N/A,FALSE,"M.02"}</definedName>
    <definedName name="wrn.M.02." localSheetId="15">{#N/A,#N/A,FALSE,"M.02"}</definedName>
    <definedName name="wrn.M.02." localSheetId="16">{#N/A,#N/A,FALSE,"M.02"}</definedName>
    <definedName name="wrn.M.02." localSheetId="18">{#N/A,#N/A,FALSE,"M.02"}</definedName>
    <definedName name="wrn.M.02." localSheetId="1">{#N/A,#N/A,FALSE,"M.02"}</definedName>
    <definedName name="wrn.M.02." localSheetId="6">{#N/A,#N/A,FALSE,"M.02"}</definedName>
    <definedName name="wrn.M.02." localSheetId="2">{#N/A,#N/A,FALSE,"M.02"}</definedName>
    <definedName name="wrn.M.02." localSheetId="3">{#N/A,#N/A,FALSE,"M.02"}</definedName>
    <definedName name="wrn.M.02." localSheetId="0">{#N/A,#N/A,FALSE,"M.02"}</definedName>
    <definedName name="wrn.M.02." localSheetId="9">{#N/A,#N/A,FALSE,"M.02"}</definedName>
    <definedName name="wrn.M.02.">{#N/A,#N/A,FALSE,"M.02"}</definedName>
    <definedName name="wrn.M.07." localSheetId="7">{#N/A,#N/A,FALSE,"M.01"}</definedName>
    <definedName name="wrn.M.07." localSheetId="8">{#N/A,#N/A,FALSE,"M.01"}</definedName>
    <definedName name="wrn.M.07." localSheetId="14">{#N/A,#N/A,FALSE,"M.01"}</definedName>
    <definedName name="wrn.M.07." localSheetId="13">{#N/A,#N/A,FALSE,"M.01"}</definedName>
    <definedName name="wrn.M.07." localSheetId="11">{#N/A,#N/A,FALSE,"M.01"}</definedName>
    <definedName name="wrn.M.07." localSheetId="12">{#N/A,#N/A,FALSE,"M.01"}</definedName>
    <definedName name="wrn.M.07." localSheetId="17">{#N/A,#N/A,FALSE,"M.01"}</definedName>
    <definedName name="wrn.M.07." localSheetId="15">{#N/A,#N/A,FALSE,"M.01"}</definedName>
    <definedName name="wrn.M.07." localSheetId="16">{#N/A,#N/A,FALSE,"M.01"}</definedName>
    <definedName name="wrn.M.07." localSheetId="18">{#N/A,#N/A,FALSE,"M.01"}</definedName>
    <definedName name="wrn.M.07." localSheetId="1">{#N/A,#N/A,FALSE,"M.01"}</definedName>
    <definedName name="wrn.M.07." localSheetId="6">{#N/A,#N/A,FALSE,"M.01"}</definedName>
    <definedName name="wrn.M.07." localSheetId="2">{#N/A,#N/A,FALSE,"M.01"}</definedName>
    <definedName name="wrn.M.07." localSheetId="3">{#N/A,#N/A,FALSE,"M.01"}</definedName>
    <definedName name="wrn.M.07." localSheetId="0">{#N/A,#N/A,FALSE,"M.01"}</definedName>
    <definedName name="wrn.M.07." localSheetId="9">{#N/A,#N/A,FALSE,"M.01"}</definedName>
    <definedName name="wrn.M.07.">{#N/A,#N/A,FALSE,"M.01"}</definedName>
    <definedName name="wrn.M.31." localSheetId="7">{#N/A,#N/A,FALSE,"M.31"}</definedName>
    <definedName name="wrn.M.31." localSheetId="8">{#N/A,#N/A,FALSE,"M.31"}</definedName>
    <definedName name="wrn.M.31." localSheetId="14">{#N/A,#N/A,FALSE,"M.31"}</definedName>
    <definedName name="wrn.M.31." localSheetId="13">{#N/A,#N/A,FALSE,"M.31"}</definedName>
    <definedName name="wrn.M.31." localSheetId="11">{#N/A,#N/A,FALSE,"M.31"}</definedName>
    <definedName name="wrn.M.31." localSheetId="12">{#N/A,#N/A,FALSE,"M.31"}</definedName>
    <definedName name="wrn.M.31." localSheetId="17">{#N/A,#N/A,FALSE,"M.31"}</definedName>
    <definedName name="wrn.M.31." localSheetId="15">{#N/A,#N/A,FALSE,"M.31"}</definedName>
    <definedName name="wrn.M.31." localSheetId="16">{#N/A,#N/A,FALSE,"M.31"}</definedName>
    <definedName name="wrn.M.31." localSheetId="18">{#N/A,#N/A,FALSE,"M.31"}</definedName>
    <definedName name="wrn.M.31." localSheetId="1">{#N/A,#N/A,FALSE,"M.31"}</definedName>
    <definedName name="wrn.M.31." localSheetId="6">{#N/A,#N/A,FALSE,"M.31"}</definedName>
    <definedName name="wrn.M.31." localSheetId="2">{#N/A,#N/A,FALSE,"M.31"}</definedName>
    <definedName name="wrn.M.31." localSheetId="3">{#N/A,#N/A,FALSE,"M.31"}</definedName>
    <definedName name="wrn.M.31." localSheetId="0">{#N/A,#N/A,FALSE,"M.31"}</definedName>
    <definedName name="wrn.M.31." localSheetId="9">{#N/A,#N/A,FALSE,"M.31"}</definedName>
    <definedName name="wrn.M.31.">{#N/A,#N/A,FALSE,"M.31"}</definedName>
    <definedName name="wrn.M.32" localSheetId="7">{#N/A,#N/A,FALSE,"M.31"}</definedName>
    <definedName name="wrn.M.32" localSheetId="8">{#N/A,#N/A,FALSE,"M.31"}</definedName>
    <definedName name="wrn.M.32" localSheetId="14">{#N/A,#N/A,FALSE,"M.31"}</definedName>
    <definedName name="wrn.M.32" localSheetId="13">{#N/A,#N/A,FALSE,"M.31"}</definedName>
    <definedName name="wrn.M.32" localSheetId="11">{#N/A,#N/A,FALSE,"M.31"}</definedName>
    <definedName name="wrn.M.32" localSheetId="12">{#N/A,#N/A,FALSE,"M.31"}</definedName>
    <definedName name="wrn.M.32" localSheetId="17">{#N/A,#N/A,FALSE,"M.31"}</definedName>
    <definedName name="wrn.M.32" localSheetId="15">{#N/A,#N/A,FALSE,"M.31"}</definedName>
    <definedName name="wrn.M.32" localSheetId="16">{#N/A,#N/A,FALSE,"M.31"}</definedName>
    <definedName name="wrn.M.32" localSheetId="18">{#N/A,#N/A,FALSE,"M.31"}</definedName>
    <definedName name="wrn.M.32" localSheetId="1">{#N/A,#N/A,FALSE,"M.31"}</definedName>
    <definedName name="wrn.M.32" localSheetId="6">{#N/A,#N/A,FALSE,"M.31"}</definedName>
    <definedName name="wrn.M.32" localSheetId="2">{#N/A,#N/A,FALSE,"M.31"}</definedName>
    <definedName name="wrn.M.32" localSheetId="3">{#N/A,#N/A,FALSE,"M.31"}</definedName>
    <definedName name="wrn.M.32" localSheetId="0">{#N/A,#N/A,FALSE,"M.31"}</definedName>
    <definedName name="wrn.M.32" localSheetId="9">{#N/A,#N/A,FALSE,"M.31"}</definedName>
    <definedName name="wrn.M.32">{#N/A,#N/A,FALSE,"M.31"}</definedName>
    <definedName name="wrn.M.32." localSheetId="7">{#N/A,#N/A,FALSE,"M.32"}</definedName>
    <definedName name="wrn.M.32." localSheetId="8">{#N/A,#N/A,FALSE,"M.32"}</definedName>
    <definedName name="wrn.M.32." localSheetId="14">{#N/A,#N/A,FALSE,"M.32"}</definedName>
    <definedName name="wrn.M.32." localSheetId="13">{#N/A,#N/A,FALSE,"M.32"}</definedName>
    <definedName name="wrn.M.32." localSheetId="11">{#N/A,#N/A,FALSE,"M.32"}</definedName>
    <definedName name="wrn.M.32." localSheetId="12">{#N/A,#N/A,FALSE,"M.32"}</definedName>
    <definedName name="wrn.M.32." localSheetId="17">{#N/A,#N/A,FALSE,"M.32"}</definedName>
    <definedName name="wrn.M.32." localSheetId="15">{#N/A,#N/A,FALSE,"M.32"}</definedName>
    <definedName name="wrn.M.32." localSheetId="16">{#N/A,#N/A,FALSE,"M.32"}</definedName>
    <definedName name="wrn.M.32." localSheetId="18">{#N/A,#N/A,FALSE,"M.32"}</definedName>
    <definedName name="wrn.M.32." localSheetId="1">{#N/A,#N/A,FALSE,"M.32"}</definedName>
    <definedName name="wrn.M.32." localSheetId="6">{#N/A,#N/A,FALSE,"M.32"}</definedName>
    <definedName name="wrn.M.32." localSheetId="2">{#N/A,#N/A,FALSE,"M.32"}</definedName>
    <definedName name="wrn.M.32." localSheetId="3">{#N/A,#N/A,FALSE,"M.32"}</definedName>
    <definedName name="wrn.M.32." localSheetId="0">{#N/A,#N/A,FALSE,"M.32"}</definedName>
    <definedName name="wrn.M.32." localSheetId="9">{#N/A,#N/A,FALSE,"M.32"}</definedName>
    <definedName name="wrn.M.32.">{#N/A,#N/A,FALSE,"M.32"}</definedName>
    <definedName name="wrn.M.32.1" localSheetId="7">{#N/A,#N/A,FALSE,"M.32"}</definedName>
    <definedName name="wrn.M.32.1" localSheetId="8">{#N/A,#N/A,FALSE,"M.32"}</definedName>
    <definedName name="wrn.M.32.1" localSheetId="14">{#N/A,#N/A,FALSE,"M.32"}</definedName>
    <definedName name="wrn.M.32.1" localSheetId="13">{#N/A,#N/A,FALSE,"M.32"}</definedName>
    <definedName name="wrn.M.32.1" localSheetId="11">{#N/A,#N/A,FALSE,"M.32"}</definedName>
    <definedName name="wrn.M.32.1" localSheetId="12">{#N/A,#N/A,FALSE,"M.32"}</definedName>
    <definedName name="wrn.M.32.1" localSheetId="17">{#N/A,#N/A,FALSE,"M.32"}</definedName>
    <definedName name="wrn.M.32.1" localSheetId="15">{#N/A,#N/A,FALSE,"M.32"}</definedName>
    <definedName name="wrn.M.32.1" localSheetId="16">{#N/A,#N/A,FALSE,"M.32"}</definedName>
    <definedName name="wrn.M.32.1" localSheetId="18">{#N/A,#N/A,FALSE,"M.32"}</definedName>
    <definedName name="wrn.M.32.1" localSheetId="1">{#N/A,#N/A,FALSE,"M.32"}</definedName>
    <definedName name="wrn.M.32.1" localSheetId="6">{#N/A,#N/A,FALSE,"M.32"}</definedName>
    <definedName name="wrn.M.32.1" localSheetId="2">{#N/A,#N/A,FALSE,"M.32"}</definedName>
    <definedName name="wrn.M.32.1" localSheetId="3">{#N/A,#N/A,FALSE,"M.32"}</definedName>
    <definedName name="wrn.M.32.1" localSheetId="0">{#N/A,#N/A,FALSE,"M.32"}</definedName>
    <definedName name="wrn.M.32.1" localSheetId="9">{#N/A,#N/A,FALSE,"M.32"}</definedName>
    <definedName name="wrn.M.32.1">{#N/A,#N/A,FALSE,"M.32"}</definedName>
    <definedName name="wrn.M.33" localSheetId="7">{#N/A,#N/A,FALSE,"M.33"}</definedName>
    <definedName name="wrn.M.33" localSheetId="8">{#N/A,#N/A,FALSE,"M.33"}</definedName>
    <definedName name="wrn.M.33" localSheetId="14">{#N/A,#N/A,FALSE,"M.33"}</definedName>
    <definedName name="wrn.M.33" localSheetId="13">{#N/A,#N/A,FALSE,"M.33"}</definedName>
    <definedName name="wrn.M.33" localSheetId="11">{#N/A,#N/A,FALSE,"M.33"}</definedName>
    <definedName name="wrn.M.33" localSheetId="12">{#N/A,#N/A,FALSE,"M.33"}</definedName>
    <definedName name="wrn.M.33" localSheetId="17">{#N/A,#N/A,FALSE,"M.33"}</definedName>
    <definedName name="wrn.M.33" localSheetId="15">{#N/A,#N/A,FALSE,"M.33"}</definedName>
    <definedName name="wrn.M.33" localSheetId="16">{#N/A,#N/A,FALSE,"M.33"}</definedName>
    <definedName name="wrn.M.33" localSheetId="18">{#N/A,#N/A,FALSE,"M.33"}</definedName>
    <definedName name="wrn.M.33" localSheetId="1">{#N/A,#N/A,FALSE,"M.33"}</definedName>
    <definedName name="wrn.M.33" localSheetId="6">{#N/A,#N/A,FALSE,"M.33"}</definedName>
    <definedName name="wrn.M.33" localSheetId="2">{#N/A,#N/A,FALSE,"M.33"}</definedName>
    <definedName name="wrn.M.33" localSheetId="3">{#N/A,#N/A,FALSE,"M.33"}</definedName>
    <definedName name="wrn.M.33" localSheetId="0">{#N/A,#N/A,FALSE,"M.33"}</definedName>
    <definedName name="wrn.M.33" localSheetId="9">{#N/A,#N/A,FALSE,"M.33"}</definedName>
    <definedName name="wrn.M.33">{#N/A,#N/A,FALSE,"M.33"}</definedName>
    <definedName name="wrn.M.33." localSheetId="7">{#N/A,#N/A,FALSE,"M.33"}</definedName>
    <definedName name="wrn.M.33." localSheetId="8">{#N/A,#N/A,FALSE,"M.33"}</definedName>
    <definedName name="wrn.M.33." localSheetId="14">{#N/A,#N/A,FALSE,"M.33"}</definedName>
    <definedName name="wrn.M.33." localSheetId="13">{#N/A,#N/A,FALSE,"M.33"}</definedName>
    <definedName name="wrn.M.33." localSheetId="11">{#N/A,#N/A,FALSE,"M.33"}</definedName>
    <definedName name="wrn.M.33." localSheetId="12">{#N/A,#N/A,FALSE,"M.33"}</definedName>
    <definedName name="wrn.M.33." localSheetId="17">{#N/A,#N/A,FALSE,"M.33"}</definedName>
    <definedName name="wrn.M.33." localSheetId="15">{#N/A,#N/A,FALSE,"M.33"}</definedName>
    <definedName name="wrn.M.33." localSheetId="16">{#N/A,#N/A,FALSE,"M.33"}</definedName>
    <definedName name="wrn.M.33." localSheetId="18">{#N/A,#N/A,FALSE,"M.33"}</definedName>
    <definedName name="wrn.M.33." localSheetId="1">{#N/A,#N/A,FALSE,"M.33"}</definedName>
    <definedName name="wrn.M.33." localSheetId="6">{#N/A,#N/A,FALSE,"M.33"}</definedName>
    <definedName name="wrn.M.33." localSheetId="2">{#N/A,#N/A,FALSE,"M.33"}</definedName>
    <definedName name="wrn.M.33." localSheetId="3">{#N/A,#N/A,FALSE,"M.33"}</definedName>
    <definedName name="wrn.M.33." localSheetId="0">{#N/A,#N/A,FALSE,"M.33"}</definedName>
    <definedName name="wrn.M.33." localSheetId="9">{#N/A,#N/A,FALSE,"M.33"}</definedName>
    <definedName name="wrn.M.33.">{#N/A,#N/A,FALSE,"M.33"}</definedName>
    <definedName name="wrn.M.333" localSheetId="7">{#N/A,#N/A,FALSE,"M.32"}</definedName>
    <definedName name="wrn.M.333" localSheetId="8">{#N/A,#N/A,FALSE,"M.32"}</definedName>
    <definedName name="wrn.M.333" localSheetId="14">{#N/A,#N/A,FALSE,"M.32"}</definedName>
    <definedName name="wrn.M.333" localSheetId="13">{#N/A,#N/A,FALSE,"M.32"}</definedName>
    <definedName name="wrn.M.333" localSheetId="11">{#N/A,#N/A,FALSE,"M.32"}</definedName>
    <definedName name="wrn.M.333" localSheetId="12">{#N/A,#N/A,FALSE,"M.32"}</definedName>
    <definedName name="wrn.M.333" localSheetId="17">{#N/A,#N/A,FALSE,"M.32"}</definedName>
    <definedName name="wrn.M.333" localSheetId="15">{#N/A,#N/A,FALSE,"M.32"}</definedName>
    <definedName name="wrn.M.333" localSheetId="16">{#N/A,#N/A,FALSE,"M.32"}</definedName>
    <definedName name="wrn.M.333" localSheetId="18">{#N/A,#N/A,FALSE,"M.32"}</definedName>
    <definedName name="wrn.M.333" localSheetId="1">{#N/A,#N/A,FALSE,"M.32"}</definedName>
    <definedName name="wrn.M.333" localSheetId="6">{#N/A,#N/A,FALSE,"M.32"}</definedName>
    <definedName name="wrn.M.333" localSheetId="2">{#N/A,#N/A,FALSE,"M.32"}</definedName>
    <definedName name="wrn.M.333" localSheetId="3">{#N/A,#N/A,FALSE,"M.32"}</definedName>
    <definedName name="wrn.M.333" localSheetId="0">{#N/A,#N/A,FALSE,"M.32"}</definedName>
    <definedName name="wrn.M.333" localSheetId="9">{#N/A,#N/A,FALSE,"M.32"}</definedName>
    <definedName name="wrn.M.333">{#N/A,#N/A,FALSE,"M.32"}</definedName>
    <definedName name="wrn.M.34." localSheetId="7">{#N/A,#N/A,FALSE,"M.34"}</definedName>
    <definedName name="wrn.M.34." localSheetId="8">{#N/A,#N/A,FALSE,"M.34"}</definedName>
    <definedName name="wrn.M.34." localSheetId="14">{#N/A,#N/A,FALSE,"M.34"}</definedName>
    <definedName name="wrn.M.34." localSheetId="13">{#N/A,#N/A,FALSE,"M.34"}</definedName>
    <definedName name="wrn.M.34." localSheetId="11">{#N/A,#N/A,FALSE,"M.34"}</definedName>
    <definedName name="wrn.M.34." localSheetId="12">{#N/A,#N/A,FALSE,"M.34"}</definedName>
    <definedName name="wrn.M.34." localSheetId="17">{#N/A,#N/A,FALSE,"M.34"}</definedName>
    <definedName name="wrn.M.34." localSheetId="15">{#N/A,#N/A,FALSE,"M.34"}</definedName>
    <definedName name="wrn.M.34." localSheetId="16">{#N/A,#N/A,FALSE,"M.34"}</definedName>
    <definedName name="wrn.M.34." localSheetId="18">{#N/A,#N/A,FALSE,"M.34"}</definedName>
    <definedName name="wrn.M.34." localSheetId="1">{#N/A,#N/A,FALSE,"M.34"}</definedName>
    <definedName name="wrn.M.34." localSheetId="6">{#N/A,#N/A,FALSE,"M.34"}</definedName>
    <definedName name="wrn.M.34." localSheetId="2">{#N/A,#N/A,FALSE,"M.34"}</definedName>
    <definedName name="wrn.M.34." localSheetId="3">{#N/A,#N/A,FALSE,"M.34"}</definedName>
    <definedName name="wrn.M.34." localSheetId="0">{#N/A,#N/A,FALSE,"M.34"}</definedName>
    <definedName name="wrn.M.34." localSheetId="9">{#N/A,#N/A,FALSE,"M.34"}</definedName>
    <definedName name="wrn.M.34.">{#N/A,#N/A,FALSE,"M.34"}</definedName>
    <definedName name="wrn.M.34.1" localSheetId="7">{#N/A,#N/A,FALSE,"M.34"}</definedName>
    <definedName name="wrn.M.34.1" localSheetId="8">{#N/A,#N/A,FALSE,"M.34"}</definedName>
    <definedName name="wrn.M.34.1" localSheetId="14">{#N/A,#N/A,FALSE,"M.34"}</definedName>
    <definedName name="wrn.M.34.1" localSheetId="13">{#N/A,#N/A,FALSE,"M.34"}</definedName>
    <definedName name="wrn.M.34.1" localSheetId="11">{#N/A,#N/A,FALSE,"M.34"}</definedName>
    <definedName name="wrn.M.34.1" localSheetId="12">{#N/A,#N/A,FALSE,"M.34"}</definedName>
    <definedName name="wrn.M.34.1" localSheetId="17">{#N/A,#N/A,FALSE,"M.34"}</definedName>
    <definedName name="wrn.M.34.1" localSheetId="15">{#N/A,#N/A,FALSE,"M.34"}</definedName>
    <definedName name="wrn.M.34.1" localSheetId="16">{#N/A,#N/A,FALSE,"M.34"}</definedName>
    <definedName name="wrn.M.34.1" localSheetId="18">{#N/A,#N/A,FALSE,"M.34"}</definedName>
    <definedName name="wrn.M.34.1" localSheetId="1">{#N/A,#N/A,FALSE,"M.34"}</definedName>
    <definedName name="wrn.M.34.1" localSheetId="6">{#N/A,#N/A,FALSE,"M.34"}</definedName>
    <definedName name="wrn.M.34.1" localSheetId="2">{#N/A,#N/A,FALSE,"M.34"}</definedName>
    <definedName name="wrn.M.34.1" localSheetId="3">{#N/A,#N/A,FALSE,"M.34"}</definedName>
    <definedName name="wrn.M.34.1" localSheetId="0">{#N/A,#N/A,FALSE,"M.34"}</definedName>
    <definedName name="wrn.M.34.1" localSheetId="9">{#N/A,#N/A,FALSE,"M.34"}</definedName>
    <definedName name="wrn.M.34.1">{#N/A,#N/A,FALSE,"M.34"}</definedName>
    <definedName name="wrn.m.35." localSheetId="7">{#N/A,#N/A,FALSE,"M.34"}</definedName>
    <definedName name="wrn.m.35." localSheetId="8">{#N/A,#N/A,FALSE,"M.34"}</definedName>
    <definedName name="wrn.m.35." localSheetId="14">{#N/A,#N/A,FALSE,"M.34"}</definedName>
    <definedName name="wrn.m.35." localSheetId="13">{#N/A,#N/A,FALSE,"M.34"}</definedName>
    <definedName name="wrn.m.35." localSheetId="11">{#N/A,#N/A,FALSE,"M.34"}</definedName>
    <definedName name="wrn.m.35." localSheetId="12">{#N/A,#N/A,FALSE,"M.34"}</definedName>
    <definedName name="wrn.m.35." localSheetId="17">{#N/A,#N/A,FALSE,"M.34"}</definedName>
    <definedName name="wrn.m.35." localSheetId="15">{#N/A,#N/A,FALSE,"M.34"}</definedName>
    <definedName name="wrn.m.35." localSheetId="16">{#N/A,#N/A,FALSE,"M.34"}</definedName>
    <definedName name="wrn.m.35." localSheetId="18">{#N/A,#N/A,FALSE,"M.34"}</definedName>
    <definedName name="wrn.m.35." localSheetId="1">{#N/A,#N/A,FALSE,"M.34"}</definedName>
    <definedName name="wrn.m.35." localSheetId="6">{#N/A,#N/A,FALSE,"M.34"}</definedName>
    <definedName name="wrn.m.35." localSheetId="2">{#N/A,#N/A,FALSE,"M.34"}</definedName>
    <definedName name="wrn.m.35." localSheetId="3">{#N/A,#N/A,FALSE,"M.34"}</definedName>
    <definedName name="wrn.m.35." localSheetId="0">{#N/A,#N/A,FALSE,"M.34"}</definedName>
    <definedName name="wrn.m.35." localSheetId="9">{#N/A,#N/A,FALSE,"M.34"}</definedName>
    <definedName name="wrn.m.35.">{#N/A,#N/A,FALSE,"M.34"}</definedName>
    <definedName name="wrn.M.4." localSheetId="7">{#N/A,#N/A,FALSE,"M.42"}</definedName>
    <definedName name="wrn.M.4." localSheetId="8">{#N/A,#N/A,FALSE,"M.42"}</definedName>
    <definedName name="wrn.M.4." localSheetId="14">{#N/A,#N/A,FALSE,"M.42"}</definedName>
    <definedName name="wrn.M.4." localSheetId="13">{#N/A,#N/A,FALSE,"M.42"}</definedName>
    <definedName name="wrn.M.4." localSheetId="11">{#N/A,#N/A,FALSE,"M.42"}</definedName>
    <definedName name="wrn.M.4." localSheetId="12">{#N/A,#N/A,FALSE,"M.42"}</definedName>
    <definedName name="wrn.M.4." localSheetId="17">{#N/A,#N/A,FALSE,"M.42"}</definedName>
    <definedName name="wrn.M.4." localSheetId="15">{#N/A,#N/A,FALSE,"M.42"}</definedName>
    <definedName name="wrn.M.4." localSheetId="16">{#N/A,#N/A,FALSE,"M.42"}</definedName>
    <definedName name="wrn.M.4." localSheetId="18">{#N/A,#N/A,FALSE,"M.42"}</definedName>
    <definedName name="wrn.M.4." localSheetId="1">{#N/A,#N/A,FALSE,"M.42"}</definedName>
    <definedName name="wrn.M.4." localSheetId="6">{#N/A,#N/A,FALSE,"M.42"}</definedName>
    <definedName name="wrn.M.4." localSheetId="2">{#N/A,#N/A,FALSE,"M.42"}</definedName>
    <definedName name="wrn.M.4." localSheetId="3">{#N/A,#N/A,FALSE,"M.42"}</definedName>
    <definedName name="wrn.M.4." localSheetId="0">{#N/A,#N/A,FALSE,"M.42"}</definedName>
    <definedName name="wrn.M.4." localSheetId="9">{#N/A,#N/A,FALSE,"M.42"}</definedName>
    <definedName name="wrn.M.4.">{#N/A,#N/A,FALSE,"M.42"}</definedName>
    <definedName name="wrn.M.41" localSheetId="7">{#N/A,#N/A,FALSE,"M.41"}</definedName>
    <definedName name="wrn.M.41" localSheetId="8">{#N/A,#N/A,FALSE,"M.41"}</definedName>
    <definedName name="wrn.M.41" localSheetId="14">{#N/A,#N/A,FALSE,"M.41"}</definedName>
    <definedName name="wrn.M.41" localSheetId="13">{#N/A,#N/A,FALSE,"M.41"}</definedName>
    <definedName name="wrn.M.41" localSheetId="11">{#N/A,#N/A,FALSE,"M.41"}</definedName>
    <definedName name="wrn.M.41" localSheetId="12">{#N/A,#N/A,FALSE,"M.41"}</definedName>
    <definedName name="wrn.M.41" localSheetId="17">{#N/A,#N/A,FALSE,"M.41"}</definedName>
    <definedName name="wrn.M.41" localSheetId="15">{#N/A,#N/A,FALSE,"M.41"}</definedName>
    <definedName name="wrn.M.41" localSheetId="16">{#N/A,#N/A,FALSE,"M.41"}</definedName>
    <definedName name="wrn.M.41" localSheetId="18">{#N/A,#N/A,FALSE,"M.41"}</definedName>
    <definedName name="wrn.M.41" localSheetId="1">{#N/A,#N/A,FALSE,"M.41"}</definedName>
    <definedName name="wrn.M.41" localSheetId="6">{#N/A,#N/A,FALSE,"M.41"}</definedName>
    <definedName name="wrn.M.41" localSheetId="2">{#N/A,#N/A,FALSE,"M.41"}</definedName>
    <definedName name="wrn.M.41" localSheetId="3">{#N/A,#N/A,FALSE,"M.41"}</definedName>
    <definedName name="wrn.M.41" localSheetId="0">{#N/A,#N/A,FALSE,"M.41"}</definedName>
    <definedName name="wrn.M.41" localSheetId="9">{#N/A,#N/A,FALSE,"M.41"}</definedName>
    <definedName name="wrn.M.41">{#N/A,#N/A,FALSE,"M.41"}</definedName>
    <definedName name="wrn.M.41." localSheetId="7">{#N/A,#N/A,FALSE,"M.41"}</definedName>
    <definedName name="wrn.M.41." localSheetId="8">{#N/A,#N/A,FALSE,"M.41"}</definedName>
    <definedName name="wrn.M.41." localSheetId="14">{#N/A,#N/A,FALSE,"M.41"}</definedName>
    <definedName name="wrn.M.41." localSheetId="13">{#N/A,#N/A,FALSE,"M.41"}</definedName>
    <definedName name="wrn.M.41." localSheetId="11">{#N/A,#N/A,FALSE,"M.41"}</definedName>
    <definedName name="wrn.M.41." localSheetId="12">{#N/A,#N/A,FALSE,"M.41"}</definedName>
    <definedName name="wrn.M.41." localSheetId="17">{#N/A,#N/A,FALSE,"M.41"}</definedName>
    <definedName name="wrn.M.41." localSheetId="15">{#N/A,#N/A,FALSE,"M.41"}</definedName>
    <definedName name="wrn.M.41." localSheetId="16">{#N/A,#N/A,FALSE,"M.41"}</definedName>
    <definedName name="wrn.M.41." localSheetId="18">{#N/A,#N/A,FALSE,"M.41"}</definedName>
    <definedName name="wrn.M.41." localSheetId="1">{#N/A,#N/A,FALSE,"M.41"}</definedName>
    <definedName name="wrn.M.41." localSheetId="6">{#N/A,#N/A,FALSE,"M.41"}</definedName>
    <definedName name="wrn.M.41." localSheetId="2">{#N/A,#N/A,FALSE,"M.41"}</definedName>
    <definedName name="wrn.M.41." localSheetId="3">{#N/A,#N/A,FALSE,"M.41"}</definedName>
    <definedName name="wrn.M.41." localSheetId="0">{#N/A,#N/A,FALSE,"M.41"}</definedName>
    <definedName name="wrn.M.41." localSheetId="9">{#N/A,#N/A,FALSE,"M.41"}</definedName>
    <definedName name="wrn.M.41.">{#N/A,#N/A,FALSE,"M.41"}</definedName>
    <definedName name="wrn.M.42" localSheetId="7">{#N/A,#N/A,FALSE,"M.41"}</definedName>
    <definedName name="wrn.M.42" localSheetId="8">{#N/A,#N/A,FALSE,"M.41"}</definedName>
    <definedName name="wrn.M.42" localSheetId="14">{#N/A,#N/A,FALSE,"M.41"}</definedName>
    <definedName name="wrn.M.42" localSheetId="13">{#N/A,#N/A,FALSE,"M.41"}</definedName>
    <definedName name="wrn.M.42" localSheetId="11">{#N/A,#N/A,FALSE,"M.41"}</definedName>
    <definedName name="wrn.M.42" localSheetId="12">{#N/A,#N/A,FALSE,"M.41"}</definedName>
    <definedName name="wrn.M.42" localSheetId="17">{#N/A,#N/A,FALSE,"M.41"}</definedName>
    <definedName name="wrn.M.42" localSheetId="15">{#N/A,#N/A,FALSE,"M.41"}</definedName>
    <definedName name="wrn.M.42" localSheetId="16">{#N/A,#N/A,FALSE,"M.41"}</definedName>
    <definedName name="wrn.M.42" localSheetId="18">{#N/A,#N/A,FALSE,"M.41"}</definedName>
    <definedName name="wrn.M.42" localSheetId="1">{#N/A,#N/A,FALSE,"M.41"}</definedName>
    <definedName name="wrn.M.42" localSheetId="6">{#N/A,#N/A,FALSE,"M.41"}</definedName>
    <definedName name="wrn.M.42" localSheetId="2">{#N/A,#N/A,FALSE,"M.41"}</definedName>
    <definedName name="wrn.M.42" localSheetId="3">{#N/A,#N/A,FALSE,"M.41"}</definedName>
    <definedName name="wrn.M.42" localSheetId="0">{#N/A,#N/A,FALSE,"M.41"}</definedName>
    <definedName name="wrn.M.42" localSheetId="9">{#N/A,#N/A,FALSE,"M.41"}</definedName>
    <definedName name="wrn.M.42">{#N/A,#N/A,FALSE,"M.41"}</definedName>
    <definedName name="wrn.M.42." localSheetId="7">{#N/A,#N/A,FALSE,"M.42"}</definedName>
    <definedName name="wrn.M.42." localSheetId="8">{#N/A,#N/A,FALSE,"M.42"}</definedName>
    <definedName name="wrn.M.42." localSheetId="14">{#N/A,#N/A,FALSE,"M.42"}</definedName>
    <definedName name="wrn.M.42." localSheetId="13">{#N/A,#N/A,FALSE,"M.42"}</definedName>
    <definedName name="wrn.M.42." localSheetId="11">{#N/A,#N/A,FALSE,"M.42"}</definedName>
    <definedName name="wrn.M.42." localSheetId="12">{#N/A,#N/A,FALSE,"M.42"}</definedName>
    <definedName name="wrn.M.42." localSheetId="17">{#N/A,#N/A,FALSE,"M.42"}</definedName>
    <definedName name="wrn.M.42." localSheetId="15">{#N/A,#N/A,FALSE,"M.42"}</definedName>
    <definedName name="wrn.M.42." localSheetId="16">{#N/A,#N/A,FALSE,"M.42"}</definedName>
    <definedName name="wrn.M.42." localSheetId="18">{#N/A,#N/A,FALSE,"M.42"}</definedName>
    <definedName name="wrn.M.42." localSheetId="1">{#N/A,#N/A,FALSE,"M.42"}</definedName>
    <definedName name="wrn.M.42." localSheetId="6">{#N/A,#N/A,FALSE,"M.42"}</definedName>
    <definedName name="wrn.M.42." localSheetId="2">{#N/A,#N/A,FALSE,"M.42"}</definedName>
    <definedName name="wrn.M.42." localSheetId="3">{#N/A,#N/A,FALSE,"M.42"}</definedName>
    <definedName name="wrn.M.42." localSheetId="0">{#N/A,#N/A,FALSE,"M.42"}</definedName>
    <definedName name="wrn.M.42." localSheetId="9">{#N/A,#N/A,FALSE,"M.42"}</definedName>
    <definedName name="wrn.M.42.">{#N/A,#N/A,FALSE,"M.42"}</definedName>
    <definedName name="wrn.M.43." localSheetId="7">{#N/A,#N/A,FALSE,"M.43"}</definedName>
    <definedName name="wrn.M.43." localSheetId="8">{#N/A,#N/A,FALSE,"M.43"}</definedName>
    <definedName name="wrn.M.43." localSheetId="14">{#N/A,#N/A,FALSE,"M.43"}</definedName>
    <definedName name="wrn.M.43." localSheetId="13">{#N/A,#N/A,FALSE,"M.43"}</definedName>
    <definedName name="wrn.M.43." localSheetId="11">{#N/A,#N/A,FALSE,"M.43"}</definedName>
    <definedName name="wrn.M.43." localSheetId="12">{#N/A,#N/A,FALSE,"M.43"}</definedName>
    <definedName name="wrn.M.43." localSheetId="17">{#N/A,#N/A,FALSE,"M.43"}</definedName>
    <definedName name="wrn.M.43." localSheetId="15">{#N/A,#N/A,FALSE,"M.43"}</definedName>
    <definedName name="wrn.M.43." localSheetId="16">{#N/A,#N/A,FALSE,"M.43"}</definedName>
    <definedName name="wrn.M.43." localSheetId="18">{#N/A,#N/A,FALSE,"M.43"}</definedName>
    <definedName name="wrn.M.43." localSheetId="1">{#N/A,#N/A,FALSE,"M.43"}</definedName>
    <definedName name="wrn.M.43." localSheetId="6">{#N/A,#N/A,FALSE,"M.43"}</definedName>
    <definedName name="wrn.M.43." localSheetId="2">{#N/A,#N/A,FALSE,"M.43"}</definedName>
    <definedName name="wrn.M.43." localSheetId="3">{#N/A,#N/A,FALSE,"M.43"}</definedName>
    <definedName name="wrn.M.43." localSheetId="0">{#N/A,#N/A,FALSE,"M.43"}</definedName>
    <definedName name="wrn.M.43." localSheetId="9">{#N/A,#N/A,FALSE,"M.43"}</definedName>
    <definedName name="wrn.M.43.">{#N/A,#N/A,FALSE,"M.43"}</definedName>
    <definedName name="Wrn.M32." localSheetId="7">{#N/A,#N/A,FALSE,"M.31"}</definedName>
    <definedName name="Wrn.M32." localSheetId="8">{#N/A,#N/A,FALSE,"M.31"}</definedName>
    <definedName name="Wrn.M32." localSheetId="14">{#N/A,#N/A,FALSE,"M.31"}</definedName>
    <definedName name="Wrn.M32." localSheetId="13">{#N/A,#N/A,FALSE,"M.31"}</definedName>
    <definedName name="Wrn.M32." localSheetId="11">{#N/A,#N/A,FALSE,"M.31"}</definedName>
    <definedName name="Wrn.M32." localSheetId="12">{#N/A,#N/A,FALSE,"M.31"}</definedName>
    <definedName name="Wrn.M32." localSheetId="17">{#N/A,#N/A,FALSE,"M.31"}</definedName>
    <definedName name="Wrn.M32." localSheetId="15">{#N/A,#N/A,FALSE,"M.31"}</definedName>
    <definedName name="Wrn.M32." localSheetId="16">{#N/A,#N/A,FALSE,"M.31"}</definedName>
    <definedName name="Wrn.M32." localSheetId="18">{#N/A,#N/A,FALSE,"M.31"}</definedName>
    <definedName name="Wrn.M32." localSheetId="1">{#N/A,#N/A,FALSE,"M.31"}</definedName>
    <definedName name="Wrn.M32." localSheetId="6">{#N/A,#N/A,FALSE,"M.31"}</definedName>
    <definedName name="Wrn.M32." localSheetId="2">{#N/A,#N/A,FALSE,"M.31"}</definedName>
    <definedName name="Wrn.M32." localSheetId="3">{#N/A,#N/A,FALSE,"M.31"}</definedName>
    <definedName name="Wrn.M32." localSheetId="0">{#N/A,#N/A,FALSE,"M.31"}</definedName>
    <definedName name="Wrn.M32." localSheetId="9">{#N/A,#N/A,FALSE,"M.31"}</definedName>
    <definedName name="Wrn.M32.">{#N/A,#N/A,FALSE,"M.31"}</definedName>
    <definedName name="wrn.n.99" localSheetId="7">{#N/A,#N/A,FALSE,"M.43"}</definedName>
    <definedName name="wrn.n.99" localSheetId="8">{#N/A,#N/A,FALSE,"M.43"}</definedName>
    <definedName name="wrn.n.99" localSheetId="14">{#N/A,#N/A,FALSE,"M.43"}</definedName>
    <definedName name="wrn.n.99" localSheetId="13">{#N/A,#N/A,FALSE,"M.43"}</definedName>
    <definedName name="wrn.n.99" localSheetId="11">{#N/A,#N/A,FALSE,"M.43"}</definedName>
    <definedName name="wrn.n.99" localSheetId="12">{#N/A,#N/A,FALSE,"M.43"}</definedName>
    <definedName name="wrn.n.99" localSheetId="17">{#N/A,#N/A,FALSE,"M.43"}</definedName>
    <definedName name="wrn.n.99" localSheetId="15">{#N/A,#N/A,FALSE,"M.43"}</definedName>
    <definedName name="wrn.n.99" localSheetId="16">{#N/A,#N/A,FALSE,"M.43"}</definedName>
    <definedName name="wrn.n.99" localSheetId="18">{#N/A,#N/A,FALSE,"M.43"}</definedName>
    <definedName name="wrn.n.99" localSheetId="1">{#N/A,#N/A,FALSE,"M.43"}</definedName>
    <definedName name="wrn.n.99" localSheetId="6">{#N/A,#N/A,FALSE,"M.43"}</definedName>
    <definedName name="wrn.n.99" localSheetId="2">{#N/A,#N/A,FALSE,"M.43"}</definedName>
    <definedName name="wrn.n.99" localSheetId="3">{#N/A,#N/A,FALSE,"M.43"}</definedName>
    <definedName name="wrn.n.99" localSheetId="0">{#N/A,#N/A,FALSE,"M.43"}</definedName>
    <definedName name="wrn.n.99" localSheetId="9">{#N/A,#N/A,FALSE,"M.43"}</definedName>
    <definedName name="wrn.n.99">{#N/A,#N/A,FALSE,"M.43"}</definedName>
    <definedName name="wrn.REP67." localSheetId="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4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5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0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9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14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1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1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1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17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15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1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18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6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2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3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0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 localSheetId="9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8." localSheetId="7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8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4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3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2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7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5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6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8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6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3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0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9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a.m.01" localSheetId="7">{#N/A,#N/A,FALSE,"M.01"}</definedName>
    <definedName name="wrna.m.01" localSheetId="8">{#N/A,#N/A,FALSE,"M.01"}</definedName>
    <definedName name="wrna.m.01" localSheetId="14">{#N/A,#N/A,FALSE,"M.01"}</definedName>
    <definedName name="wrna.m.01" localSheetId="13">{#N/A,#N/A,FALSE,"M.01"}</definedName>
    <definedName name="wrna.m.01" localSheetId="11">{#N/A,#N/A,FALSE,"M.01"}</definedName>
    <definedName name="wrna.m.01" localSheetId="12">{#N/A,#N/A,FALSE,"M.01"}</definedName>
    <definedName name="wrna.m.01" localSheetId="17">{#N/A,#N/A,FALSE,"M.01"}</definedName>
    <definedName name="wrna.m.01" localSheetId="15">{#N/A,#N/A,FALSE,"M.01"}</definedName>
    <definedName name="wrna.m.01" localSheetId="16">{#N/A,#N/A,FALSE,"M.01"}</definedName>
    <definedName name="wrna.m.01" localSheetId="18">{#N/A,#N/A,FALSE,"M.01"}</definedName>
    <definedName name="wrna.m.01" localSheetId="1">{#N/A,#N/A,FALSE,"M.01"}</definedName>
    <definedName name="wrna.m.01" localSheetId="6">{#N/A,#N/A,FALSE,"M.01"}</definedName>
    <definedName name="wrna.m.01" localSheetId="2">{#N/A,#N/A,FALSE,"M.01"}</definedName>
    <definedName name="wrna.m.01" localSheetId="3">{#N/A,#N/A,FALSE,"M.01"}</definedName>
    <definedName name="wrna.m.01" localSheetId="0">{#N/A,#N/A,FALSE,"M.01"}</definedName>
    <definedName name="wrna.m.01" localSheetId="9">{#N/A,#N/A,FALSE,"M.01"}</definedName>
    <definedName name="wrna.m.01">{#N/A,#N/A,FALSE,"M.01"}</definedName>
    <definedName name="x" localSheetId="7">{#N/A,#N/A,FALSE,"M.42"}</definedName>
    <definedName name="x" localSheetId="8">{#N/A,#N/A,FALSE,"M.42"}</definedName>
    <definedName name="x" localSheetId="14">{#N/A,#N/A,FALSE,"M.42"}</definedName>
    <definedName name="x" localSheetId="13">{#N/A,#N/A,FALSE,"M.42"}</definedName>
    <definedName name="x" localSheetId="11">{#N/A,#N/A,FALSE,"M.42"}</definedName>
    <definedName name="x" localSheetId="12">{#N/A,#N/A,FALSE,"M.42"}</definedName>
    <definedName name="x" localSheetId="17">{#N/A,#N/A,FALSE,"M.42"}</definedName>
    <definedName name="x" localSheetId="15">{#N/A,#N/A,FALSE,"M.42"}</definedName>
    <definedName name="x" localSheetId="16">{#N/A,#N/A,FALSE,"M.42"}</definedName>
    <definedName name="x" localSheetId="18">{#N/A,#N/A,FALSE,"M.42"}</definedName>
    <definedName name="x" localSheetId="1">{#N/A,#N/A,FALSE,"M.42"}</definedName>
    <definedName name="x" localSheetId="6">{#N/A,#N/A,FALSE,"M.42"}</definedName>
    <definedName name="x" localSheetId="2">{#N/A,#N/A,FALSE,"M.42"}</definedName>
    <definedName name="x" localSheetId="3">{#N/A,#N/A,FALSE,"M.42"}</definedName>
    <definedName name="x" localSheetId="0">{#N/A,#N/A,FALSE,"M.42"}</definedName>
    <definedName name="x" localSheetId="9">{#N/A,#N/A,FALSE,"M.42"}</definedName>
    <definedName name="x">{#N/A,#N/A,FALSE,"M.42"}</definedName>
    <definedName name="XREF_COLUMN_1">[7]TOP!#REF!</definedName>
    <definedName name="XREF_COLUMN_2" localSheetId="7">#REF!</definedName>
    <definedName name="XREF_COLUMN_2" localSheetId="8">#REF!</definedName>
    <definedName name="XREF_COLUMN_2" localSheetId="14">#REF!</definedName>
    <definedName name="XREF_COLUMN_2" localSheetId="13">#REF!</definedName>
    <definedName name="XREF_COLUMN_2" localSheetId="11">#REF!</definedName>
    <definedName name="XREF_COLUMN_2" localSheetId="12">#REF!</definedName>
    <definedName name="XREF_COLUMN_2" localSheetId="17">#REF!</definedName>
    <definedName name="XREF_COLUMN_2" localSheetId="15">#REF!</definedName>
    <definedName name="XREF_COLUMN_2" localSheetId="16">#REF!</definedName>
    <definedName name="XREF_COLUMN_2" localSheetId="18">#REF!</definedName>
    <definedName name="XREF_COLUMN_2" localSheetId="1">#REF!</definedName>
    <definedName name="XREF_COLUMN_2" localSheetId="6">#REF!</definedName>
    <definedName name="XREF_COLUMN_2" localSheetId="2">#REF!</definedName>
    <definedName name="XREF_COLUMN_2" localSheetId="3">#REF!</definedName>
    <definedName name="XREF_COLUMN_2">#REF!</definedName>
    <definedName name="XRefActiveRow" localSheetId="7">#REF!</definedName>
    <definedName name="XRefActiveRow" localSheetId="8">#REF!</definedName>
    <definedName name="XRefActiveRow" localSheetId="14">#REF!</definedName>
    <definedName name="XRefActiveRow" localSheetId="13">#REF!</definedName>
    <definedName name="XRefActiveRow" localSheetId="11">#REF!</definedName>
    <definedName name="XRefActiveRow" localSheetId="12">#REF!</definedName>
    <definedName name="XRefActiveRow" localSheetId="17">#REF!</definedName>
    <definedName name="XRefActiveRow" localSheetId="15">#REF!</definedName>
    <definedName name="XRefActiveRow" localSheetId="16">#REF!</definedName>
    <definedName name="XRefActiveRow" localSheetId="18">#REF!</definedName>
    <definedName name="XRefActiveRow" localSheetId="1">#REF!</definedName>
    <definedName name="XRefActiveRow" localSheetId="6">#REF!</definedName>
    <definedName name="XRefActiveRow" localSheetId="2">#REF!</definedName>
    <definedName name="XRefActiveRow" localSheetId="3">#REF!</definedName>
    <definedName name="XRefActiveRow">#REF!</definedName>
    <definedName name="XRefColumnsCount">2</definedName>
    <definedName name="XRefCopy2Row" localSheetId="7">[8]XREF!#REF!</definedName>
    <definedName name="XRefCopy2Row" localSheetId="8">[8]XREF!#REF!</definedName>
    <definedName name="XRefCopy2Row" localSheetId="14">[8]XREF!#REF!</definedName>
    <definedName name="XRefCopy2Row" localSheetId="13">[8]XREF!#REF!</definedName>
    <definedName name="XRefCopy2Row" localSheetId="11">[8]XREF!#REF!</definedName>
    <definedName name="XRefCopy2Row" localSheetId="12">[8]XREF!#REF!</definedName>
    <definedName name="XRefCopy2Row" localSheetId="17">[8]XREF!#REF!</definedName>
    <definedName name="XRefCopy2Row" localSheetId="15">[8]XREF!#REF!</definedName>
    <definedName name="XRefCopy2Row" localSheetId="16">[8]XREF!#REF!</definedName>
    <definedName name="XRefCopy2Row" localSheetId="18">[8]XREF!#REF!</definedName>
    <definedName name="XRefCopy2Row" localSheetId="1">[8]XREF!#REF!</definedName>
    <definedName name="XRefCopy2Row" localSheetId="6">[8]XREF!#REF!</definedName>
    <definedName name="XRefCopy2Row" localSheetId="2">[8]XREF!#REF!</definedName>
    <definedName name="XRefCopy2Row" localSheetId="3">[8]XREF!#REF!</definedName>
    <definedName name="XRefCopy2Row">[8]XREF!#REF!</definedName>
    <definedName name="XRefCopyRangeCount">1</definedName>
    <definedName name="XRefPaste2" localSheetId="7">#REF!</definedName>
    <definedName name="XRefPaste2" localSheetId="8">#REF!</definedName>
    <definedName name="XRefPaste2" localSheetId="14">#REF!</definedName>
    <definedName name="XRefPaste2" localSheetId="13">#REF!</definedName>
    <definedName name="XRefPaste2" localSheetId="11">#REF!</definedName>
    <definedName name="XRefPaste2" localSheetId="12">#REF!</definedName>
    <definedName name="XRefPaste2" localSheetId="17">#REF!</definedName>
    <definedName name="XRefPaste2" localSheetId="15">#REF!</definedName>
    <definedName name="XRefPaste2" localSheetId="16">#REF!</definedName>
    <definedName name="XRefPaste2" localSheetId="18">#REF!</definedName>
    <definedName name="XRefPaste2" localSheetId="1">#REF!</definedName>
    <definedName name="XRefPaste2" localSheetId="6">#REF!</definedName>
    <definedName name="XRefPaste2" localSheetId="2">#REF!</definedName>
    <definedName name="XRefPaste2" localSheetId="3">#REF!</definedName>
    <definedName name="XRefPaste2">#REF!</definedName>
    <definedName name="XRefPaste2Row" localSheetId="7">#REF!</definedName>
    <definedName name="XRefPaste2Row" localSheetId="8">#REF!</definedName>
    <definedName name="XRefPaste2Row" localSheetId="14">#REF!</definedName>
    <definedName name="XRefPaste2Row" localSheetId="13">#REF!</definedName>
    <definedName name="XRefPaste2Row" localSheetId="11">#REF!</definedName>
    <definedName name="XRefPaste2Row" localSheetId="12">#REF!</definedName>
    <definedName name="XRefPaste2Row" localSheetId="17">#REF!</definedName>
    <definedName name="XRefPaste2Row" localSheetId="15">#REF!</definedName>
    <definedName name="XRefPaste2Row" localSheetId="16">#REF!</definedName>
    <definedName name="XRefPaste2Row" localSheetId="18">#REF!</definedName>
    <definedName name="XRefPaste2Row" localSheetId="1">#REF!</definedName>
    <definedName name="XRefPaste2Row" localSheetId="6">#REF!</definedName>
    <definedName name="XRefPaste2Row" localSheetId="2">#REF!</definedName>
    <definedName name="XRefPaste2Row" localSheetId="3">#REF!</definedName>
    <definedName name="XRefPaste2Row">#REF!</definedName>
    <definedName name="XRefPasteRangeCount">2</definedName>
    <definedName name="ZXCZ" localSheetId="7">{#N/A,#N/A,FALSE,"M.31"}</definedName>
    <definedName name="ZXCZ" localSheetId="8">{#N/A,#N/A,FALSE,"M.31"}</definedName>
    <definedName name="ZXCZ" localSheetId="14">{#N/A,#N/A,FALSE,"M.31"}</definedName>
    <definedName name="ZXCZ" localSheetId="13">{#N/A,#N/A,FALSE,"M.31"}</definedName>
    <definedName name="ZXCZ" localSheetId="11">{#N/A,#N/A,FALSE,"M.31"}</definedName>
    <definedName name="ZXCZ" localSheetId="12">{#N/A,#N/A,FALSE,"M.31"}</definedName>
    <definedName name="ZXCZ" localSheetId="17">{#N/A,#N/A,FALSE,"M.31"}</definedName>
    <definedName name="ZXCZ" localSheetId="15">{#N/A,#N/A,FALSE,"M.31"}</definedName>
    <definedName name="ZXCZ" localSheetId="16">{#N/A,#N/A,FALSE,"M.31"}</definedName>
    <definedName name="ZXCZ" localSheetId="18">{#N/A,#N/A,FALSE,"M.31"}</definedName>
    <definedName name="ZXCZ" localSheetId="1">{#N/A,#N/A,FALSE,"M.31"}</definedName>
    <definedName name="ZXCZ" localSheetId="6">{#N/A,#N/A,FALSE,"M.31"}</definedName>
    <definedName name="ZXCZ" localSheetId="2">{#N/A,#N/A,FALSE,"M.31"}</definedName>
    <definedName name="ZXCZ" localSheetId="3">{#N/A,#N/A,FALSE,"M.31"}</definedName>
    <definedName name="ZXCZ" localSheetId="0">{#N/A,#N/A,FALSE,"M.31"}</definedName>
    <definedName name="ZXCZ" localSheetId="9">{#N/A,#N/A,FALSE,"M.31"}</definedName>
    <definedName name="ZXCZ">{#N/A,#N/A,FALSE,"M.31"}</definedName>
  </definedNames>
  <calcPr calcId="191029"/>
</workbook>
</file>

<file path=xl/calcChain.xml><?xml version="1.0" encoding="utf-8"?>
<calcChain xmlns="http://schemas.openxmlformats.org/spreadsheetml/2006/main">
  <c r="G2" i="31" l="1"/>
  <c r="F215" i="35"/>
  <c r="F513" i="35"/>
  <c r="F512" i="35"/>
  <c r="F511" i="35"/>
  <c r="F510" i="35"/>
  <c r="F509" i="35"/>
  <c r="F508" i="35"/>
  <c r="F507" i="35"/>
  <c r="F506" i="35"/>
  <c r="F499" i="35"/>
  <c r="F498" i="35"/>
  <c r="F496" i="35"/>
  <c r="F495" i="35" s="1"/>
  <c r="F494" i="35"/>
  <c r="F493" i="35"/>
  <c r="F492" i="35"/>
  <c r="F487" i="35"/>
  <c r="F486" i="35"/>
  <c r="F485" i="35"/>
  <c r="F483" i="35"/>
  <c r="F482" i="35"/>
  <c r="F481" i="35"/>
  <c r="F480" i="35"/>
  <c r="F477" i="35"/>
  <c r="F476" i="35"/>
  <c r="F475" i="35"/>
  <c r="F472" i="35"/>
  <c r="F471" i="35" s="1"/>
  <c r="F470" i="35"/>
  <c r="F469" i="35" s="1"/>
  <c r="F468" i="35"/>
  <c r="F467" i="35" s="1"/>
  <c r="F465" i="35"/>
  <c r="F464" i="35" s="1"/>
  <c r="F463" i="35"/>
  <c r="F462" i="35" s="1"/>
  <c r="F461" i="35"/>
  <c r="F460" i="35"/>
  <c r="F459" i="35"/>
  <c r="F458" i="35"/>
  <c r="F457" i="35"/>
  <c r="F456" i="35"/>
  <c r="F455" i="35"/>
  <c r="F454" i="35"/>
  <c r="F453" i="35"/>
  <c r="F452" i="35"/>
  <c r="F451" i="35"/>
  <c r="F449" i="35"/>
  <c r="F448" i="35"/>
  <c r="E447" i="35"/>
  <c r="F447" i="35" s="1"/>
  <c r="F446" i="35"/>
  <c r="F442" i="35"/>
  <c r="F441" i="35" s="1"/>
  <c r="F440" i="35" s="1"/>
  <c r="F439" i="35"/>
  <c r="F438" i="35" s="1"/>
  <c r="F437" i="35"/>
  <c r="F436" i="35" s="1"/>
  <c r="F435" i="35"/>
  <c r="F434" i="35"/>
  <c r="F433" i="35" s="1"/>
  <c r="F432" i="35"/>
  <c r="F431" i="35"/>
  <c r="F430" i="35"/>
  <c r="F429" i="35"/>
  <c r="F428" i="35"/>
  <c r="F427" i="35"/>
  <c r="F425" i="35"/>
  <c r="F424" i="35"/>
  <c r="F423" i="35"/>
  <c r="F422" i="35" s="1"/>
  <c r="F421" i="35"/>
  <c r="F420" i="35" s="1"/>
  <c r="F419" i="35"/>
  <c r="F418" i="35" s="1"/>
  <c r="F417" i="35"/>
  <c r="F416" i="35" s="1"/>
  <c r="F415" i="35"/>
  <c r="F414" i="35" s="1"/>
  <c r="F413" i="35"/>
  <c r="F412" i="35" s="1"/>
  <c r="F411" i="35"/>
  <c r="F410" i="35"/>
  <c r="F409" i="35"/>
  <c r="F408" i="35"/>
  <c r="F407" i="35"/>
  <c r="F406" i="35"/>
  <c r="F405" i="35"/>
  <c r="F404" i="35"/>
  <c r="F403" i="35"/>
  <c r="F401" i="35"/>
  <c r="F400" i="35"/>
  <c r="F399" i="35"/>
  <c r="F398" i="35"/>
  <c r="F397" i="35"/>
  <c r="F396" i="35"/>
  <c r="F395" i="35"/>
  <c r="F394" i="35"/>
  <c r="F393" i="35"/>
  <c r="F392" i="35"/>
  <c r="F391" i="35"/>
  <c r="F390" i="35"/>
  <c r="F389" i="35"/>
  <c r="F388" i="35"/>
  <c r="F387" i="35"/>
  <c r="F386" i="35"/>
  <c r="F385" i="35"/>
  <c r="F384" i="35"/>
  <c r="F383" i="35"/>
  <c r="F382" i="35"/>
  <c r="F381" i="35"/>
  <c r="F380" i="35"/>
  <c r="F379" i="35"/>
  <c r="F378" i="35"/>
  <c r="F376" i="35"/>
  <c r="F375" i="35"/>
  <c r="F374" i="35"/>
  <c r="F372" i="35"/>
  <c r="F371" i="35"/>
  <c r="F370" i="35"/>
  <c r="F368" i="35"/>
  <c r="F367" i="35" s="1"/>
  <c r="F366" i="35"/>
  <c r="F365" i="35"/>
  <c r="F364" i="35"/>
  <c r="F362" i="35"/>
  <c r="F361" i="35"/>
  <c r="F360" i="35"/>
  <c r="F358" i="35"/>
  <c r="F357" i="35"/>
  <c r="F356" i="35"/>
  <c r="F354" i="35"/>
  <c r="F353" i="35"/>
  <c r="F352" i="35"/>
  <c r="F350" i="35"/>
  <c r="F349" i="35"/>
  <c r="F348" i="35"/>
  <c r="F346" i="35"/>
  <c r="F345" i="35"/>
  <c r="F344" i="35"/>
  <c r="F342" i="35"/>
  <c r="F341" i="35"/>
  <c r="F340" i="35"/>
  <c r="F335" i="35"/>
  <c r="F334" i="35"/>
  <c r="F333" i="35" s="1"/>
  <c r="F332" i="35"/>
  <c r="F331" i="35"/>
  <c r="F330" i="35"/>
  <c r="F328" i="35"/>
  <c r="F327" i="35"/>
  <c r="E325" i="35"/>
  <c r="F325" i="35" s="1"/>
  <c r="F324" i="35"/>
  <c r="F323" i="35"/>
  <c r="F320" i="35"/>
  <c r="F319" i="35"/>
  <c r="F318" i="35" s="1"/>
  <c r="F317" i="35"/>
  <c r="F316" i="35"/>
  <c r="F314" i="35"/>
  <c r="F313" i="35" s="1"/>
  <c r="F312" i="35"/>
  <c r="F311" i="35"/>
  <c r="F310" i="35"/>
  <c r="F309" i="35"/>
  <c r="F307" i="35"/>
  <c r="F306" i="35"/>
  <c r="F303" i="35"/>
  <c r="F302" i="35"/>
  <c r="F300" i="35"/>
  <c r="F299" i="35"/>
  <c r="F297" i="35"/>
  <c r="F296" i="35" s="1"/>
  <c r="F295" i="35"/>
  <c r="F294" i="35"/>
  <c r="E285" i="35"/>
  <c r="F285" i="35" s="1"/>
  <c r="F284" i="35"/>
  <c r="F283" i="35"/>
  <c r="F282" i="35"/>
  <c r="F281" i="35"/>
  <c r="F280" i="35"/>
  <c r="F279" i="35"/>
  <c r="F278" i="35"/>
  <c r="F277" i="35"/>
  <c r="F276" i="35"/>
  <c r="F275" i="35"/>
  <c r="F274" i="35"/>
  <c r="F273" i="35"/>
  <c r="F272" i="35"/>
  <c r="F271" i="35"/>
  <c r="F270" i="35"/>
  <c r="F269" i="35"/>
  <c r="F268" i="35"/>
  <c r="F267" i="35"/>
  <c r="F266" i="35"/>
  <c r="F265" i="35"/>
  <c r="F264" i="35"/>
  <c r="F263" i="35"/>
  <c r="F262" i="35"/>
  <c r="F261" i="35"/>
  <c r="F260" i="35"/>
  <c r="F259" i="35"/>
  <c r="F258" i="35"/>
  <c r="F257" i="35"/>
  <c r="F256" i="35"/>
  <c r="F255" i="35"/>
  <c r="F254" i="35"/>
  <c r="F253" i="35"/>
  <c r="F252" i="35"/>
  <c r="F251" i="35"/>
  <c r="F250" i="35"/>
  <c r="F249" i="35"/>
  <c r="F242" i="35"/>
  <c r="F241" i="35"/>
  <c r="F239" i="35"/>
  <c r="F238" i="35"/>
  <c r="F236" i="35"/>
  <c r="F235" i="35"/>
  <c r="F234" i="35"/>
  <c r="E231" i="35"/>
  <c r="F231" i="35" s="1"/>
  <c r="F230" i="35"/>
  <c r="F229" i="35"/>
  <c r="F227" i="35"/>
  <c r="F226" i="35"/>
  <c r="F224" i="35"/>
  <c r="F223" i="35"/>
  <c r="F222" i="35"/>
  <c r="F221" i="35"/>
  <c r="E219" i="35"/>
  <c r="F219" i="35" s="1"/>
  <c r="F218" i="35"/>
  <c r="F217" i="35"/>
  <c r="F214" i="35"/>
  <c r="F213" i="35"/>
  <c r="F212" i="35" s="1"/>
  <c r="H212" i="35" s="1"/>
  <c r="F211" i="35"/>
  <c r="F210" i="35"/>
  <c r="F208" i="35"/>
  <c r="F207" i="35"/>
  <c r="F206" i="35"/>
  <c r="F201" i="35"/>
  <c r="F200" i="35"/>
  <c r="F199" i="35"/>
  <c r="F197" i="35"/>
  <c r="F196" i="35"/>
  <c r="F195" i="35"/>
  <c r="F193" i="35"/>
  <c r="F192" i="35"/>
  <c r="F191" i="35"/>
  <c r="F189" i="35"/>
  <c r="F188" i="35"/>
  <c r="F187" i="35"/>
  <c r="F186" i="35"/>
  <c r="F184" i="35"/>
  <c r="F183" i="35"/>
  <c r="F182" i="35"/>
  <c r="F179" i="35"/>
  <c r="F178" i="35"/>
  <c r="F177" i="35"/>
  <c r="F175" i="35"/>
  <c r="F174" i="35"/>
  <c r="F173" i="35"/>
  <c r="F172" i="35"/>
  <c r="F171" i="35"/>
  <c r="F169" i="35"/>
  <c r="F168" i="35"/>
  <c r="F167" i="35"/>
  <c r="F165" i="35"/>
  <c r="F164" i="35"/>
  <c r="F163" i="35"/>
  <c r="F160" i="35"/>
  <c r="F159" i="35"/>
  <c r="F158" i="35"/>
  <c r="F156" i="35"/>
  <c r="F155" i="35"/>
  <c r="F154" i="35"/>
  <c r="F152" i="35"/>
  <c r="F151" i="35"/>
  <c r="F150" i="35"/>
  <c r="F148" i="35"/>
  <c r="F147" i="35"/>
  <c r="F146" i="35"/>
  <c r="F145" i="35"/>
  <c r="F143" i="35"/>
  <c r="F142" i="35"/>
  <c r="F141" i="35"/>
  <c r="F137" i="35"/>
  <c r="F136" i="35"/>
  <c r="F135" i="35"/>
  <c r="F134" i="35" s="1"/>
  <c r="H134" i="35" s="1"/>
  <c r="F133" i="35"/>
  <c r="F132" i="35"/>
  <c r="F131" i="35"/>
  <c r="F129" i="35"/>
  <c r="F128" i="35"/>
  <c r="F126" i="35" s="1"/>
  <c r="G126" i="35" s="1"/>
  <c r="F127" i="35"/>
  <c r="F125" i="35"/>
  <c r="F124" i="35"/>
  <c r="F123" i="35"/>
  <c r="F122" i="35"/>
  <c r="F120" i="35"/>
  <c r="F119" i="35"/>
  <c r="F118" i="35"/>
  <c r="F114" i="35"/>
  <c r="F113" i="35"/>
  <c r="F112" i="35"/>
  <c r="F111" i="35" s="1"/>
  <c r="H111" i="35" s="1"/>
  <c r="F110" i="35"/>
  <c r="F109" i="35"/>
  <c r="F108" i="35"/>
  <c r="F106" i="35"/>
  <c r="F105" i="35"/>
  <c r="F104" i="35"/>
  <c r="F102" i="35"/>
  <c r="F101" i="35"/>
  <c r="F100" i="35"/>
  <c r="F99" i="35"/>
  <c r="F97" i="35"/>
  <c r="F96" i="35"/>
  <c r="F95" i="35"/>
  <c r="F92" i="35"/>
  <c r="F91" i="35"/>
  <c r="F90" i="35"/>
  <c r="F88" i="35"/>
  <c r="F87" i="35"/>
  <c r="F86" i="35"/>
  <c r="F84" i="35"/>
  <c r="F83" i="35"/>
  <c r="F82" i="35"/>
  <c r="F80" i="35"/>
  <c r="F79" i="35"/>
  <c r="F78" i="35"/>
  <c r="F77" i="35"/>
  <c r="F75" i="35"/>
  <c r="F74" i="35"/>
  <c r="F73" i="35"/>
  <c r="F70" i="35"/>
  <c r="F69" i="35"/>
  <c r="F68" i="35"/>
  <c r="F67" i="35" s="1"/>
  <c r="H67" i="35" s="1"/>
  <c r="F66" i="35"/>
  <c r="F65" i="35"/>
  <c r="F64" i="35"/>
  <c r="F62" i="35"/>
  <c r="F61" i="35"/>
  <c r="F59" i="35" s="1"/>
  <c r="G59" i="35" s="1"/>
  <c r="F60" i="35"/>
  <c r="F58" i="35"/>
  <c r="F57" i="35"/>
  <c r="F56" i="35"/>
  <c r="F55" i="35"/>
  <c r="F53" i="35"/>
  <c r="F52" i="35"/>
  <c r="F51" i="35"/>
  <c r="F48" i="35"/>
  <c r="F47" i="35"/>
  <c r="F46" i="35"/>
  <c r="F45" i="35" s="1"/>
  <c r="H45" i="35" s="1"/>
  <c r="F44" i="35"/>
  <c r="F43" i="35"/>
  <c r="F42" i="35"/>
  <c r="F40" i="35"/>
  <c r="F39" i="35"/>
  <c r="F38" i="35"/>
  <c r="F36" i="35"/>
  <c r="F35" i="35"/>
  <c r="F34" i="35"/>
  <c r="F33" i="35"/>
  <c r="F31" i="35"/>
  <c r="F30" i="35"/>
  <c r="F29" i="35"/>
  <c r="F25" i="35"/>
  <c r="F24" i="35"/>
  <c r="F23" i="35" s="1"/>
  <c r="H23" i="35" s="1"/>
  <c r="F22" i="35"/>
  <c r="F21" i="35"/>
  <c r="F19" i="35"/>
  <c r="F18" i="35"/>
  <c r="F17" i="35"/>
  <c r="F16" i="35"/>
  <c r="E14" i="35"/>
  <c r="F14" i="35" s="1"/>
  <c r="F13" i="35"/>
  <c r="F12" i="35"/>
  <c r="E68" i="34"/>
  <c r="E67" i="34"/>
  <c r="E66" i="34"/>
  <c r="E65" i="34"/>
  <c r="E64" i="34"/>
  <c r="F56" i="34"/>
  <c r="F55" i="34"/>
  <c r="F53" i="34"/>
  <c r="D48" i="34"/>
  <c r="E44" i="34"/>
  <c r="E38" i="34"/>
  <c r="E32" i="34"/>
  <c r="E31" i="34"/>
  <c r="E30" i="34"/>
  <c r="E29" i="34"/>
  <c r="F301" i="35" l="1"/>
  <c r="F225" i="35"/>
  <c r="G225" i="35" s="1"/>
  <c r="F233" i="35"/>
  <c r="G233" i="35" s="1"/>
  <c r="F216" i="35"/>
  <c r="F484" i="35"/>
  <c r="F198" i="35"/>
  <c r="H198" i="35" s="1"/>
  <c r="F450" i="35"/>
  <c r="F444" i="35" s="1"/>
  <c r="F491" i="35"/>
  <c r="F490" i="35" s="1"/>
  <c r="F489" i="35" s="1"/>
  <c r="F488" i="35" s="1"/>
  <c r="F329" i="35"/>
  <c r="F41" i="35"/>
  <c r="H41" i="35" s="1"/>
  <c r="F107" i="35"/>
  <c r="H107" i="35" s="1"/>
  <c r="F162" i="35"/>
  <c r="F185" i="35"/>
  <c r="G185" i="35" s="1"/>
  <c r="F240" i="35"/>
  <c r="H240" i="35" s="1"/>
  <c r="F153" i="35"/>
  <c r="H153" i="35" s="1"/>
  <c r="F85" i="35"/>
  <c r="H85" i="35" s="1"/>
  <c r="F98" i="35"/>
  <c r="G98" i="35" s="1"/>
  <c r="F140" i="35"/>
  <c r="G140" i="35" s="1"/>
  <c r="F355" i="35"/>
  <c r="F377" i="35"/>
  <c r="F445" i="35"/>
  <c r="F505" i="35"/>
  <c r="F504" i="35" s="1"/>
  <c r="F503" i="35" s="1"/>
  <c r="F502" i="35" s="1"/>
  <c r="F500" i="35" s="1"/>
  <c r="F479" i="35"/>
  <c r="F478" i="35" s="1"/>
  <c r="F32" i="35"/>
  <c r="G32" i="35" s="1"/>
  <c r="F322" i="35"/>
  <c r="F81" i="35"/>
  <c r="G81" i="35" s="1"/>
  <c r="F181" i="35"/>
  <c r="G181" i="35" s="1"/>
  <c r="F315" i="35"/>
  <c r="F339" i="35"/>
  <c r="F94" i="35"/>
  <c r="F50" i="35"/>
  <c r="F426" i="35"/>
  <c r="F103" i="35"/>
  <c r="G103" i="35" s="1"/>
  <c r="F117" i="35"/>
  <c r="F149" i="35"/>
  <c r="G149" i="35" s="1"/>
  <c r="F194" i="35"/>
  <c r="H194" i="35" s="1"/>
  <c r="F293" i="35"/>
  <c r="F497" i="35"/>
  <c r="G162" i="35"/>
  <c r="F466" i="35"/>
  <c r="F72" i="35"/>
  <c r="G72" i="35" s="1"/>
  <c r="F54" i="35"/>
  <c r="G54" i="35" s="1"/>
  <c r="F76" i="35"/>
  <c r="G76" i="35" s="1"/>
  <c r="F190" i="35"/>
  <c r="G190" i="35" s="1"/>
  <c r="F220" i="35"/>
  <c r="G220" i="35" s="1"/>
  <c r="F248" i="35"/>
  <c r="F247" i="35" s="1"/>
  <c r="F246" i="35" s="1"/>
  <c r="F245" i="35" s="1"/>
  <c r="F243" i="35" s="1"/>
  <c r="F298" i="35"/>
  <c r="F292" i="35" s="1"/>
  <c r="F343" i="35"/>
  <c r="F15" i="35"/>
  <c r="G15" i="35" s="1"/>
  <c r="F28" i="35"/>
  <c r="F37" i="35"/>
  <c r="G37" i="35" s="1"/>
  <c r="F89" i="35"/>
  <c r="H89" i="35" s="1"/>
  <c r="F121" i="35"/>
  <c r="G121" i="35" s="1"/>
  <c r="F166" i="35"/>
  <c r="G166" i="35" s="1"/>
  <c r="F176" i="35"/>
  <c r="H176" i="35" s="1"/>
  <c r="F347" i="35"/>
  <c r="F369" i="35"/>
  <c r="F402" i="35"/>
  <c r="F130" i="35"/>
  <c r="H130" i="35" s="1"/>
  <c r="F157" i="35"/>
  <c r="H157" i="35" s="1"/>
  <c r="F205" i="35"/>
  <c r="G205" i="35" s="1"/>
  <c r="F237" i="35"/>
  <c r="H237" i="35" s="1"/>
  <c r="F305" i="35"/>
  <c r="F326" i="35"/>
  <c r="F359" i="35"/>
  <c r="F170" i="35"/>
  <c r="H170" i="35" s="1"/>
  <c r="F228" i="35"/>
  <c r="H228" i="35" s="1"/>
  <c r="F351" i="35"/>
  <c r="F373" i="35"/>
  <c r="F474" i="35"/>
  <c r="F473" i="35" s="1"/>
  <c r="F11" i="35"/>
  <c r="F20" i="35"/>
  <c r="G20" i="35" s="1"/>
  <c r="F63" i="35"/>
  <c r="H63" i="35" s="1"/>
  <c r="F144" i="35"/>
  <c r="G144" i="35" s="1"/>
  <c r="F209" i="35"/>
  <c r="G209" i="35" s="1"/>
  <c r="F308" i="35"/>
  <c r="F363" i="35"/>
  <c r="G28" i="35"/>
  <c r="G117" i="35"/>
  <c r="G216" i="35"/>
  <c r="D69" i="34"/>
  <c r="Q57" i="34"/>
  <c r="Q78" i="34" s="1"/>
  <c r="P57" i="34"/>
  <c r="P78" i="34" s="1"/>
  <c r="O57" i="34"/>
  <c r="O78" i="34" s="1"/>
  <c r="N57" i="34"/>
  <c r="N78" i="34" s="1"/>
  <c r="M57" i="34"/>
  <c r="M78" i="34" s="1"/>
  <c r="L57" i="34"/>
  <c r="L78" i="34" s="1"/>
  <c r="K57" i="34"/>
  <c r="K78" i="34" s="1"/>
  <c r="J57" i="34"/>
  <c r="J78" i="34" s="1"/>
  <c r="I57" i="34"/>
  <c r="I78" i="34" s="1"/>
  <c r="H57" i="34"/>
  <c r="H78" i="34" s="1"/>
  <c r="G57" i="34"/>
  <c r="G78" i="34" s="1"/>
  <c r="F57" i="34"/>
  <c r="F78" i="34" s="1"/>
  <c r="Q56" i="34"/>
  <c r="Q77" i="34" s="1"/>
  <c r="P56" i="34"/>
  <c r="P77" i="34" s="1"/>
  <c r="O56" i="34"/>
  <c r="O77" i="34" s="1"/>
  <c r="N56" i="34"/>
  <c r="N77" i="34" s="1"/>
  <c r="M56" i="34"/>
  <c r="L56" i="34"/>
  <c r="L77" i="34" s="1"/>
  <c r="K56" i="34"/>
  <c r="K77" i="34" s="1"/>
  <c r="J56" i="34"/>
  <c r="J77" i="34" s="1"/>
  <c r="I56" i="34"/>
  <c r="I77" i="34" s="1"/>
  <c r="H56" i="34"/>
  <c r="H77" i="34" s="1"/>
  <c r="G56" i="34"/>
  <c r="G77" i="34" s="1"/>
  <c r="F77" i="34"/>
  <c r="Q55" i="34"/>
  <c r="Q76" i="34" s="1"/>
  <c r="P55" i="34"/>
  <c r="P76" i="34" s="1"/>
  <c r="O55" i="34"/>
  <c r="O76" i="34" s="1"/>
  <c r="N55" i="34"/>
  <c r="N76" i="34" s="1"/>
  <c r="M55" i="34"/>
  <c r="M76" i="34" s="1"/>
  <c r="L55" i="34"/>
  <c r="L76" i="34" s="1"/>
  <c r="K55" i="34"/>
  <c r="K76" i="34" s="1"/>
  <c r="J55" i="34"/>
  <c r="J76" i="34" s="1"/>
  <c r="I55" i="34"/>
  <c r="I76" i="34" s="1"/>
  <c r="H55" i="34"/>
  <c r="H76" i="34" s="1"/>
  <c r="G55" i="34"/>
  <c r="F76" i="34"/>
  <c r="Q54" i="34"/>
  <c r="Q75" i="34" s="1"/>
  <c r="P54" i="34"/>
  <c r="P75" i="34" s="1"/>
  <c r="O54" i="34"/>
  <c r="O75" i="34" s="1"/>
  <c r="N54" i="34"/>
  <c r="N75" i="34" s="1"/>
  <c r="M54" i="34"/>
  <c r="M75" i="34" s="1"/>
  <c r="L54" i="34"/>
  <c r="L75" i="34" s="1"/>
  <c r="K54" i="34"/>
  <c r="K75" i="34" s="1"/>
  <c r="J54" i="34"/>
  <c r="J75" i="34" s="1"/>
  <c r="I54" i="34"/>
  <c r="I75" i="34" s="1"/>
  <c r="H54" i="34"/>
  <c r="H75" i="34" s="1"/>
  <c r="G54" i="34"/>
  <c r="G75" i="34" s="1"/>
  <c r="F54" i="34"/>
  <c r="F75" i="34" s="1"/>
  <c r="Q53" i="34"/>
  <c r="Q74" i="34" s="1"/>
  <c r="P53" i="34"/>
  <c r="P74" i="34" s="1"/>
  <c r="O53" i="34"/>
  <c r="O74" i="34" s="1"/>
  <c r="N53" i="34"/>
  <c r="N74" i="34" s="1"/>
  <c r="M53" i="34"/>
  <c r="M74" i="34" s="1"/>
  <c r="L53" i="34"/>
  <c r="L74" i="34" s="1"/>
  <c r="K53" i="34"/>
  <c r="K74" i="34" s="1"/>
  <c r="J53" i="34"/>
  <c r="J74" i="34" s="1"/>
  <c r="I53" i="34"/>
  <c r="I74" i="34" s="1"/>
  <c r="H53" i="34"/>
  <c r="H74" i="34" s="1"/>
  <c r="G53" i="34"/>
  <c r="G74" i="34" s="1"/>
  <c r="D58" i="34"/>
  <c r="E47" i="34"/>
  <c r="E45" i="34"/>
  <c r="E42" i="34"/>
  <c r="E40" i="34"/>
  <c r="E36" i="34"/>
  <c r="E34" i="34"/>
  <c r="C16" i="34"/>
  <c r="G11" i="35" l="1"/>
  <c r="F10" i="35"/>
  <c r="F9" i="35" s="1"/>
  <c r="F93" i="35"/>
  <c r="F49" i="35"/>
  <c r="H2" i="35"/>
  <c r="G50" i="35"/>
  <c r="F321" i="35"/>
  <c r="F116" i="35"/>
  <c r="F115" i="35" s="1"/>
  <c r="G94" i="35"/>
  <c r="F304" i="35"/>
  <c r="F338" i="35"/>
  <c r="F337" i="35" s="1"/>
  <c r="F27" i="35"/>
  <c r="F204" i="35"/>
  <c r="F161" i="35"/>
  <c r="F443" i="35"/>
  <c r="F71" i="35"/>
  <c r="F180" i="35"/>
  <c r="F232" i="35"/>
  <c r="F139" i="35"/>
  <c r="F74" i="34"/>
  <c r="E74" i="34" s="1"/>
  <c r="E53" i="34"/>
  <c r="E78" i="34"/>
  <c r="E55" i="34"/>
  <c r="E56" i="34"/>
  <c r="E69" i="34"/>
  <c r="D70" i="34" s="1"/>
  <c r="G76" i="34"/>
  <c r="E76" i="34" s="1"/>
  <c r="E48" i="34"/>
  <c r="D49" i="34" s="1"/>
  <c r="E75" i="34"/>
  <c r="E57" i="34"/>
  <c r="E54" i="34"/>
  <c r="M77" i="34"/>
  <c r="E77" i="34" s="1"/>
  <c r="F138" i="35" l="1"/>
  <c r="F291" i="35"/>
  <c r="F290" i="35" s="1"/>
  <c r="F203" i="35"/>
  <c r="F202" i="35" s="1"/>
  <c r="F26" i="35"/>
  <c r="F8" i="35" s="1"/>
  <c r="F336" i="35"/>
  <c r="F288" i="35" s="1"/>
  <c r="F287" i="35" s="1"/>
  <c r="F286" i="35" s="1"/>
  <c r="E79" i="34"/>
  <c r="E58" i="34"/>
  <c r="D59" i="34" s="1"/>
  <c r="G2" i="23"/>
  <c r="F17" i="23"/>
  <c r="F16" i="23"/>
  <c r="F15" i="23"/>
  <c r="F13" i="23"/>
  <c r="F12" i="23"/>
  <c r="F11" i="23"/>
  <c r="F10" i="23"/>
  <c r="F9" i="23"/>
  <c r="F8" i="23"/>
  <c r="F7" i="23"/>
  <c r="F6" i="23"/>
  <c r="F5" i="23"/>
  <c r="F4" i="23"/>
  <c r="M10" i="31"/>
  <c r="I209" i="33"/>
  <c r="I208" i="33"/>
  <c r="I206" i="33" s="1"/>
  <c r="I207" i="33"/>
  <c r="I205" i="33"/>
  <c r="I204" i="33"/>
  <c r="I203" i="33"/>
  <c r="I202" i="33"/>
  <c r="I201" i="33"/>
  <c r="I200" i="33"/>
  <c r="I198" i="33" s="1"/>
  <c r="I199" i="33"/>
  <c r="I197" i="33"/>
  <c r="I196" i="33"/>
  <c r="I195" i="33"/>
  <c r="I194" i="33"/>
  <c r="I193" i="33" s="1"/>
  <c r="I192" i="33"/>
  <c r="I191" i="33"/>
  <c r="I190" i="33"/>
  <c r="I189" i="33" s="1"/>
  <c r="I188" i="33" s="1"/>
  <c r="I187" i="33"/>
  <c r="I186" i="33"/>
  <c r="I185" i="33"/>
  <c r="I184" i="33"/>
  <c r="I183" i="33"/>
  <c r="I182" i="33"/>
  <c r="I178" i="33" s="1"/>
  <c r="I181" i="33"/>
  <c r="I180" i="33"/>
  <c r="I179" i="33"/>
  <c r="I177" i="33"/>
  <c r="I176" i="33"/>
  <c r="I175" i="33" s="1"/>
  <c r="I174" i="33"/>
  <c r="I173" i="33"/>
  <c r="I172" i="33"/>
  <c r="I171" i="33" s="1"/>
  <c r="I170" i="33" s="1"/>
  <c r="I169" i="33"/>
  <c r="I168" i="33"/>
  <c r="I166" i="33" s="1"/>
  <c r="I167" i="33"/>
  <c r="I165" i="33"/>
  <c r="I164" i="33"/>
  <c r="I163" i="33"/>
  <c r="I162" i="33"/>
  <c r="I161" i="33"/>
  <c r="I160" i="33"/>
  <c r="I159" i="33"/>
  <c r="I158" i="33"/>
  <c r="I157" i="33"/>
  <c r="I156" i="33"/>
  <c r="I155" i="33"/>
  <c r="I154" i="33"/>
  <c r="I153" i="33" s="1"/>
  <c r="I152" i="33"/>
  <c r="I151" i="33"/>
  <c r="I150" i="33"/>
  <c r="I149" i="33" s="1"/>
  <c r="I148" i="33" s="1"/>
  <c r="I147" i="33" s="1"/>
  <c r="I146" i="33"/>
  <c r="I145" i="33"/>
  <c r="I144" i="33"/>
  <c r="I143" i="33" s="1"/>
  <c r="I142" i="33"/>
  <c r="I141" i="33"/>
  <c r="I139" i="33" s="1"/>
  <c r="I140" i="33"/>
  <c r="I138" i="33"/>
  <c r="I137" i="33"/>
  <c r="I136" i="33"/>
  <c r="I135" i="33" s="1"/>
  <c r="I134" i="33"/>
  <c r="I130" i="33" s="1"/>
  <c r="I133" i="33"/>
  <c r="I132" i="33"/>
  <c r="I131" i="33"/>
  <c r="I129" i="33"/>
  <c r="I128" i="33"/>
  <c r="I126" i="33" s="1"/>
  <c r="I127" i="33"/>
  <c r="I123" i="33"/>
  <c r="I122" i="33"/>
  <c r="I121" i="33"/>
  <c r="I120" i="33"/>
  <c r="I119" i="33"/>
  <c r="I118" i="33"/>
  <c r="I117" i="33"/>
  <c r="I116" i="33" s="1"/>
  <c r="I115" i="33"/>
  <c r="I114" i="33"/>
  <c r="I113" i="33"/>
  <c r="I112" i="33"/>
  <c r="I111" i="33"/>
  <c r="I110" i="33"/>
  <c r="I109" i="33"/>
  <c r="I108" i="33"/>
  <c r="I107" i="33" s="1"/>
  <c r="I106" i="33"/>
  <c r="I105" i="33"/>
  <c r="I104" i="33"/>
  <c r="I103" i="33" s="1"/>
  <c r="I102" i="33" s="1"/>
  <c r="I101" i="33"/>
  <c r="I100" i="33"/>
  <c r="I99" i="33"/>
  <c r="I98" i="33"/>
  <c r="I97" i="33"/>
  <c r="I96" i="33"/>
  <c r="I95" i="33"/>
  <c r="I94" i="33"/>
  <c r="I93" i="33"/>
  <c r="I92" i="33"/>
  <c r="I91" i="33"/>
  <c r="I90" i="33"/>
  <c r="I89" i="33"/>
  <c r="I88" i="33"/>
  <c r="I87" i="33"/>
  <c r="I86" i="33"/>
  <c r="I85" i="33" s="1"/>
  <c r="I84" i="33"/>
  <c r="I83" i="33"/>
  <c r="I82" i="33"/>
  <c r="I81" i="33" s="1"/>
  <c r="I79" i="33"/>
  <c r="I78" i="33"/>
  <c r="I77" i="33"/>
  <c r="I76" i="33" s="1"/>
  <c r="I75" i="33"/>
  <c r="I74" i="33"/>
  <c r="I73" i="33"/>
  <c r="I72" i="33"/>
  <c r="I71" i="33"/>
  <c r="I70" i="33"/>
  <c r="I68" i="33" s="1"/>
  <c r="I69" i="33"/>
  <c r="I67" i="33"/>
  <c r="I66" i="33"/>
  <c r="I65" i="33"/>
  <c r="I64" i="33"/>
  <c r="I63" i="33" s="1"/>
  <c r="I62" i="33"/>
  <c r="I61" i="33"/>
  <c r="I60" i="33"/>
  <c r="I59" i="33" s="1"/>
  <c r="I57" i="33"/>
  <c r="I56" i="33"/>
  <c r="I55" i="33"/>
  <c r="I54" i="33"/>
  <c r="I53" i="33"/>
  <c r="I52" i="33"/>
  <c r="I51" i="33"/>
  <c r="I50" i="33"/>
  <c r="I49" i="33"/>
  <c r="I48" i="33"/>
  <c r="I47" i="33"/>
  <c r="I46" i="33"/>
  <c r="I45" i="33"/>
  <c r="I44" i="33"/>
  <c r="I43" i="33"/>
  <c r="I42" i="33"/>
  <c r="I41" i="33" s="1"/>
  <c r="I40" i="33"/>
  <c r="I39" i="33"/>
  <c r="I38" i="33"/>
  <c r="I37" i="33" s="1"/>
  <c r="I34" i="33"/>
  <c r="I33" i="33"/>
  <c r="I32" i="33"/>
  <c r="I31" i="33"/>
  <c r="I30" i="33"/>
  <c r="I29" i="33" s="1"/>
  <c r="I28" i="33"/>
  <c r="I27" i="33"/>
  <c r="I26" i="33"/>
  <c r="I25" i="33"/>
  <c r="I24" i="33"/>
  <c r="H23" i="33"/>
  <c r="I23" i="33" s="1"/>
  <c r="I22" i="33"/>
  <c r="I21" i="33"/>
  <c r="I507" i="31"/>
  <c r="I500" i="31"/>
  <c r="I478" i="31"/>
  <c r="M83" i="31"/>
  <c r="I156" i="16"/>
  <c r="I474" i="31"/>
  <c r="I372" i="31"/>
  <c r="I355" i="31"/>
  <c r="I338" i="31"/>
  <c r="I326" i="31"/>
  <c r="I281" i="31"/>
  <c r="I266" i="31"/>
  <c r="I234" i="31"/>
  <c r="I210" i="31"/>
  <c r="I169" i="31"/>
  <c r="I124" i="31"/>
  <c r="I101" i="31"/>
  <c r="I57" i="31"/>
  <c r="I35" i="31"/>
  <c r="M547" i="31"/>
  <c r="M546" i="31"/>
  <c r="M545" i="31"/>
  <c r="M544" i="31"/>
  <c r="M543" i="31"/>
  <c r="M542" i="31"/>
  <c r="M541" i="31"/>
  <c r="M539" i="31" s="1"/>
  <c r="M538" i="31" s="1"/>
  <c r="M537" i="31" s="1"/>
  <c r="M536" i="31" s="1"/>
  <c r="M534" i="31" s="1"/>
  <c r="M540" i="31"/>
  <c r="M533" i="31"/>
  <c r="M532" i="31"/>
  <c r="M531" i="31" s="1"/>
  <c r="M530" i="31"/>
  <c r="M529" i="31" s="1"/>
  <c r="M528" i="31"/>
  <c r="M527" i="31"/>
  <c r="M525" i="31" s="1"/>
  <c r="M526" i="31"/>
  <c r="M521" i="31"/>
  <c r="M520" i="31"/>
  <c r="M519" i="31"/>
  <c r="M518" i="31" s="1"/>
  <c r="M517" i="31"/>
  <c r="M516" i="31"/>
  <c r="M515" i="31"/>
  <c r="M514" i="31"/>
  <c r="M511" i="31"/>
  <c r="M510" i="31"/>
  <c r="M509" i="31"/>
  <c r="M508" i="31" s="1"/>
  <c r="M507" i="31" s="1"/>
  <c r="M506" i="31"/>
  <c r="M505" i="31" s="1"/>
  <c r="M504" i="31"/>
  <c r="M503" i="31" s="1"/>
  <c r="M502" i="31"/>
  <c r="M501" i="31"/>
  <c r="M499" i="31"/>
  <c r="M498" i="31" s="1"/>
  <c r="M497" i="31"/>
  <c r="M496" i="31"/>
  <c r="M495" i="31"/>
  <c r="M494" i="31"/>
  <c r="M493" i="31"/>
  <c r="M492" i="31"/>
  <c r="M491" i="31"/>
  <c r="M490" i="31"/>
  <c r="M489" i="31"/>
  <c r="M488" i="31"/>
  <c r="M487" i="31"/>
  <c r="M486" i="31"/>
  <c r="M485" i="31"/>
  <c r="M484" i="31" s="1"/>
  <c r="M483" i="31"/>
  <c r="M482" i="31"/>
  <c r="L481" i="31"/>
  <c r="M481" i="31" s="1"/>
  <c r="M479" i="31" s="1"/>
  <c r="M480" i="31"/>
  <c r="M476" i="31"/>
  <c r="M475" i="31" s="1"/>
  <c r="M474" i="31" s="1"/>
  <c r="M473" i="31"/>
  <c r="M472" i="31" s="1"/>
  <c r="M471" i="31"/>
  <c r="M470" i="31"/>
  <c r="M469" i="31"/>
  <c r="M468" i="31"/>
  <c r="M467" i="31" s="1"/>
  <c r="M466" i="31"/>
  <c r="M465" i="31"/>
  <c r="M464" i="31"/>
  <c r="M463" i="31"/>
  <c r="M462" i="31"/>
  <c r="M460" i="31" s="1"/>
  <c r="M461" i="31"/>
  <c r="M459" i="31"/>
  <c r="M458" i="31" s="1"/>
  <c r="M457" i="31"/>
  <c r="M456" i="31" s="1"/>
  <c r="M455" i="31"/>
  <c r="M454" i="31"/>
  <c r="M453" i="31"/>
  <c r="M452" i="31"/>
  <c r="M451" i="31"/>
  <c r="M450" i="31" s="1"/>
  <c r="M449" i="31"/>
  <c r="M448" i="31" s="1"/>
  <c r="M447" i="31"/>
  <c r="M446" i="31"/>
  <c r="M445" i="31"/>
  <c r="M444" i="31"/>
  <c r="M443" i="31"/>
  <c r="M442" i="31"/>
  <c r="M441" i="31"/>
  <c r="M440" i="31"/>
  <c r="M439" i="31"/>
  <c r="M438" i="31"/>
  <c r="M436" i="31" s="1"/>
  <c r="M437" i="31"/>
  <c r="M435" i="31"/>
  <c r="M434" i="31"/>
  <c r="M433" i="31"/>
  <c r="M432" i="31"/>
  <c r="M431" i="31"/>
  <c r="M430" i="31"/>
  <c r="M429" i="31"/>
  <c r="M428" i="31"/>
  <c r="M427" i="31"/>
  <c r="M426" i="31"/>
  <c r="M425" i="31"/>
  <c r="M424" i="31"/>
  <c r="M423" i="31"/>
  <c r="M422" i="31"/>
  <c r="M421" i="31"/>
  <c r="M420" i="31"/>
  <c r="M419" i="31"/>
  <c r="M418" i="31"/>
  <c r="M417" i="31"/>
  <c r="M416" i="31"/>
  <c r="M415" i="31"/>
  <c r="M414" i="31"/>
  <c r="M413" i="31"/>
  <c r="M412" i="31"/>
  <c r="M411" i="31" s="1"/>
  <c r="M410" i="31"/>
  <c r="M409" i="31"/>
  <c r="M408" i="31"/>
  <c r="M407" i="31"/>
  <c r="M406" i="31"/>
  <c r="M405" i="31"/>
  <c r="M404" i="31"/>
  <c r="M403" i="31" s="1"/>
  <c r="M402" i="31"/>
  <c r="M401" i="31"/>
  <c r="M400" i="31"/>
  <c r="M399" i="31"/>
  <c r="M398" i="31"/>
  <c r="M397" i="31" s="1"/>
  <c r="M396" i="31"/>
  <c r="M393" i="31" s="1"/>
  <c r="M395" i="31"/>
  <c r="M394" i="31"/>
  <c r="M392" i="31"/>
  <c r="M391" i="31"/>
  <c r="M390" i="31"/>
  <c r="M389" i="31" s="1"/>
  <c r="M388" i="31"/>
  <c r="M385" i="31" s="1"/>
  <c r="M387" i="31"/>
  <c r="M386" i="31"/>
  <c r="M384" i="31"/>
  <c r="M383" i="31"/>
  <c r="M382" i="31"/>
  <c r="M381" i="31" s="1"/>
  <c r="M380" i="31"/>
  <c r="M377" i="31" s="1"/>
  <c r="M379" i="31"/>
  <c r="M378" i="31"/>
  <c r="M376" i="31"/>
  <c r="M375" i="31"/>
  <c r="M374" i="31"/>
  <c r="M373" i="31" s="1"/>
  <c r="M369" i="31"/>
  <c r="M368" i="31"/>
  <c r="M367" i="31"/>
  <c r="M366" i="31"/>
  <c r="M365" i="31"/>
  <c r="M364" i="31"/>
  <c r="M363" i="31" s="1"/>
  <c r="M362" i="31"/>
  <c r="M361" i="31"/>
  <c r="M360" i="31" s="1"/>
  <c r="L359" i="31"/>
  <c r="M359" i="31" s="1"/>
  <c r="M358" i="31"/>
  <c r="M357" i="31"/>
  <c r="M356" i="31" s="1"/>
  <c r="M355" i="31" s="1"/>
  <c r="M354" i="31"/>
  <c r="M353" i="31"/>
  <c r="M352" i="31"/>
  <c r="M351" i="31"/>
  <c r="M349" i="31" s="1"/>
  <c r="M350" i="31"/>
  <c r="M348" i="31"/>
  <c r="M347" i="31" s="1"/>
  <c r="M346" i="31"/>
  <c r="M345" i="31"/>
  <c r="M344" i="31"/>
  <c r="M343" i="31"/>
  <c r="M342" i="31" s="1"/>
  <c r="M341" i="31"/>
  <c r="M340" i="31"/>
  <c r="M339" i="31" s="1"/>
  <c r="M337" i="31"/>
  <c r="M336" i="31"/>
  <c r="M335" i="31"/>
  <c r="M334" i="31"/>
  <c r="M333" i="31"/>
  <c r="M332" i="31" s="1"/>
  <c r="M331" i="31"/>
  <c r="M330" i="31"/>
  <c r="M329" i="31"/>
  <c r="M328" i="31"/>
  <c r="M327" i="31"/>
  <c r="L319" i="31"/>
  <c r="M319" i="31" s="1"/>
  <c r="M318" i="31"/>
  <c r="M317" i="31"/>
  <c r="M316" i="31"/>
  <c r="M315" i="31"/>
  <c r="M314" i="31"/>
  <c r="M313" i="31"/>
  <c r="M312" i="31"/>
  <c r="M311" i="31"/>
  <c r="M310" i="31"/>
  <c r="M309" i="31"/>
  <c r="M308" i="31"/>
  <c r="M307" i="31"/>
  <c r="M306" i="31"/>
  <c r="M305" i="31"/>
  <c r="M304" i="31"/>
  <c r="M303" i="31"/>
  <c r="M302" i="31"/>
  <c r="M301" i="31"/>
  <c r="M300" i="31"/>
  <c r="M299" i="31"/>
  <c r="M298" i="31"/>
  <c r="M297" i="31"/>
  <c r="M296" i="31"/>
  <c r="M295" i="31"/>
  <c r="M294" i="31"/>
  <c r="M293" i="31"/>
  <c r="M292" i="31"/>
  <c r="M291" i="31"/>
  <c r="M290" i="31"/>
  <c r="M289" i="31"/>
  <c r="M288" i="31"/>
  <c r="M287" i="31"/>
  <c r="M282" i="31" s="1"/>
  <c r="M281" i="31" s="1"/>
  <c r="M280" i="31" s="1"/>
  <c r="M279" i="31" s="1"/>
  <c r="M277" i="31" s="1"/>
  <c r="M286" i="31"/>
  <c r="M285" i="31"/>
  <c r="M284" i="31"/>
  <c r="M283" i="31"/>
  <c r="M276" i="31"/>
  <c r="M275" i="31"/>
  <c r="M274" i="31"/>
  <c r="O274" i="31" s="1"/>
  <c r="M273" i="31"/>
  <c r="M272" i="31"/>
  <c r="M271" i="31" s="1"/>
  <c r="O271" i="31" s="1"/>
  <c r="M270" i="31"/>
  <c r="M269" i="31"/>
  <c r="M267" i="31" s="1"/>
  <c r="M268" i="31"/>
  <c r="M265" i="31"/>
  <c r="M262" i="31" s="1"/>
  <c r="O262" i="31" s="1"/>
  <c r="L265" i="31"/>
  <c r="M264" i="31"/>
  <c r="M263" i="31"/>
  <c r="M261" i="31"/>
  <c r="M260" i="31"/>
  <c r="M259" i="31"/>
  <c r="M257" i="31"/>
  <c r="M256" i="31"/>
  <c r="M254" i="31"/>
  <c r="M253" i="31"/>
  <c r="M252" i="31"/>
  <c r="M251" i="31"/>
  <c r="M250" i="31" s="1"/>
  <c r="N250" i="31" s="1"/>
  <c r="M249" i="31"/>
  <c r="L249" i="31"/>
  <c r="M248" i="31"/>
  <c r="M247" i="31"/>
  <c r="M244" i="31"/>
  <c r="M243" i="31"/>
  <c r="M242" i="31" s="1"/>
  <c r="O242" i="31" s="1"/>
  <c r="M241" i="31"/>
  <c r="M239" i="31" s="1"/>
  <c r="N239" i="31" s="1"/>
  <c r="M240" i="31"/>
  <c r="M238" i="31"/>
  <c r="M237" i="31"/>
  <c r="M236" i="31"/>
  <c r="M235" i="31"/>
  <c r="N235" i="31" s="1"/>
  <c r="M231" i="31"/>
  <c r="M230" i="31"/>
  <c r="M229" i="31"/>
  <c r="M228" i="31"/>
  <c r="O228" i="31" s="1"/>
  <c r="M227" i="31"/>
  <c r="M226" i="31"/>
  <c r="M225" i="31"/>
  <c r="M224" i="31"/>
  <c r="O224" i="31" s="1"/>
  <c r="M223" i="31"/>
  <c r="M222" i="31"/>
  <c r="M221" i="31"/>
  <c r="M220" i="31" s="1"/>
  <c r="N220" i="31" s="1"/>
  <c r="M219" i="31"/>
  <c r="M218" i="31"/>
  <c r="M217" i="31"/>
  <c r="M216" i="31"/>
  <c r="M215" i="31"/>
  <c r="N215" i="31" s="1"/>
  <c r="M214" i="31"/>
  <c r="M213" i="31"/>
  <c r="M212" i="31"/>
  <c r="M211" i="31"/>
  <c r="N211" i="31" s="1"/>
  <c r="M209" i="31"/>
  <c r="M208" i="31"/>
  <c r="M207" i="31"/>
  <c r="M205" i="31"/>
  <c r="M204" i="31"/>
  <c r="M203" i="31"/>
  <c r="M202" i="31"/>
  <c r="M201" i="31"/>
  <c r="M200" i="31" s="1"/>
  <c r="O200" i="31" s="1"/>
  <c r="M199" i="31"/>
  <c r="M198" i="31"/>
  <c r="M197" i="31"/>
  <c r="M195" i="31"/>
  <c r="M194" i="31"/>
  <c r="M193" i="31"/>
  <c r="M190" i="31"/>
  <c r="M189" i="31"/>
  <c r="M188" i="31"/>
  <c r="M187" i="31" s="1"/>
  <c r="O187" i="31" s="1"/>
  <c r="M186" i="31"/>
  <c r="M185" i="31"/>
  <c r="M184" i="31"/>
  <c r="M183" i="31" s="1"/>
  <c r="O183" i="31" s="1"/>
  <c r="M182" i="31"/>
  <c r="M181" i="31"/>
  <c r="M180" i="31"/>
  <c r="M179" i="31" s="1"/>
  <c r="N179" i="31" s="1"/>
  <c r="M178" i="31"/>
  <c r="M177" i="31"/>
  <c r="M176" i="31"/>
  <c r="M175" i="31"/>
  <c r="M174" i="31" s="1"/>
  <c r="N174" i="31" s="1"/>
  <c r="M173" i="31"/>
  <c r="M172" i="31"/>
  <c r="M171" i="31"/>
  <c r="M170" i="31" s="1"/>
  <c r="M167" i="31"/>
  <c r="M166" i="31"/>
  <c r="M165" i="31"/>
  <c r="M164" i="31"/>
  <c r="M163" i="31" s="1"/>
  <c r="O163" i="31" s="1"/>
  <c r="M162" i="31"/>
  <c r="M161" i="31"/>
  <c r="M160" i="31"/>
  <c r="M159" i="31"/>
  <c r="M157" i="31"/>
  <c r="M156" i="31"/>
  <c r="M155" i="31"/>
  <c r="M154" i="31"/>
  <c r="M152" i="31"/>
  <c r="M151" i="31"/>
  <c r="M150" i="31"/>
  <c r="M149" i="31"/>
  <c r="M148" i="31"/>
  <c r="M145" i="31"/>
  <c r="M144" i="31"/>
  <c r="M143" i="31"/>
  <c r="M142" i="31"/>
  <c r="O142" i="31" s="1"/>
  <c r="M141" i="31"/>
  <c r="M140" i="31"/>
  <c r="M139" i="31"/>
  <c r="M138" i="31"/>
  <c r="O138" i="31" s="1"/>
  <c r="M137" i="31"/>
  <c r="M136" i="31"/>
  <c r="M135" i="31"/>
  <c r="M134" i="31" s="1"/>
  <c r="N134" i="31" s="1"/>
  <c r="M133" i="31"/>
  <c r="M132" i="31"/>
  <c r="M131" i="31"/>
  <c r="M130" i="31"/>
  <c r="M129" i="31"/>
  <c r="N129" i="31" s="1"/>
  <c r="M128" i="31"/>
  <c r="M127" i="31"/>
  <c r="M126" i="31"/>
  <c r="M125" i="31"/>
  <c r="N125" i="31" s="1"/>
  <c r="M122" i="31"/>
  <c r="M121" i="31"/>
  <c r="M120" i="31"/>
  <c r="M119" i="31" s="1"/>
  <c r="O119" i="31" s="1"/>
  <c r="M118" i="31"/>
  <c r="M117" i="31"/>
  <c r="M116" i="31"/>
  <c r="M115" i="31" s="1"/>
  <c r="O115" i="31" s="1"/>
  <c r="M114" i="31"/>
  <c r="M113" i="31"/>
  <c r="M111" i="31" s="1"/>
  <c r="N111" i="31" s="1"/>
  <c r="M112" i="31"/>
  <c r="M110" i="31"/>
  <c r="M109" i="31"/>
  <c r="M108" i="31"/>
  <c r="M107" i="31"/>
  <c r="M106" i="31" s="1"/>
  <c r="N106" i="31" s="1"/>
  <c r="M105" i="31"/>
  <c r="M104" i="31"/>
  <c r="M103" i="31"/>
  <c r="M102" i="31" s="1"/>
  <c r="M100" i="31"/>
  <c r="M99" i="31"/>
  <c r="M98" i="31"/>
  <c r="M97" i="31" s="1"/>
  <c r="O97" i="31" s="1"/>
  <c r="M96" i="31"/>
  <c r="M95" i="31"/>
  <c r="M94" i="31"/>
  <c r="M92" i="31"/>
  <c r="M91" i="31"/>
  <c r="M90" i="31"/>
  <c r="M88" i="31"/>
  <c r="M87" i="31"/>
  <c r="M86" i="31"/>
  <c r="M85" i="31"/>
  <c r="M84" i="31" s="1"/>
  <c r="N84" i="31" s="1"/>
  <c r="M82" i="31"/>
  <c r="M81" i="31"/>
  <c r="M78" i="31"/>
  <c r="M77" i="31"/>
  <c r="M76" i="31"/>
  <c r="M75" i="31" s="1"/>
  <c r="O75" i="31" s="1"/>
  <c r="M74" i="31"/>
  <c r="M73" i="31"/>
  <c r="M72" i="31"/>
  <c r="M71" i="31" s="1"/>
  <c r="O71" i="31" s="1"/>
  <c r="M70" i="31"/>
  <c r="M69" i="31"/>
  <c r="M68" i="31"/>
  <c r="M67" i="31" s="1"/>
  <c r="N67" i="31" s="1"/>
  <c r="M66" i="31"/>
  <c r="M65" i="31"/>
  <c r="M64" i="31"/>
  <c r="M63" i="31"/>
  <c r="M62" i="31" s="1"/>
  <c r="N62" i="31" s="1"/>
  <c r="M61" i="31"/>
  <c r="M60" i="31"/>
  <c r="M59" i="31"/>
  <c r="M58" i="31" s="1"/>
  <c r="M56" i="31"/>
  <c r="M55" i="31"/>
  <c r="M54" i="31"/>
  <c r="M53" i="31"/>
  <c r="O53" i="31" s="1"/>
  <c r="M52" i="31"/>
  <c r="M51" i="31"/>
  <c r="M50" i="31"/>
  <c r="M49" i="31" s="1"/>
  <c r="O49" i="31" s="1"/>
  <c r="M48" i="31"/>
  <c r="M47" i="31"/>
  <c r="M46" i="31"/>
  <c r="M45" i="31" s="1"/>
  <c r="N45" i="31" s="1"/>
  <c r="M44" i="31"/>
  <c r="M40" i="31" s="1"/>
  <c r="N40" i="31" s="1"/>
  <c r="M43" i="31"/>
  <c r="M42" i="31"/>
  <c r="M41" i="31"/>
  <c r="M39" i="31"/>
  <c r="M38" i="31"/>
  <c r="M37" i="31"/>
  <c r="M36" i="31" s="1"/>
  <c r="M33" i="31"/>
  <c r="M32" i="31"/>
  <c r="M31" i="31"/>
  <c r="O31" i="31" s="1"/>
  <c r="M30" i="31"/>
  <c r="M29" i="31"/>
  <c r="M28" i="31"/>
  <c r="M27" i="31"/>
  <c r="M26" i="31"/>
  <c r="M25" i="31"/>
  <c r="M24" i="31"/>
  <c r="M22" i="31"/>
  <c r="M21" i="31"/>
  <c r="M20" i="31" s="1"/>
  <c r="N20" i="31" s="1"/>
  <c r="M19" i="31"/>
  <c r="M18" i="31"/>
  <c r="M17" i="31"/>
  <c r="M15" i="31" s="1"/>
  <c r="N15" i="31" s="1"/>
  <c r="M16" i="31"/>
  <c r="L14" i="31"/>
  <c r="M14" i="31" s="1"/>
  <c r="M13" i="31"/>
  <c r="M12" i="31"/>
  <c r="M11" i="31" s="1"/>
  <c r="H242" i="31"/>
  <c r="H53" i="31"/>
  <c r="G196" i="31"/>
  <c r="G134" i="31"/>
  <c r="F547" i="31"/>
  <c r="F546" i="31"/>
  <c r="F545" i="31"/>
  <c r="F544" i="31"/>
  <c r="F543" i="31"/>
  <c r="F542" i="31"/>
  <c r="F541" i="31"/>
  <c r="F540" i="31"/>
  <c r="F533" i="31"/>
  <c r="F532" i="31"/>
  <c r="F530" i="31"/>
  <c r="F529" i="31"/>
  <c r="F528" i="31"/>
  <c r="F527" i="31"/>
  <c r="F526" i="31"/>
  <c r="F521" i="31"/>
  <c r="F520" i="31"/>
  <c r="F519" i="31"/>
  <c r="F517" i="31"/>
  <c r="E516" i="31"/>
  <c r="F516" i="31" s="1"/>
  <c r="F515" i="31"/>
  <c r="F514" i="31"/>
  <c r="F511" i="31"/>
  <c r="F510" i="31"/>
  <c r="F509" i="31"/>
  <c r="F506" i="31"/>
  <c r="F505" i="31" s="1"/>
  <c r="F504" i="31"/>
  <c r="F503" i="31"/>
  <c r="F502" i="31"/>
  <c r="F501" i="31"/>
  <c r="F499" i="31"/>
  <c r="F498" i="31"/>
  <c r="F497" i="31"/>
  <c r="F496" i="31" s="1"/>
  <c r="F495" i="31"/>
  <c r="F494" i="31"/>
  <c r="F493" i="31"/>
  <c r="F492" i="31"/>
  <c r="F491" i="31"/>
  <c r="F490" i="31"/>
  <c r="F489" i="31"/>
  <c r="F488" i="31"/>
  <c r="F487" i="31"/>
  <c r="F486" i="31"/>
  <c r="F485" i="31"/>
  <c r="F483" i="31"/>
  <c r="F482" i="31"/>
  <c r="E481" i="31"/>
  <c r="F481" i="31" s="1"/>
  <c r="F480" i="31"/>
  <c r="F479" i="31" s="1"/>
  <c r="F476" i="31"/>
  <c r="F475" i="31"/>
  <c r="F474" i="31" s="1"/>
  <c r="F473" i="31"/>
  <c r="F472" i="31" s="1"/>
  <c r="F471" i="31"/>
  <c r="F470" i="31" s="1"/>
  <c r="F469" i="31"/>
  <c r="F468" i="31"/>
  <c r="F467" i="31" s="1"/>
  <c r="F466" i="31"/>
  <c r="F465" i="31"/>
  <c r="F464" i="31"/>
  <c r="F463" i="31"/>
  <c r="F462" i="31"/>
  <c r="F461" i="31"/>
  <c r="F459" i="31"/>
  <c r="F458" i="31" s="1"/>
  <c r="F457" i="31"/>
  <c r="F456" i="31"/>
  <c r="F455" i="31"/>
  <c r="F454" i="31" s="1"/>
  <c r="F453" i="31"/>
  <c r="F452" i="31" s="1"/>
  <c r="F451" i="31"/>
  <c r="F450" i="31" s="1"/>
  <c r="F449" i="31"/>
  <c r="F448" i="31"/>
  <c r="F447" i="31"/>
  <c r="F446" i="31"/>
  <c r="F445" i="31"/>
  <c r="F444" i="31"/>
  <c r="F443" i="31"/>
  <c r="F442" i="31"/>
  <c r="F441" i="31"/>
  <c r="F440" i="31"/>
  <c r="F439" i="31"/>
  <c r="F438" i="31"/>
  <c r="F437" i="31"/>
  <c r="F435" i="31"/>
  <c r="F434" i="31"/>
  <c r="F433" i="31"/>
  <c r="F432" i="31"/>
  <c r="F431" i="31"/>
  <c r="F430" i="31"/>
  <c r="F429" i="31"/>
  <c r="F428" i="31"/>
  <c r="F427" i="31"/>
  <c r="F426" i="31"/>
  <c r="F425" i="31"/>
  <c r="F424" i="31"/>
  <c r="F423" i="31"/>
  <c r="F422" i="31"/>
  <c r="F421" i="31"/>
  <c r="F420" i="31"/>
  <c r="F419" i="31"/>
  <c r="F418" i="31"/>
  <c r="F417" i="31"/>
  <c r="F416" i="31"/>
  <c r="F415" i="31"/>
  <c r="F414" i="31"/>
  <c r="F413" i="31"/>
  <c r="F412" i="31"/>
  <c r="F410" i="31"/>
  <c r="F409" i="31"/>
  <c r="F408" i="31"/>
  <c r="F406" i="31"/>
  <c r="F405" i="31"/>
  <c r="F403" i="31" s="1"/>
  <c r="F404" i="31"/>
  <c r="F402" i="31"/>
  <c r="F401" i="31" s="1"/>
  <c r="F400" i="31"/>
  <c r="F397" i="31" s="1"/>
  <c r="F399" i="31"/>
  <c r="F398" i="31"/>
  <c r="F396" i="31"/>
  <c r="F395" i="31"/>
  <c r="F394" i="31"/>
  <c r="F392" i="31"/>
  <c r="F391" i="31"/>
  <c r="F390" i="31"/>
  <c r="F388" i="31"/>
  <c r="F387" i="31"/>
  <c r="F386" i="31"/>
  <c r="F384" i="31"/>
  <c r="F383" i="31"/>
  <c r="F382" i="31"/>
  <c r="F380" i="31"/>
  <c r="F379" i="31"/>
  <c r="F377" i="31" s="1"/>
  <c r="F378" i="31"/>
  <c r="F376" i="31"/>
  <c r="F375" i="31"/>
  <c r="F374" i="31"/>
  <c r="F369" i="31"/>
  <c r="F368" i="31"/>
  <c r="F367" i="31" s="1"/>
  <c r="F366" i="31"/>
  <c r="F365" i="31"/>
  <c r="F363" i="31" s="1"/>
  <c r="F364" i="31"/>
  <c r="F362" i="31"/>
  <c r="F360" i="31" s="1"/>
  <c r="F361" i="31"/>
  <c r="E359" i="31"/>
  <c r="F359" i="31" s="1"/>
  <c r="F358" i="31"/>
  <c r="F357" i="31"/>
  <c r="F354" i="31"/>
  <c r="F353" i="31"/>
  <c r="F352" i="31"/>
  <c r="F351" i="31"/>
  <c r="F350" i="31"/>
  <c r="F349" i="31" s="1"/>
  <c r="F348" i="31"/>
  <c r="F347" i="31" s="1"/>
  <c r="F346" i="31"/>
  <c r="F345" i="31"/>
  <c r="F344" i="31"/>
  <c r="F343" i="31"/>
  <c r="F341" i="31"/>
  <c r="F340" i="31"/>
  <c r="F337" i="31"/>
  <c r="F336" i="31"/>
  <c r="F335" i="31" s="1"/>
  <c r="F334" i="31"/>
  <c r="F333" i="31"/>
  <c r="F332" i="31" s="1"/>
  <c r="F331" i="31"/>
  <c r="F330" i="31"/>
  <c r="F329" i="31"/>
  <c r="F328" i="31"/>
  <c r="F327" i="31" s="1"/>
  <c r="F319" i="31"/>
  <c r="E319" i="31"/>
  <c r="F318" i="31"/>
  <c r="F317" i="31"/>
  <c r="F316" i="31"/>
  <c r="F315" i="31"/>
  <c r="F314" i="31"/>
  <c r="F313" i="31"/>
  <c r="F312" i="31"/>
  <c r="F311" i="31"/>
  <c r="F310" i="31"/>
  <c r="F309" i="31"/>
  <c r="F308" i="31"/>
  <c r="F307" i="31"/>
  <c r="F306" i="31"/>
  <c r="F305" i="31"/>
  <c r="F304" i="31"/>
  <c r="F303" i="31"/>
  <c r="F302" i="31"/>
  <c r="F301" i="31"/>
  <c r="F300" i="31"/>
  <c r="F299" i="31"/>
  <c r="F298" i="31"/>
  <c r="F297" i="31"/>
  <c r="F296" i="31"/>
  <c r="F295" i="31"/>
  <c r="F294" i="31"/>
  <c r="F293" i="31"/>
  <c r="F292" i="31"/>
  <c r="F291" i="31"/>
  <c r="F290" i="31"/>
  <c r="F289" i="31"/>
  <c r="F288" i="31"/>
  <c r="F287" i="31"/>
  <c r="F286" i="31"/>
  <c r="F285" i="31"/>
  <c r="F284" i="31"/>
  <c r="F283" i="31"/>
  <c r="F276" i="31"/>
  <c r="F275" i="31"/>
  <c r="F274" i="31" s="1"/>
  <c r="H274" i="31" s="1"/>
  <c r="F273" i="31"/>
  <c r="F272" i="31"/>
  <c r="F271" i="31"/>
  <c r="H271" i="31" s="1"/>
  <c r="F270" i="31"/>
  <c r="F269" i="31"/>
  <c r="F268" i="31"/>
  <c r="F267" i="31" s="1"/>
  <c r="G267" i="31" s="1"/>
  <c r="E265" i="31"/>
  <c r="F265" i="31" s="1"/>
  <c r="F264" i="31"/>
  <c r="F263" i="31"/>
  <c r="F261" i="31"/>
  <c r="F260" i="31"/>
  <c r="F259" i="31"/>
  <c r="F257" i="31"/>
  <c r="F256" i="31"/>
  <c r="F254" i="31"/>
  <c r="F253" i="31"/>
  <c r="F252" i="31"/>
  <c r="F251" i="31"/>
  <c r="E249" i="31"/>
  <c r="F249" i="31" s="1"/>
  <c r="F248" i="31"/>
  <c r="F247" i="31"/>
  <c r="F244" i="31"/>
  <c r="F243" i="31"/>
  <c r="F242" i="31"/>
  <c r="F241" i="31"/>
  <c r="F240" i="31"/>
  <c r="F238" i="31"/>
  <c r="F237" i="31"/>
  <c r="F236" i="31"/>
  <c r="F231" i="31"/>
  <c r="F230" i="31"/>
  <c r="F229" i="31"/>
  <c r="F228" i="31" s="1"/>
  <c r="H228" i="31" s="1"/>
  <c r="F227" i="31"/>
  <c r="F226" i="31"/>
  <c r="F225" i="31"/>
  <c r="F223" i="31"/>
  <c r="F222" i="31"/>
  <c r="F221" i="31"/>
  <c r="F219" i="31"/>
  <c r="F218" i="31"/>
  <c r="F217" i="31"/>
  <c r="F216" i="31"/>
  <c r="F214" i="31"/>
  <c r="F213" i="31"/>
  <c r="F212" i="31"/>
  <c r="F209" i="31"/>
  <c r="F208" i="31"/>
  <c r="F207" i="31"/>
  <c r="F206" i="31" s="1"/>
  <c r="H206" i="31" s="1"/>
  <c r="F205" i="31"/>
  <c r="F204" i="31"/>
  <c r="F203" i="31"/>
  <c r="F202" i="31"/>
  <c r="F201" i="31"/>
  <c r="F200" i="31" s="1"/>
  <c r="H200" i="31" s="1"/>
  <c r="F199" i="31"/>
  <c r="F198" i="31"/>
  <c r="F197" i="31"/>
  <c r="F196" i="31" s="1"/>
  <c r="F195" i="31"/>
  <c r="F194" i="31"/>
  <c r="F193" i="31"/>
  <c r="F190" i="31"/>
  <c r="F189" i="31"/>
  <c r="F187" i="31" s="1"/>
  <c r="H187" i="31" s="1"/>
  <c r="F188" i="31"/>
  <c r="F186" i="31"/>
  <c r="F185" i="31"/>
  <c r="F183" i="31" s="1"/>
  <c r="H183" i="31" s="1"/>
  <c r="F184" i="31"/>
  <c r="F182" i="31"/>
  <c r="F181" i="31"/>
  <c r="F180" i="31"/>
  <c r="F178" i="31"/>
  <c r="F177" i="31"/>
  <c r="F176" i="31"/>
  <c r="F175" i="31"/>
  <c r="F173" i="31"/>
  <c r="F172" i="31"/>
  <c r="F170" i="31" s="1"/>
  <c r="G170" i="31" s="1"/>
  <c r="F171" i="31"/>
  <c r="F167" i="31"/>
  <c r="F166" i="31"/>
  <c r="F165" i="31"/>
  <c r="F164" i="31"/>
  <c r="F162" i="31"/>
  <c r="F161" i="31"/>
  <c r="F160" i="31"/>
  <c r="F159" i="31"/>
  <c r="F157" i="31"/>
  <c r="F156" i="31"/>
  <c r="F155" i="31"/>
  <c r="F154" i="31"/>
  <c r="F153" i="31" s="1"/>
  <c r="G153" i="31" s="1"/>
  <c r="F152" i="31"/>
  <c r="F151" i="31"/>
  <c r="F150" i="31"/>
  <c r="F149" i="31"/>
  <c r="F147" i="31" s="1"/>
  <c r="G147" i="31" s="1"/>
  <c r="F148" i="31"/>
  <c r="F145" i="31"/>
  <c r="F144" i="31"/>
  <c r="F143" i="31"/>
  <c r="F141" i="31"/>
  <c r="F140" i="31"/>
  <c r="F139" i="31"/>
  <c r="F138" i="31"/>
  <c r="H138" i="31" s="1"/>
  <c r="F137" i="31"/>
  <c r="F136" i="31"/>
  <c r="F135" i="31"/>
  <c r="F134" i="31" s="1"/>
  <c r="F133" i="31"/>
  <c r="F132" i="31"/>
  <c r="F131" i="31"/>
  <c r="F130" i="31"/>
  <c r="F129" i="31"/>
  <c r="G129" i="31" s="1"/>
  <c r="F128" i="31"/>
  <c r="F127" i="31"/>
  <c r="F126" i="31"/>
  <c r="F125" i="31" s="1"/>
  <c r="F122" i="31"/>
  <c r="F121" i="31"/>
  <c r="F120" i="31"/>
  <c r="F118" i="31"/>
  <c r="F117" i="31"/>
  <c r="F116" i="31"/>
  <c r="F114" i="31"/>
  <c r="F113" i="31"/>
  <c r="F112" i="31"/>
  <c r="F110" i="31"/>
  <c r="F109" i="31"/>
  <c r="F108" i="31"/>
  <c r="F106" i="31" s="1"/>
  <c r="G106" i="31" s="1"/>
  <c r="F107" i="31"/>
  <c r="F105" i="31"/>
  <c r="F104" i="31"/>
  <c r="F103" i="31"/>
  <c r="F102" i="31" s="1"/>
  <c r="G102" i="31" s="1"/>
  <c r="F100" i="31"/>
  <c r="F99" i="31"/>
  <c r="F98" i="31"/>
  <c r="F97" i="31" s="1"/>
  <c r="H97" i="31" s="1"/>
  <c r="F96" i="31"/>
  <c r="F95" i="31"/>
  <c r="F94" i="31"/>
  <c r="F93" i="31"/>
  <c r="H93" i="31" s="1"/>
  <c r="F92" i="31"/>
  <c r="F91" i="31"/>
  <c r="F90" i="31"/>
  <c r="F89" i="31" s="1"/>
  <c r="G89" i="31" s="1"/>
  <c r="F88" i="31"/>
  <c r="F87" i="31"/>
  <c r="F86" i="31"/>
  <c r="F85" i="31"/>
  <c r="F84" i="31" s="1"/>
  <c r="G84" i="31" s="1"/>
  <c r="F83" i="31"/>
  <c r="F82" i="31"/>
  <c r="F81" i="31"/>
  <c r="F80" i="31" s="1"/>
  <c r="F78" i="31"/>
  <c r="F77" i="31"/>
  <c r="F76" i="31"/>
  <c r="F74" i="31"/>
  <c r="F73" i="31"/>
  <c r="F71" i="31" s="1"/>
  <c r="H71" i="31" s="1"/>
  <c r="F72" i="31"/>
  <c r="F70" i="31"/>
  <c r="F69" i="31"/>
  <c r="F67" i="31" s="1"/>
  <c r="G67" i="31" s="1"/>
  <c r="F68" i="31"/>
  <c r="F66" i="31"/>
  <c r="F65" i="31"/>
  <c r="F64" i="31"/>
  <c r="F63" i="31"/>
  <c r="F62" i="31" s="1"/>
  <c r="G62" i="31" s="1"/>
  <c r="F61" i="31"/>
  <c r="F60" i="31"/>
  <c r="F59" i="31"/>
  <c r="F58" i="31" s="1"/>
  <c r="G58" i="31" s="1"/>
  <c r="F56" i="31"/>
  <c r="F55" i="31"/>
  <c r="F53" i="31" s="1"/>
  <c r="F54" i="31"/>
  <c r="F52" i="31"/>
  <c r="F51" i="31"/>
  <c r="F50" i="31"/>
  <c r="F49" i="31"/>
  <c r="H49" i="31" s="1"/>
  <c r="F48" i="31"/>
  <c r="F47" i="31"/>
  <c r="F46" i="31"/>
  <c r="F45" i="31" s="1"/>
  <c r="G45" i="31" s="1"/>
  <c r="F44" i="31"/>
  <c r="F43" i="31"/>
  <c r="F42" i="31"/>
  <c r="F41" i="31"/>
  <c r="F40" i="31" s="1"/>
  <c r="G40" i="31" s="1"/>
  <c r="F39" i="31"/>
  <c r="F38" i="31"/>
  <c r="F37" i="31"/>
  <c r="F36" i="31" s="1"/>
  <c r="G36" i="31" s="1"/>
  <c r="F33" i="31"/>
  <c r="F32" i="31"/>
  <c r="F30" i="31"/>
  <c r="F29" i="31"/>
  <c r="F28" i="31"/>
  <c r="F27" i="31"/>
  <c r="F26" i="31"/>
  <c r="F25" i="31"/>
  <c r="F24" i="31"/>
  <c r="F22" i="31"/>
  <c r="F21" i="31"/>
  <c r="F19" i="31"/>
  <c r="F18" i="31"/>
  <c r="F17" i="31"/>
  <c r="F16" i="31"/>
  <c r="E14" i="31"/>
  <c r="F14" i="31" s="1"/>
  <c r="F13" i="31"/>
  <c r="F12" i="31"/>
  <c r="F7" i="35" l="1"/>
  <c r="G2" i="35" s="1"/>
  <c r="G3" i="35" s="1"/>
  <c r="I125" i="33"/>
  <c r="I124" i="33" s="1"/>
  <c r="I58" i="33"/>
  <c r="I20" i="33"/>
  <c r="I19" i="33" s="1"/>
  <c r="I18" i="33" s="1"/>
  <c r="I80" i="33"/>
  <c r="I36" i="33"/>
  <c r="M513" i="31"/>
  <c r="M512" i="31" s="1"/>
  <c r="I512" i="31" s="1"/>
  <c r="H2" i="31" s="1"/>
  <c r="H3" i="31" s="1"/>
  <c r="M93" i="31"/>
  <c r="O93" i="31" s="1"/>
  <c r="M89" i="31"/>
  <c r="N89" i="31" s="1"/>
  <c r="M80" i="31"/>
  <c r="N80" i="31" s="1"/>
  <c r="M258" i="31"/>
  <c r="O258" i="31" s="1"/>
  <c r="M255" i="31"/>
  <c r="N255" i="31" s="1"/>
  <c r="M246" i="31"/>
  <c r="M206" i="31"/>
  <c r="O206" i="31" s="1"/>
  <c r="M196" i="31"/>
  <c r="N196" i="31" s="1"/>
  <c r="M192" i="31"/>
  <c r="N192" i="31" s="1"/>
  <c r="M23" i="31"/>
  <c r="O23" i="31" s="1"/>
  <c r="M158" i="31"/>
  <c r="N158" i="31" s="1"/>
  <c r="M153" i="31"/>
  <c r="N153" i="31" s="1"/>
  <c r="M147" i="31"/>
  <c r="N147" i="31" s="1"/>
  <c r="N170" i="31"/>
  <c r="M169" i="31"/>
  <c r="M326" i="31"/>
  <c r="M325" i="31" s="1"/>
  <c r="M324" i="31" s="1"/>
  <c r="M500" i="31"/>
  <c r="M524" i="31"/>
  <c r="M523" i="31" s="1"/>
  <c r="M522" i="31" s="1"/>
  <c r="M372" i="31"/>
  <c r="M371" i="31" s="1"/>
  <c r="N11" i="31"/>
  <c r="M478" i="31"/>
  <c r="F124" i="31"/>
  <c r="G125" i="31"/>
  <c r="M35" i="31"/>
  <c r="N36" i="31"/>
  <c r="M338" i="31"/>
  <c r="M101" i="31"/>
  <c r="N102" i="31"/>
  <c r="M57" i="31"/>
  <c r="N58" i="31"/>
  <c r="N267" i="31"/>
  <c r="M266" i="31"/>
  <c r="F15" i="31"/>
  <c r="G15" i="31" s="1"/>
  <c r="F115" i="31"/>
  <c r="H115" i="31" s="1"/>
  <c r="F220" i="31"/>
  <c r="G220" i="31" s="1"/>
  <c r="F255" i="31"/>
  <c r="G255" i="31" s="1"/>
  <c r="F339" i="31"/>
  <c r="F381" i="31"/>
  <c r="F393" i="31"/>
  <c r="F531" i="31"/>
  <c r="M234" i="31"/>
  <c r="F158" i="31"/>
  <c r="G158" i="31" s="1"/>
  <c r="F211" i="31"/>
  <c r="G211" i="31" s="1"/>
  <c r="F235" i="31"/>
  <c r="G235" i="31" s="1"/>
  <c r="F282" i="31"/>
  <c r="F281" i="31" s="1"/>
  <c r="F280" i="31" s="1"/>
  <c r="F279" i="31" s="1"/>
  <c r="F277" i="31" s="1"/>
  <c r="F373" i="31"/>
  <c r="F385" i="31"/>
  <c r="F411" i="31"/>
  <c r="F460" i="31"/>
  <c r="F518" i="31"/>
  <c r="F79" i="31"/>
  <c r="F20" i="31"/>
  <c r="G20" i="31" s="1"/>
  <c r="F119" i="31"/>
  <c r="H119" i="31" s="1"/>
  <c r="F179" i="31"/>
  <c r="G179" i="31" s="1"/>
  <c r="F192" i="31"/>
  <c r="F224" i="31"/>
  <c r="H224" i="31" s="1"/>
  <c r="F258" i="31"/>
  <c r="H258" i="31" s="1"/>
  <c r="F342" i="31"/>
  <c r="F338" i="31" s="1"/>
  <c r="F325" i="31" s="1"/>
  <c r="F324" i="31" s="1"/>
  <c r="F407" i="31"/>
  <c r="F508" i="31"/>
  <c r="F507" i="31" s="1"/>
  <c r="F525" i="31"/>
  <c r="M124" i="31"/>
  <c r="M210" i="31"/>
  <c r="G80" i="31"/>
  <c r="F31" i="31"/>
  <c r="H31" i="31" s="1"/>
  <c r="F111" i="31"/>
  <c r="G111" i="31" s="1"/>
  <c r="F142" i="31"/>
  <c r="H142" i="31" s="1"/>
  <c r="F215" i="31"/>
  <c r="G215" i="31" s="1"/>
  <c r="F239" i="31"/>
  <c r="G239" i="31" s="1"/>
  <c r="F250" i="31"/>
  <c r="G250" i="31" s="1"/>
  <c r="F11" i="31"/>
  <c r="G11" i="31" s="1"/>
  <c r="F23" i="31"/>
  <c r="H23" i="31" s="1"/>
  <c r="F174" i="31"/>
  <c r="G174" i="31" s="1"/>
  <c r="F356" i="31"/>
  <c r="F355" i="31" s="1"/>
  <c r="F389" i="31"/>
  <c r="F436" i="31"/>
  <c r="F539" i="31"/>
  <c r="F538" i="31" s="1"/>
  <c r="F537" i="31" s="1"/>
  <c r="F536" i="31" s="1"/>
  <c r="F534" i="31" s="1"/>
  <c r="F75" i="31"/>
  <c r="H75" i="31" s="1"/>
  <c r="F163" i="31"/>
  <c r="H163" i="31" s="1"/>
  <c r="F326" i="31"/>
  <c r="F484" i="31"/>
  <c r="F478" i="31" s="1"/>
  <c r="F246" i="31"/>
  <c r="G246" i="31" s="1"/>
  <c r="F234" i="31"/>
  <c r="F372" i="31"/>
  <c r="F371" i="31" s="1"/>
  <c r="F524" i="31"/>
  <c r="F523" i="31" s="1"/>
  <c r="F522" i="31" s="1"/>
  <c r="F513" i="31"/>
  <c r="F266" i="31"/>
  <c r="F35" i="31"/>
  <c r="F169" i="31"/>
  <c r="F262" i="31"/>
  <c r="H262" i="31" s="1"/>
  <c r="F500" i="31"/>
  <c r="F6" i="35" l="1"/>
  <c r="F5" i="35" s="1"/>
  <c r="F2" i="35" s="1"/>
  <c r="H3" i="35"/>
  <c r="I35" i="33"/>
  <c r="I17" i="33" s="1"/>
  <c r="G3" i="31"/>
  <c r="M79" i="31"/>
  <c r="I79" i="31" s="1"/>
  <c r="M245" i="31"/>
  <c r="I245" i="31" s="1"/>
  <c r="N246" i="31"/>
  <c r="O2" i="31"/>
  <c r="Q2" i="31" s="1"/>
  <c r="M191" i="31"/>
  <c r="I191" i="31" s="1"/>
  <c r="M9" i="31"/>
  <c r="I10" i="31"/>
  <c r="M146" i="31"/>
  <c r="I146" i="31" s="1"/>
  <c r="F168" i="31"/>
  <c r="F210" i="31"/>
  <c r="F191" i="31"/>
  <c r="G192" i="31"/>
  <c r="M477" i="31"/>
  <c r="M370" i="31" s="1"/>
  <c r="M322" i="31" s="1"/>
  <c r="M321" i="31" s="1"/>
  <c r="M320" i="31" s="1"/>
  <c r="F512" i="31"/>
  <c r="F10" i="31"/>
  <c r="F9" i="31" s="1"/>
  <c r="F101" i="31"/>
  <c r="F146" i="31"/>
  <c r="F123" i="31" s="1"/>
  <c r="F57" i="31"/>
  <c r="F34" i="31" s="1"/>
  <c r="F8" i="31" s="1"/>
  <c r="F477" i="31"/>
  <c r="F370" i="31" s="1"/>
  <c r="F322" i="31" s="1"/>
  <c r="F321" i="31" s="1"/>
  <c r="F320" i="31" s="1"/>
  <c r="F245" i="31"/>
  <c r="F233" i="31" s="1"/>
  <c r="F232" i="31" s="1"/>
  <c r="M34" i="31" l="1"/>
  <c r="M233" i="31"/>
  <c r="M232" i="31" s="1"/>
  <c r="M168" i="31"/>
  <c r="I2" i="31"/>
  <c r="M123" i="31"/>
  <c r="F7" i="31"/>
  <c r="F6" i="31" s="1"/>
  <c r="F5" i="31" s="1"/>
  <c r="F2" i="31" s="1"/>
  <c r="M8" i="31" l="1"/>
  <c r="M7" i="31" s="1"/>
  <c r="M6" i="31" l="1"/>
  <c r="M5" i="31" s="1"/>
  <c r="M2" i="31" s="1"/>
  <c r="P4" i="31" s="1"/>
  <c r="N6" i="31"/>
  <c r="N2" i="31" s="1"/>
  <c r="O3" i="31" s="1"/>
  <c r="I62" i="27"/>
  <c r="I61" i="27"/>
  <c r="I59" i="27"/>
  <c r="I58" i="27"/>
  <c r="I57" i="27"/>
  <c r="I55" i="27"/>
  <c r="I54" i="27"/>
  <c r="I53" i="27" s="1"/>
  <c r="H52" i="27"/>
  <c r="I52" i="27" s="1"/>
  <c r="I51" i="27"/>
  <c r="I50" i="27"/>
  <c r="I47" i="27"/>
  <c r="I45" i="27" s="1"/>
  <c r="I46" i="27"/>
  <c r="I44" i="27"/>
  <c r="I43" i="27"/>
  <c r="I41" i="27"/>
  <c r="I40" i="27" s="1"/>
  <c r="I39" i="27"/>
  <c r="I38" i="27"/>
  <c r="I37" i="27"/>
  <c r="I36" i="27"/>
  <c r="I34" i="27"/>
  <c r="I33" i="27"/>
  <c r="I30" i="27"/>
  <c r="I29" i="27"/>
  <c r="I27" i="27"/>
  <c r="I26" i="27"/>
  <c r="I24" i="27"/>
  <c r="I23" i="27"/>
  <c r="I22" i="27"/>
  <c r="I21" i="27"/>
  <c r="N3" i="31" l="1"/>
  <c r="P2" i="31"/>
  <c r="R2" i="31" s="1"/>
  <c r="I20" i="27"/>
  <c r="I19" i="27" s="1"/>
  <c r="I35" i="27"/>
  <c r="I25" i="27"/>
  <c r="I32" i="27"/>
  <c r="I60" i="27"/>
  <c r="I28" i="27"/>
  <c r="I56" i="27"/>
  <c r="I42" i="27"/>
  <c r="I49" i="27"/>
  <c r="I48" i="27" s="1"/>
  <c r="I31" i="27" l="1"/>
  <c r="I18" i="27" s="1"/>
  <c r="I17" i="27" s="1"/>
  <c r="I28" i="28"/>
  <c r="I27" i="28"/>
  <c r="I24" i="28"/>
  <c r="I23" i="28"/>
  <c r="I21" i="28"/>
  <c r="I22" i="28"/>
  <c r="I25" i="28"/>
  <c r="I26" i="28"/>
  <c r="I20" i="28" l="1"/>
  <c r="I167" i="16"/>
  <c r="I166" i="16"/>
  <c r="I164" i="16" s="1"/>
  <c r="I165" i="16"/>
  <c r="I163" i="16"/>
  <c r="I162" i="16"/>
  <c r="I161" i="16"/>
  <c r="I160" i="16"/>
  <c r="I157" i="16"/>
  <c r="I155" i="16"/>
  <c r="I154" i="16" s="1"/>
  <c r="I153" i="16" s="1"/>
  <c r="I152" i="16"/>
  <c r="I151" i="16"/>
  <c r="I150" i="16"/>
  <c r="I149" i="16"/>
  <c r="I148" i="16"/>
  <c r="I147" i="16" s="1"/>
  <c r="I146" i="16" s="1"/>
  <c r="I145" i="16"/>
  <c r="I144" i="16" s="1"/>
  <c r="I143" i="16"/>
  <c r="I142" i="16" s="1"/>
  <c r="I141" i="16"/>
  <c r="I140" i="16"/>
  <c r="I139" i="16"/>
  <c r="I138" i="16"/>
  <c r="I137" i="16"/>
  <c r="I136" i="16"/>
  <c r="I135" i="16"/>
  <c r="I134" i="16"/>
  <c r="I133" i="16"/>
  <c r="I132" i="16"/>
  <c r="I131" i="16"/>
  <c r="I129" i="16"/>
  <c r="I128" i="16"/>
  <c r="H127" i="16"/>
  <c r="I127" i="16" s="1"/>
  <c r="I125" i="16" s="1"/>
  <c r="I126" i="16"/>
  <c r="I122" i="16"/>
  <c r="I121" i="16"/>
  <c r="I120" i="16" s="1"/>
  <c r="I119" i="16"/>
  <c r="I118" i="16"/>
  <c r="I117" i="16"/>
  <c r="I116" i="16"/>
  <c r="I115" i="16"/>
  <c r="I114" i="16"/>
  <c r="I112" i="16"/>
  <c r="I111" i="16"/>
  <c r="I110" i="16"/>
  <c r="I109" i="16"/>
  <c r="I108" i="16"/>
  <c r="I107" i="16"/>
  <c r="I105" i="16"/>
  <c r="I104" i="16" s="1"/>
  <c r="I103" i="16"/>
  <c r="I102" i="16" s="1"/>
  <c r="I101" i="16"/>
  <c r="I100" i="16" s="1"/>
  <c r="I99" i="16"/>
  <c r="I98" i="16" s="1"/>
  <c r="I97" i="16"/>
  <c r="I96" i="16" s="1"/>
  <c r="I95" i="16"/>
  <c r="I94" i="16"/>
  <c r="I93" i="16"/>
  <c r="I92" i="16" s="1"/>
  <c r="I91" i="16"/>
  <c r="I90" i="16"/>
  <c r="I89" i="16"/>
  <c r="I88" i="16"/>
  <c r="I87" i="16"/>
  <c r="I86" i="16"/>
  <c r="I85" i="16"/>
  <c r="I84" i="16"/>
  <c r="I83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6" i="16"/>
  <c r="I55" i="16"/>
  <c r="I54" i="16"/>
  <c r="I52" i="16"/>
  <c r="I51" i="16"/>
  <c r="I50" i="16"/>
  <c r="I48" i="16"/>
  <c r="I47" i="16" s="1"/>
  <c r="I46" i="16"/>
  <c r="I45" i="16"/>
  <c r="I44" i="16"/>
  <c r="I43" i="16" s="1"/>
  <c r="I42" i="16"/>
  <c r="I41" i="16"/>
  <c r="I40" i="16"/>
  <c r="I38" i="16"/>
  <c r="I37" i="16"/>
  <c r="I35" i="16" s="1"/>
  <c r="I36" i="16"/>
  <c r="I34" i="16"/>
  <c r="I33" i="16"/>
  <c r="I32" i="16"/>
  <c r="I31" i="16" s="1"/>
  <c r="I30" i="16"/>
  <c r="I29" i="16"/>
  <c r="I28" i="16"/>
  <c r="I27" i="16" s="1"/>
  <c r="I26" i="16"/>
  <c r="I25" i="16"/>
  <c r="I24" i="16"/>
  <c r="I22" i="16"/>
  <c r="I21" i="16"/>
  <c r="I20" i="16"/>
  <c r="I19" i="16" s="1"/>
  <c r="I58" i="25"/>
  <c r="I57" i="25"/>
  <c r="I55" i="25"/>
  <c r="I54" i="25"/>
  <c r="I53" i="25" s="1"/>
  <c r="I52" i="25"/>
  <c r="I51" i="25"/>
  <c r="I50" i="25"/>
  <c r="I47" i="25"/>
  <c r="I46" i="25"/>
  <c r="I44" i="25"/>
  <c r="I43" i="25"/>
  <c r="I42" i="25" s="1"/>
  <c r="I41" i="25"/>
  <c r="I40" i="25"/>
  <c r="I39" i="25"/>
  <c r="I38" i="25"/>
  <c r="I36" i="25"/>
  <c r="I35" i="25"/>
  <c r="H34" i="25"/>
  <c r="I34" i="25" s="1"/>
  <c r="I33" i="25"/>
  <c r="I32" i="25"/>
  <c r="I29" i="25"/>
  <c r="I28" i="25"/>
  <c r="I27" i="25" s="1"/>
  <c r="I26" i="25"/>
  <c r="I25" i="25"/>
  <c r="I23" i="25"/>
  <c r="I22" i="25"/>
  <c r="I20" i="25" s="1"/>
  <c r="I21" i="25"/>
  <c r="I24" i="25" l="1"/>
  <c r="I56" i="25"/>
  <c r="I37" i="25"/>
  <c r="I19" i="25"/>
  <c r="I49" i="16"/>
  <c r="I130" i="16"/>
  <c r="I23" i="16"/>
  <c r="I49" i="25"/>
  <c r="I48" i="25" s="1"/>
  <c r="I45" i="25"/>
  <c r="I31" i="25"/>
  <c r="I30" i="25" s="1"/>
  <c r="I113" i="16"/>
  <c r="I106" i="16"/>
  <c r="I159" i="16"/>
  <c r="I158" i="16" s="1"/>
  <c r="I53" i="16"/>
  <c r="I82" i="16"/>
  <c r="I57" i="16"/>
  <c r="I39" i="16"/>
  <c r="I124" i="16"/>
  <c r="I18" i="16" l="1"/>
  <c r="I17" i="16" s="1"/>
  <c r="I18" i="25"/>
  <c r="I17" i="25" s="1"/>
  <c r="I123" i="16"/>
  <c r="I16" i="16" s="1"/>
  <c r="G18" i="23" l="1"/>
  <c r="H21" i="14" l="1"/>
  <c r="H28" i="26"/>
  <c r="H27" i="26"/>
  <c r="H25" i="26"/>
  <c r="H24" i="26" s="1"/>
  <c r="H23" i="26"/>
  <c r="H22" i="26"/>
  <c r="H21" i="26"/>
  <c r="G57" i="14"/>
  <c r="H57" i="14" s="1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6" i="26" l="1"/>
  <c r="H20" i="26"/>
  <c r="H19" i="26" s="1"/>
  <c r="H18" i="26" s="1"/>
  <c r="H17" i="26" s="1"/>
  <c r="H20" i="14"/>
  <c r="H19" i="14" s="1"/>
  <c r="H18" i="14" s="1"/>
  <c r="H17" i="14" s="1"/>
  <c r="I19" i="28" l="1"/>
  <c r="I18" i="28" s="1"/>
  <c r="I17" i="28" s="1"/>
  <c r="G19" i="23" l="1"/>
  <c r="F610" i="19" l="1"/>
  <c r="F609" i="19"/>
  <c r="F608" i="19"/>
  <c r="F606" i="19"/>
  <c r="F605" i="19"/>
  <c r="F604" i="19"/>
  <c r="F603" i="19"/>
  <c r="F600" i="19"/>
  <c r="F599" i="19"/>
  <c r="F598" i="19"/>
  <c r="F595" i="19"/>
  <c r="F594" i="19" s="1"/>
  <c r="F593" i="19"/>
  <c r="F592" i="19" s="1"/>
  <c r="F591" i="19"/>
  <c r="F590" i="19" s="1"/>
  <c r="F588" i="19"/>
  <c r="F587" i="19" s="1"/>
  <c r="F586" i="19"/>
  <c r="F585" i="19" s="1"/>
  <c r="F584" i="19"/>
  <c r="F583" i="19"/>
  <c r="F582" i="19"/>
  <c r="F581" i="19"/>
  <c r="F580" i="19"/>
  <c r="F579" i="19"/>
  <c r="F578" i="19"/>
  <c r="F577" i="19"/>
  <c r="F576" i="19"/>
  <c r="F575" i="19"/>
  <c r="F574" i="19"/>
  <c r="F572" i="19"/>
  <c r="F571" i="19"/>
  <c r="E570" i="19"/>
  <c r="F570" i="19" s="1"/>
  <c r="F569" i="19"/>
  <c r="F565" i="19"/>
  <c r="F564" i="19" s="1"/>
  <c r="F563" i="19"/>
  <c r="F562" i="19" s="1"/>
  <c r="F561" i="19"/>
  <c r="F560" i="19"/>
  <c r="F558" i="19"/>
  <c r="F557" i="19"/>
  <c r="F556" i="19"/>
  <c r="F555" i="19"/>
  <c r="F554" i="19"/>
  <c r="F553" i="19"/>
  <c r="F551" i="19"/>
  <c r="F550" i="19" s="1"/>
  <c r="F549" i="19"/>
  <c r="F548" i="19" s="1"/>
  <c r="F547" i="19"/>
  <c r="F546" i="19" s="1"/>
  <c r="E545" i="19"/>
  <c r="F545" i="19" s="1"/>
  <c r="F544" i="19" s="1"/>
  <c r="F543" i="19"/>
  <c r="F542" i="19" s="1"/>
  <c r="F541" i="19"/>
  <c r="F540" i="19" s="1"/>
  <c r="F539" i="19"/>
  <c r="F538" i="19" s="1"/>
  <c r="F537" i="19"/>
  <c r="F536" i="19"/>
  <c r="F535" i="19"/>
  <c r="F534" i="19"/>
  <c r="F533" i="19"/>
  <c r="F532" i="19"/>
  <c r="F531" i="19"/>
  <c r="F530" i="19"/>
  <c r="F528" i="19"/>
  <c r="F527" i="19"/>
  <c r="F526" i="19"/>
  <c r="F525" i="19"/>
  <c r="F524" i="19"/>
  <c r="F523" i="19"/>
  <c r="F522" i="19"/>
  <c r="F521" i="19"/>
  <c r="F520" i="19"/>
  <c r="F519" i="19"/>
  <c r="F518" i="19"/>
  <c r="F517" i="19"/>
  <c r="F516" i="19"/>
  <c r="F515" i="19"/>
  <c r="F514" i="19"/>
  <c r="F513" i="19"/>
  <c r="F512" i="19"/>
  <c r="F511" i="19"/>
  <c r="F510" i="19"/>
  <c r="F509" i="19"/>
  <c r="F508" i="19"/>
  <c r="F507" i="19"/>
  <c r="F505" i="19"/>
  <c r="F504" i="19"/>
  <c r="F503" i="19"/>
  <c r="F501" i="19"/>
  <c r="F500" i="19"/>
  <c r="F499" i="19"/>
  <c r="F497" i="19"/>
  <c r="F496" i="19" s="1"/>
  <c r="F495" i="19"/>
  <c r="F494" i="19"/>
  <c r="F493" i="19"/>
  <c r="F491" i="19"/>
  <c r="F490" i="19"/>
  <c r="F489" i="19"/>
  <c r="F487" i="19"/>
  <c r="F486" i="19"/>
  <c r="F485" i="19"/>
  <c r="F483" i="19"/>
  <c r="F482" i="19"/>
  <c r="F481" i="19"/>
  <c r="F479" i="19"/>
  <c r="F478" i="19"/>
  <c r="F477" i="19"/>
  <c r="F475" i="19"/>
  <c r="F474" i="19"/>
  <c r="F473" i="19"/>
  <c r="F471" i="19"/>
  <c r="F470" i="19"/>
  <c r="F469" i="19"/>
  <c r="F401" i="19"/>
  <c r="F400" i="19"/>
  <c r="F399" i="19"/>
  <c r="F398" i="19"/>
  <c r="F397" i="19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8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488" i="19" l="1"/>
  <c r="F607" i="19"/>
  <c r="F597" i="19"/>
  <c r="F596" i="19" s="1"/>
  <c r="F559" i="19"/>
  <c r="F589" i="19"/>
  <c r="F602" i="19"/>
  <c r="F601" i="19" s="1"/>
  <c r="F472" i="19"/>
  <c r="F498" i="19"/>
  <c r="F568" i="19"/>
  <c r="F468" i="19"/>
  <c r="F573" i="19"/>
  <c r="F567" i="19"/>
  <c r="F480" i="19"/>
  <c r="F476" i="19"/>
  <c r="F529" i="19"/>
  <c r="F552" i="19"/>
  <c r="F492" i="19"/>
  <c r="F506" i="19"/>
  <c r="F484" i="19"/>
  <c r="F502" i="19"/>
  <c r="F365" i="19"/>
  <c r="F364" i="19" s="1"/>
  <c r="F566" i="19" l="1"/>
  <c r="F467" i="19"/>
  <c r="F466" i="19" s="1"/>
  <c r="F465" i="19" s="1"/>
  <c r="F22" i="21" l="1"/>
  <c r="F21" i="21" s="1"/>
  <c r="F20" i="21" s="1"/>
  <c r="F19" i="21" s="1"/>
  <c r="F18" i="21" s="1"/>
  <c r="F330" i="19"/>
  <c r="F331" i="19"/>
  <c r="F332" i="19"/>
  <c r="F333" i="19"/>
  <c r="F335" i="19"/>
  <c r="F617" i="19" l="1"/>
  <c r="F616" i="19" s="1"/>
  <c r="F615" i="19" s="1"/>
  <c r="F614" i="19" s="1"/>
  <c r="F613" i="19" s="1"/>
  <c r="F611" i="19" s="1"/>
  <c r="F464" i="19"/>
  <c r="F463" i="19"/>
  <c r="F462" i="19"/>
  <c r="F460" i="19"/>
  <c r="F459" i="19"/>
  <c r="F457" i="19"/>
  <c r="F456" i="19"/>
  <c r="F453" i="19"/>
  <c r="F452" i="19"/>
  <c r="E454" i="19"/>
  <c r="F454" i="19" s="1"/>
  <c r="F451" i="19"/>
  <c r="F450" i="19"/>
  <c r="F447" i="19"/>
  <c r="F446" i="19"/>
  <c r="F445" i="19"/>
  <c r="F444" i="19"/>
  <c r="F442" i="19"/>
  <c r="F441" i="19"/>
  <c r="F439" i="19"/>
  <c r="F438" i="19"/>
  <c r="F437" i="19"/>
  <c r="F436" i="19"/>
  <c r="F434" i="19"/>
  <c r="F433" i="19"/>
  <c r="F432" i="19"/>
  <c r="F431" i="19"/>
  <c r="F430" i="19"/>
  <c r="F427" i="19"/>
  <c r="F426" i="19"/>
  <c r="F425" i="19"/>
  <c r="F424" i="19"/>
  <c r="F422" i="19"/>
  <c r="F421" i="19"/>
  <c r="F419" i="19"/>
  <c r="F418" i="19"/>
  <c r="F417" i="19"/>
  <c r="F416" i="19"/>
  <c r="F414" i="19"/>
  <c r="F413" i="19"/>
  <c r="F412" i="19"/>
  <c r="F411" i="19"/>
  <c r="F410" i="19"/>
  <c r="F359" i="19"/>
  <c r="F358" i="19"/>
  <c r="F356" i="19"/>
  <c r="F355" i="19"/>
  <c r="E353" i="19"/>
  <c r="F353" i="19" s="1"/>
  <c r="F352" i="19"/>
  <c r="F351" i="19"/>
  <c r="F350" i="19"/>
  <c r="F346" i="19"/>
  <c r="F345" i="19"/>
  <c r="F344" i="19"/>
  <c r="F343" i="19"/>
  <c r="F341" i="19"/>
  <c r="F340" i="19"/>
  <c r="F339" i="19"/>
  <c r="F338" i="19"/>
  <c r="F336" i="19"/>
  <c r="F334" i="19" s="1"/>
  <c r="E326" i="19"/>
  <c r="F326" i="19" s="1"/>
  <c r="F328" i="19"/>
  <c r="F327" i="19"/>
  <c r="F325" i="19"/>
  <c r="F324" i="19"/>
  <c r="F320" i="19"/>
  <c r="F319" i="19"/>
  <c r="F317" i="19"/>
  <c r="F316" i="19"/>
  <c r="F314" i="19"/>
  <c r="F313" i="19"/>
  <c r="F312" i="19"/>
  <c r="F311" i="19"/>
  <c r="F309" i="19"/>
  <c r="F308" i="19"/>
  <c r="E307" i="19"/>
  <c r="F307" i="19" s="1"/>
  <c r="F306" i="19"/>
  <c r="F305" i="19"/>
  <c r="F300" i="19"/>
  <c r="F299" i="19"/>
  <c r="F298" i="19"/>
  <c r="F296" i="19"/>
  <c r="F295" i="19"/>
  <c r="F294" i="19"/>
  <c r="F292" i="19"/>
  <c r="F291" i="19"/>
  <c r="F289" i="19"/>
  <c r="F288" i="19"/>
  <c r="F287" i="19"/>
  <c r="F286" i="19"/>
  <c r="F284" i="19"/>
  <c r="F283" i="19"/>
  <c r="F282" i="19"/>
  <c r="F281" i="19"/>
  <c r="F280" i="19"/>
  <c r="F277" i="19"/>
  <c r="F276" i="19"/>
  <c r="F275" i="19"/>
  <c r="F274" i="19"/>
  <c r="F272" i="19"/>
  <c r="F271" i="19"/>
  <c r="F270" i="19"/>
  <c r="F269" i="19"/>
  <c r="F268" i="19"/>
  <c r="F267" i="19"/>
  <c r="F265" i="19"/>
  <c r="F264" i="19"/>
  <c r="F262" i="19"/>
  <c r="F261" i="19"/>
  <c r="F260" i="19"/>
  <c r="F259" i="19"/>
  <c r="F257" i="19"/>
  <c r="F256" i="19"/>
  <c r="F255" i="19"/>
  <c r="F254" i="19"/>
  <c r="F253" i="19"/>
  <c r="F249" i="19"/>
  <c r="F248" i="19"/>
  <c r="F247" i="19"/>
  <c r="F246" i="19"/>
  <c r="F244" i="19"/>
  <c r="F243" i="19"/>
  <c r="F242" i="19"/>
  <c r="F241" i="19"/>
  <c r="F239" i="19"/>
  <c r="F238" i="19"/>
  <c r="F236" i="19"/>
  <c r="F235" i="19"/>
  <c r="F234" i="19"/>
  <c r="F233" i="19"/>
  <c r="F231" i="19"/>
  <c r="F230" i="19"/>
  <c r="F229" i="19"/>
  <c r="F228" i="19"/>
  <c r="F227" i="19"/>
  <c r="F224" i="19"/>
  <c r="F223" i="19"/>
  <c r="F221" i="19"/>
  <c r="F220" i="19"/>
  <c r="F218" i="19"/>
  <c r="F217" i="19"/>
  <c r="F215" i="19"/>
  <c r="F214" i="19"/>
  <c r="F213" i="19"/>
  <c r="F212" i="19"/>
  <c r="F210" i="19"/>
  <c r="F209" i="19"/>
  <c r="F208" i="19"/>
  <c r="F207" i="19"/>
  <c r="F206" i="19"/>
  <c r="F202" i="19"/>
  <c r="F201" i="19"/>
  <c r="F200" i="19"/>
  <c r="F198" i="19"/>
  <c r="F197" i="19"/>
  <c r="F195" i="19"/>
  <c r="F194" i="19"/>
  <c r="F193" i="19"/>
  <c r="F191" i="19"/>
  <c r="F190" i="19"/>
  <c r="F188" i="19"/>
  <c r="F187" i="19"/>
  <c r="F186" i="19"/>
  <c r="F185" i="19"/>
  <c r="F183" i="19"/>
  <c r="F182" i="19"/>
  <c r="F181" i="19"/>
  <c r="F180" i="19"/>
  <c r="F179" i="19"/>
  <c r="F178" i="19"/>
  <c r="F175" i="19"/>
  <c r="F174" i="19"/>
  <c r="F173" i="19"/>
  <c r="F172" i="19"/>
  <c r="F170" i="19"/>
  <c r="F169" i="19"/>
  <c r="F167" i="19"/>
  <c r="F166" i="19"/>
  <c r="F164" i="19"/>
  <c r="F163" i="19"/>
  <c r="F162" i="19"/>
  <c r="F161" i="19"/>
  <c r="F159" i="19"/>
  <c r="F158" i="19"/>
  <c r="F157" i="19"/>
  <c r="F156" i="19"/>
  <c r="F155" i="19"/>
  <c r="F152" i="19"/>
  <c r="F151" i="19"/>
  <c r="F150" i="19"/>
  <c r="F149" i="19"/>
  <c r="F147" i="19"/>
  <c r="F146" i="19"/>
  <c r="F145" i="19"/>
  <c r="F143" i="19"/>
  <c r="F142" i="19"/>
  <c r="F140" i="19"/>
  <c r="F139" i="19"/>
  <c r="F138" i="19"/>
  <c r="F137" i="19"/>
  <c r="F135" i="19"/>
  <c r="F134" i="19"/>
  <c r="F133" i="19"/>
  <c r="F132" i="19"/>
  <c r="F131" i="19"/>
  <c r="F128" i="19"/>
  <c r="F127" i="19"/>
  <c r="F126" i="19"/>
  <c r="F124" i="19"/>
  <c r="F123" i="19"/>
  <c r="F122" i="19"/>
  <c r="F120" i="19"/>
  <c r="F119" i="19"/>
  <c r="F118" i="19"/>
  <c r="F116" i="19"/>
  <c r="F115" i="19"/>
  <c r="F114" i="19"/>
  <c r="F113" i="19"/>
  <c r="F111" i="19"/>
  <c r="F110" i="19"/>
  <c r="F109" i="19"/>
  <c r="F108" i="19"/>
  <c r="F107" i="19"/>
  <c r="F104" i="19"/>
  <c r="F103" i="19"/>
  <c r="F101" i="19"/>
  <c r="F100" i="19"/>
  <c r="F98" i="19"/>
  <c r="F97" i="19"/>
  <c r="F95" i="19"/>
  <c r="F94" i="19"/>
  <c r="F93" i="19"/>
  <c r="F92" i="19"/>
  <c r="F90" i="19"/>
  <c r="F89" i="19"/>
  <c r="F88" i="19"/>
  <c r="F87" i="19"/>
  <c r="F86" i="19"/>
  <c r="F83" i="19"/>
  <c r="F82" i="19" s="1"/>
  <c r="F81" i="19"/>
  <c r="F80" i="19"/>
  <c r="F78" i="19"/>
  <c r="F77" i="19"/>
  <c r="F75" i="19"/>
  <c r="F74" i="19"/>
  <c r="F73" i="19"/>
  <c r="F71" i="19"/>
  <c r="F70" i="19"/>
  <c r="F69" i="19"/>
  <c r="F68" i="19"/>
  <c r="F66" i="19"/>
  <c r="F65" i="19"/>
  <c r="F64" i="19"/>
  <c r="F63" i="19"/>
  <c r="F62" i="19"/>
  <c r="F59" i="19"/>
  <c r="F58" i="19"/>
  <c r="F56" i="19"/>
  <c r="F55" i="19" s="1"/>
  <c r="F53" i="19"/>
  <c r="F52" i="19"/>
  <c r="F50" i="19"/>
  <c r="F49" i="19"/>
  <c r="F47" i="19"/>
  <c r="F46" i="19"/>
  <c r="F45" i="19"/>
  <c r="F44" i="19"/>
  <c r="F42" i="19"/>
  <c r="F41" i="19"/>
  <c r="F40" i="19"/>
  <c r="F39" i="19"/>
  <c r="F35" i="19"/>
  <c r="F34" i="19"/>
  <c r="F32" i="19"/>
  <c r="F31" i="19"/>
  <c r="F30" i="19"/>
  <c r="F29" i="19"/>
  <c r="F28" i="19"/>
  <c r="F27" i="19"/>
  <c r="F26" i="19"/>
  <c r="F24" i="19"/>
  <c r="F23" i="19"/>
  <c r="F21" i="19"/>
  <c r="F20" i="19"/>
  <c r="F19" i="19"/>
  <c r="F18" i="19"/>
  <c r="F16" i="19"/>
  <c r="F15" i="19"/>
  <c r="E14" i="19"/>
  <c r="F14" i="19" s="1"/>
  <c r="F13" i="19"/>
  <c r="F12" i="19"/>
  <c r="F196" i="19" l="1"/>
  <c r="F219" i="19"/>
  <c r="F323" i="19"/>
  <c r="F141" i="19"/>
  <c r="F168" i="19"/>
  <c r="F184" i="19"/>
  <c r="F192" i="19"/>
  <c r="F455" i="19"/>
  <c r="F76" i="19"/>
  <c r="F99" i="19"/>
  <c r="F318" i="19"/>
  <c r="F22" i="19"/>
  <c r="F237" i="19"/>
  <c r="F290" i="19"/>
  <c r="F420" i="19"/>
  <c r="F125" i="19"/>
  <c r="F357" i="19"/>
  <c r="F449" i="19"/>
  <c r="F43" i="19"/>
  <c r="F154" i="19"/>
  <c r="F443" i="19"/>
  <c r="F458" i="19"/>
  <c r="F121" i="19"/>
  <c r="F461" i="19"/>
  <c r="F11" i="19"/>
  <c r="F51" i="19"/>
  <c r="F117" i="19"/>
  <c r="F199" i="19"/>
  <c r="F266" i="19"/>
  <c r="F342" i="19"/>
  <c r="F415" i="19"/>
  <c r="F440" i="19"/>
  <c r="F33" i="19"/>
  <c r="F72" i="19"/>
  <c r="F112" i="19"/>
  <c r="F130" i="19"/>
  <c r="F144" i="19"/>
  <c r="F258" i="19"/>
  <c r="F285" i="19"/>
  <c r="F363" i="19"/>
  <c r="F362" i="19" s="1"/>
  <c r="F360" i="19" s="1"/>
  <c r="F57" i="19"/>
  <c r="F54" i="19" s="1"/>
  <c r="F79" i="19"/>
  <c r="F96" i="19"/>
  <c r="F102" i="19"/>
  <c r="F177" i="19"/>
  <c r="F211" i="19"/>
  <c r="F245" i="19"/>
  <c r="F252" i="19"/>
  <c r="F349" i="19"/>
  <c r="F435" i="19"/>
  <c r="F160" i="19"/>
  <c r="F205" i="19"/>
  <c r="F310" i="19"/>
  <c r="F354" i="19"/>
  <c r="F429" i="19"/>
  <c r="F136" i="19"/>
  <c r="F25" i="19"/>
  <c r="F67" i="19"/>
  <c r="F91" i="19"/>
  <c r="F165" i="19"/>
  <c r="F216" i="19"/>
  <c r="F226" i="19"/>
  <c r="F240" i="19"/>
  <c r="F263" i="19"/>
  <c r="F297" i="19"/>
  <c r="F337" i="19"/>
  <c r="F61" i="19"/>
  <c r="F85" i="19"/>
  <c r="F17" i="19"/>
  <c r="F38" i="19"/>
  <c r="F48" i="19"/>
  <c r="F106" i="19"/>
  <c r="F148" i="19"/>
  <c r="F171" i="19"/>
  <c r="F189" i="19"/>
  <c r="F222" i="19"/>
  <c r="F232" i="19"/>
  <c r="F273" i="19"/>
  <c r="F279" i="19"/>
  <c r="F293" i="19"/>
  <c r="F315" i="19"/>
  <c r="F329" i="19"/>
  <c r="F409" i="19"/>
  <c r="F423" i="19"/>
  <c r="F304" i="19"/>
  <c r="F10" i="19" l="1"/>
  <c r="F9" i="19" s="1"/>
  <c r="F322" i="19"/>
  <c r="F321" i="19" s="1"/>
  <c r="G321" i="19" s="1"/>
  <c r="F428" i="19"/>
  <c r="F60" i="19"/>
  <c r="F448" i="19"/>
  <c r="F408" i="19"/>
  <c r="F278" i="19"/>
  <c r="F176" i="19"/>
  <c r="F303" i="19"/>
  <c r="F302" i="19" s="1"/>
  <c r="G302" i="19" s="1"/>
  <c r="F204" i="19"/>
  <c r="F105" i="19"/>
  <c r="F251" i="19"/>
  <c r="F153" i="19"/>
  <c r="F129" i="19"/>
  <c r="F348" i="19"/>
  <c r="F347" i="19" s="1"/>
  <c r="G347" i="19" s="1"/>
  <c r="F37" i="19"/>
  <c r="F84" i="19"/>
  <c r="F225" i="19"/>
  <c r="F203" i="19" l="1"/>
  <c r="F407" i="19"/>
  <c r="F406" i="19" s="1"/>
  <c r="F250" i="19"/>
  <c r="F36" i="19"/>
  <c r="F8" i="19" s="1"/>
  <c r="F301" i="19"/>
  <c r="G301" i="19" s="1"/>
  <c r="F7" i="19" l="1"/>
  <c r="F6" i="19" s="1"/>
  <c r="F5" i="19" s="1"/>
  <c r="F404" i="19"/>
  <c r="F403" i="19" s="1"/>
  <c r="F402" i="19" s="1"/>
  <c r="G8" i="19"/>
  <c r="F2" i="19" l="1"/>
  <c r="G186" i="11"/>
  <c r="F119" i="11"/>
  <c r="F118" i="11"/>
  <c r="F117" i="11"/>
  <c r="F116" i="11"/>
  <c r="F114" i="11"/>
  <c r="F113" i="11"/>
  <c r="F112" i="11"/>
  <c r="F111" i="11"/>
  <c r="F110" i="11"/>
  <c r="F75" i="11"/>
  <c r="G50" i="11"/>
  <c r="G23" i="11" s="1"/>
  <c r="F91" i="11"/>
  <c r="F90" i="11"/>
  <c r="F88" i="11"/>
  <c r="F87" i="11"/>
  <c r="F85" i="11"/>
  <c r="F84" i="11"/>
  <c r="F82" i="11"/>
  <c r="F81" i="11"/>
  <c r="F80" i="11"/>
  <c r="F79" i="11"/>
  <c r="F77" i="11"/>
  <c r="F76" i="11"/>
  <c r="F74" i="11"/>
  <c r="F73" i="11"/>
  <c r="F70" i="11"/>
  <c r="F69" i="11"/>
  <c r="F55" i="11"/>
  <c r="G120" i="11"/>
  <c r="F86" i="11" l="1"/>
  <c r="F115" i="11"/>
  <c r="F109" i="11"/>
  <c r="F78" i="11"/>
  <c r="F89" i="11"/>
  <c r="F68" i="11"/>
  <c r="F83" i="11"/>
  <c r="F72" i="11"/>
  <c r="F193" i="11"/>
  <c r="F192" i="11" s="1"/>
  <c r="F191" i="11" s="1"/>
  <c r="F190" i="11" s="1"/>
  <c r="F189" i="11" s="1"/>
  <c r="F187" i="11" s="1"/>
  <c r="F186" i="11" s="1"/>
  <c r="G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G143" i="11"/>
  <c r="G141" i="11" s="1"/>
  <c r="F140" i="11"/>
  <c r="F139" i="11"/>
  <c r="F138" i="11"/>
  <c r="F136" i="11"/>
  <c r="F135" i="11"/>
  <c r="F134" i="11"/>
  <c r="F132" i="11"/>
  <c r="F131" i="11"/>
  <c r="F130" i="11"/>
  <c r="F129" i="11"/>
  <c r="F127" i="11"/>
  <c r="F126" i="11"/>
  <c r="F125" i="11"/>
  <c r="F124" i="11"/>
  <c r="F108" i="11"/>
  <c r="F107" i="11"/>
  <c r="F106" i="11"/>
  <c r="F104" i="11"/>
  <c r="F103" i="11"/>
  <c r="F102" i="11"/>
  <c r="F101" i="11"/>
  <c r="F99" i="11"/>
  <c r="F98" i="11"/>
  <c r="F97" i="11"/>
  <c r="F96" i="11"/>
  <c r="F95" i="11"/>
  <c r="F67" i="11"/>
  <c r="F66" i="11"/>
  <c r="F64" i="11"/>
  <c r="F63" i="11"/>
  <c r="F61" i="11"/>
  <c r="F60" i="11"/>
  <c r="F59" i="11"/>
  <c r="F58" i="11"/>
  <c r="F56" i="11"/>
  <c r="F54" i="11"/>
  <c r="F53" i="11"/>
  <c r="F49" i="11"/>
  <c r="F48" i="11"/>
  <c r="F46" i="11"/>
  <c r="F45" i="11"/>
  <c r="F44" i="11"/>
  <c r="F43" i="11"/>
  <c r="F42" i="11"/>
  <c r="F41" i="11"/>
  <c r="F40" i="11"/>
  <c r="F38" i="11"/>
  <c r="F37" i="11"/>
  <c r="F35" i="11"/>
  <c r="F34" i="11"/>
  <c r="F33" i="11"/>
  <c r="F32" i="11"/>
  <c r="F30" i="11"/>
  <c r="F29" i="11"/>
  <c r="F28" i="11"/>
  <c r="F27" i="11"/>
  <c r="I33" i="7"/>
  <c r="I32" i="7" s="1"/>
  <c r="I31" i="7" s="1"/>
  <c r="I30" i="7" s="1"/>
  <c r="I28" i="7" s="1"/>
  <c r="F71" i="11" l="1"/>
  <c r="H71" i="11" s="1"/>
  <c r="F137" i="11"/>
  <c r="F133" i="11"/>
  <c r="F52" i="11"/>
  <c r="G22" i="11"/>
  <c r="F105" i="11"/>
  <c r="F26" i="11"/>
  <c r="F62" i="11"/>
  <c r="F146" i="11"/>
  <c r="F145" i="11" s="1"/>
  <c r="F144" i="11" s="1"/>
  <c r="F36" i="11"/>
  <c r="F65" i="11"/>
  <c r="F100" i="11"/>
  <c r="F47" i="11"/>
  <c r="F31" i="11"/>
  <c r="F94" i="11"/>
  <c r="F123" i="11"/>
  <c r="F128" i="11"/>
  <c r="F57" i="11"/>
  <c r="F39" i="11"/>
  <c r="F122" i="11" l="1"/>
  <c r="F121" i="11" s="1"/>
  <c r="F120" i="11" s="1"/>
  <c r="F93" i="11"/>
  <c r="F92" i="11" s="1"/>
  <c r="H92" i="11" s="1"/>
  <c r="F51" i="11"/>
  <c r="F143" i="11"/>
  <c r="F141" i="11" s="1"/>
  <c r="H144" i="11"/>
  <c r="G21" i="11"/>
  <c r="G20" i="11" s="1"/>
  <c r="F25" i="11"/>
  <c r="F24" i="11" s="1"/>
  <c r="H51" i="11" l="1"/>
  <c r="F50" i="11"/>
  <c r="H50" i="11" s="1"/>
  <c r="H24" i="11"/>
  <c r="H121" i="11"/>
  <c r="G17" i="11"/>
  <c r="F23" i="11" l="1"/>
  <c r="F185" i="11"/>
  <c r="F22" i="11" l="1"/>
  <c r="H23" i="11"/>
  <c r="F21" i="11" l="1"/>
  <c r="H22" i="11"/>
  <c r="F20" i="11" l="1"/>
  <c r="H21" i="11"/>
  <c r="F17" i="11" l="1"/>
  <c r="H20" i="11"/>
  <c r="J20" i="7" l="1"/>
  <c r="F34" i="7"/>
  <c r="F33" i="7" s="1"/>
  <c r="F32" i="7" s="1"/>
  <c r="F31" i="7" s="1"/>
  <c r="F30" i="7" s="1"/>
  <c r="F28" i="7" s="1"/>
  <c r="J15" i="7"/>
  <c r="J12" i="7"/>
  <c r="I26" i="7" l="1"/>
  <c r="I24" i="7"/>
  <c r="I19" i="7"/>
  <c r="I16" i="7"/>
  <c r="I15" i="7"/>
  <c r="I14" i="7"/>
  <c r="I12" i="7"/>
  <c r="I11" i="7"/>
  <c r="I10" i="7"/>
  <c r="I9" i="7"/>
  <c r="H25" i="7"/>
  <c r="H23" i="7"/>
  <c r="H18" i="7"/>
  <c r="H17" i="7" s="1"/>
  <c r="H13" i="7"/>
  <c r="H8" i="7"/>
  <c r="G25" i="7"/>
  <c r="G23" i="7"/>
  <c r="G18" i="7"/>
  <c r="G17" i="7" s="1"/>
  <c r="G13" i="7"/>
  <c r="G8" i="7"/>
  <c r="F419" i="9"/>
  <c r="F418" i="9"/>
  <c r="F417" i="9"/>
  <c r="F416" i="9" s="1"/>
  <c r="F415" i="9" s="1"/>
  <c r="F414" i="9" s="1"/>
  <c r="F412" i="9" s="1"/>
  <c r="F411" i="9"/>
  <c r="F410" i="9"/>
  <c r="F409" i="9"/>
  <c r="F407" i="9"/>
  <c r="F406" i="9"/>
  <c r="F405" i="9"/>
  <c r="F404" i="9"/>
  <c r="F403" i="9"/>
  <c r="F400" i="9"/>
  <c r="F397" i="9" s="1"/>
  <c r="F396" i="9" s="1"/>
  <c r="F399" i="9"/>
  <c r="F398" i="9"/>
  <c r="F395" i="9"/>
  <c r="F394" i="9" s="1"/>
  <c r="F393" i="9"/>
  <c r="F392" i="9" s="1"/>
  <c r="F391" i="9"/>
  <c r="F390" i="9" s="1"/>
  <c r="F388" i="9"/>
  <c r="F387" i="9" s="1"/>
  <c r="F386" i="9"/>
  <c r="F385" i="9" s="1"/>
  <c r="F384" i="9"/>
  <c r="F383" i="9" s="1"/>
  <c r="F382" i="9"/>
  <c r="F381" i="9"/>
  <c r="F380" i="9"/>
  <c r="F379" i="9"/>
  <c r="F378" i="9"/>
  <c r="F377" i="9"/>
  <c r="F376" i="9"/>
  <c r="F372" i="9"/>
  <c r="F371" i="9"/>
  <c r="F370" i="9"/>
  <c r="F369" i="9"/>
  <c r="F368" i="9"/>
  <c r="F367" i="9"/>
  <c r="F365" i="9"/>
  <c r="F364" i="9"/>
  <c r="F363" i="9"/>
  <c r="F362" i="9"/>
  <c r="F361" i="9"/>
  <c r="F360" i="9"/>
  <c r="F359" i="9"/>
  <c r="F358" i="9"/>
  <c r="F356" i="9"/>
  <c r="F355" i="9"/>
  <c r="F354" i="9"/>
  <c r="F353" i="9"/>
  <c r="F352" i="9"/>
  <c r="F351" i="9"/>
  <c r="F350" i="9"/>
  <c r="F349" i="9"/>
  <c r="F348" i="9"/>
  <c r="F347" i="9"/>
  <c r="F346" i="9"/>
  <c r="C345" i="9"/>
  <c r="F345" i="9" s="1"/>
  <c r="F344" i="9"/>
  <c r="F343" i="9"/>
  <c r="F342" i="9"/>
  <c r="F341" i="9"/>
  <c r="F340" i="9"/>
  <c r="F339" i="9"/>
  <c r="F338" i="9"/>
  <c r="F337" i="9"/>
  <c r="F336" i="9"/>
  <c r="F335" i="9"/>
  <c r="F333" i="9"/>
  <c r="F332" i="9"/>
  <c r="F331" i="9"/>
  <c r="F329" i="9"/>
  <c r="F328" i="9"/>
  <c r="F327" i="9"/>
  <c r="F325" i="9"/>
  <c r="F324" i="9" s="1"/>
  <c r="F323" i="9"/>
  <c r="F322" i="9"/>
  <c r="F321" i="9"/>
  <c r="F319" i="9"/>
  <c r="F318" i="9"/>
  <c r="F317" i="9"/>
  <c r="F315" i="9"/>
  <c r="F314" i="9"/>
  <c r="F313" i="9"/>
  <c r="F311" i="9"/>
  <c r="F310" i="9"/>
  <c r="F309" i="9"/>
  <c r="F307" i="9"/>
  <c r="F306" i="9"/>
  <c r="F305" i="9"/>
  <c r="F303" i="9"/>
  <c r="F302" i="9"/>
  <c r="F301" i="9"/>
  <c r="F299" i="9"/>
  <c r="F298" i="9"/>
  <c r="F297" i="9"/>
  <c r="F292" i="9"/>
  <c r="F291" i="9" s="1"/>
  <c r="F290" i="9"/>
  <c r="F289" i="9" s="1"/>
  <c r="F288" i="9"/>
  <c r="F287" i="9" s="1"/>
  <c r="F286" i="9"/>
  <c r="F285" i="9" s="1"/>
  <c r="F284" i="9"/>
  <c r="F283" i="9"/>
  <c r="F281" i="9"/>
  <c r="F280" i="9" s="1"/>
  <c r="F278" i="9"/>
  <c r="F277" i="9" s="1"/>
  <c r="F276" i="9"/>
  <c r="F275" i="9" s="1"/>
  <c r="F274" i="9"/>
  <c r="F273" i="9" s="1"/>
  <c r="F272" i="9"/>
  <c r="F271" i="9" s="1"/>
  <c r="F270" i="9"/>
  <c r="F269" i="9" s="1"/>
  <c r="F267" i="9"/>
  <c r="F266" i="9"/>
  <c r="F265" i="9"/>
  <c r="F264" i="9" s="1"/>
  <c r="F263" i="9"/>
  <c r="F262" i="9" s="1"/>
  <c r="E261" i="9"/>
  <c r="F261" i="9" s="1"/>
  <c r="F260" i="9" s="1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0" i="9"/>
  <c r="F209" i="9" s="1"/>
  <c r="F208" i="9"/>
  <c r="F207" i="9" s="1"/>
  <c r="F206" i="9"/>
  <c r="F205" i="9" s="1"/>
  <c r="F202" i="9"/>
  <c r="F201" i="9" s="1"/>
  <c r="F200" i="9"/>
  <c r="F199" i="9" s="1"/>
  <c r="F198" i="9"/>
  <c r="F197" i="9" s="1"/>
  <c r="F196" i="9"/>
  <c r="F195" i="9" s="1"/>
  <c r="F194" i="9"/>
  <c r="F193" i="9" s="1"/>
  <c r="F192" i="9"/>
  <c r="F191" i="9" s="1"/>
  <c r="F190" i="9"/>
  <c r="F189" i="9" s="1"/>
  <c r="F188" i="9"/>
  <c r="F187" i="9"/>
  <c r="F186" i="9" s="1"/>
  <c r="F183" i="9"/>
  <c r="F182" i="9" s="1"/>
  <c r="F181" i="9"/>
  <c r="F180" i="9"/>
  <c r="F179" i="9"/>
  <c r="F178" i="9" s="1"/>
  <c r="F174" i="9"/>
  <c r="F173" i="9" s="1"/>
  <c r="F172" i="9"/>
  <c r="F171" i="9" s="1"/>
  <c r="F170" i="9"/>
  <c r="F169" i="9" s="1"/>
  <c r="F168" i="9"/>
  <c r="F167" i="9" s="1"/>
  <c r="F166" i="9"/>
  <c r="F165" i="9" s="1"/>
  <c r="F163" i="9"/>
  <c r="F162" i="9" s="1"/>
  <c r="F161" i="9"/>
  <c r="F160" i="9" s="1"/>
  <c r="F159" i="9"/>
  <c r="F158" i="9" s="1"/>
  <c r="F157" i="9"/>
  <c r="F156" i="9" s="1"/>
  <c r="F153" i="9"/>
  <c r="F152" i="9" s="1"/>
  <c r="F151" i="9"/>
  <c r="F150" i="9" s="1"/>
  <c r="F149" i="9"/>
  <c r="F148" i="9" s="1"/>
  <c r="F147" i="9"/>
  <c r="F146" i="9" s="1"/>
  <c r="F145" i="9"/>
  <c r="F144" i="9" s="1"/>
  <c r="F142" i="9"/>
  <c r="F141" i="9" s="1"/>
  <c r="F140" i="9"/>
  <c r="F139" i="9" s="1"/>
  <c r="F138" i="9"/>
  <c r="F137" i="9" s="1"/>
  <c r="F136" i="9"/>
  <c r="F135" i="9" s="1"/>
  <c r="F132" i="9"/>
  <c r="F131" i="9" s="1"/>
  <c r="F130" i="9"/>
  <c r="F129" i="9" s="1"/>
  <c r="F128" i="9"/>
  <c r="F127" i="9" s="1"/>
  <c r="F126" i="9"/>
  <c r="F125" i="9" s="1"/>
  <c r="F124" i="9"/>
  <c r="F123" i="9"/>
  <c r="F122" i="9"/>
  <c r="F121" i="9" s="1"/>
  <c r="F120" i="9"/>
  <c r="F119" i="9" s="1"/>
  <c r="F117" i="9"/>
  <c r="F116" i="9" s="1"/>
  <c r="F115" i="9"/>
  <c r="F114" i="9" s="1"/>
  <c r="F113" i="9"/>
  <c r="F112" i="9" s="1"/>
  <c r="F111" i="9"/>
  <c r="F110" i="9" s="1"/>
  <c r="F109" i="9"/>
  <c r="F108" i="9" s="1"/>
  <c r="F107" i="9"/>
  <c r="F106" i="9" s="1"/>
  <c r="F104" i="9"/>
  <c r="F103" i="9" s="1"/>
  <c r="F102" i="9"/>
  <c r="F101" i="9" s="1"/>
  <c r="F100" i="9"/>
  <c r="F99" i="9"/>
  <c r="F98" i="9" s="1"/>
  <c r="F97" i="9"/>
  <c r="F96" i="9"/>
  <c r="F94" i="9"/>
  <c r="F93" i="9" s="1"/>
  <c r="F92" i="9"/>
  <c r="F91" i="9"/>
  <c r="F88" i="9"/>
  <c r="F87" i="9" s="1"/>
  <c r="F86" i="9"/>
  <c r="F85" i="9" s="1"/>
  <c r="F84" i="9"/>
  <c r="F83" i="9" s="1"/>
  <c r="F82" i="9"/>
  <c r="F81" i="9" s="1"/>
  <c r="F80" i="9"/>
  <c r="F79" i="9"/>
  <c r="F77" i="9"/>
  <c r="F76" i="9" s="1"/>
  <c r="F75" i="9"/>
  <c r="F74" i="9" s="1"/>
  <c r="F73" i="9"/>
  <c r="F72" i="9"/>
  <c r="F70" i="9"/>
  <c r="F69" i="9" s="1"/>
  <c r="F68" i="9"/>
  <c r="F67" i="9" s="1"/>
  <c r="F66" i="9"/>
  <c r="F65" i="9"/>
  <c r="F63" i="9"/>
  <c r="F62" i="9" s="1"/>
  <c r="F61" i="9"/>
  <c r="F60" i="9" s="1"/>
  <c r="F59" i="9"/>
  <c r="F58" i="9" s="1"/>
  <c r="F57" i="9"/>
  <c r="F56" i="9" s="1"/>
  <c r="F54" i="9"/>
  <c r="F53" i="9" s="1"/>
  <c r="F52" i="9"/>
  <c r="F51" i="9" s="1"/>
  <c r="F50" i="9"/>
  <c r="F49" i="9" s="1"/>
  <c r="F48" i="9"/>
  <c r="F47" i="9" s="1"/>
  <c r="F46" i="9"/>
  <c r="F45" i="9"/>
  <c r="F43" i="9"/>
  <c r="F42" i="9" s="1"/>
  <c r="F41" i="9"/>
  <c r="F40" i="9"/>
  <c r="F37" i="9"/>
  <c r="F36" i="9"/>
  <c r="F34" i="9"/>
  <c r="F33" i="9" s="1"/>
  <c r="F31" i="9"/>
  <c r="F30" i="9" s="1"/>
  <c r="F29" i="9"/>
  <c r="F28" i="9" s="1"/>
  <c r="F27" i="9"/>
  <c r="F26" i="9" s="1"/>
  <c r="F25" i="9"/>
  <c r="F24" i="9" s="1"/>
  <c r="F23" i="9"/>
  <c r="F22" i="9"/>
  <c r="F18" i="9"/>
  <c r="F17" i="9" s="1"/>
  <c r="F16" i="9"/>
  <c r="F15" i="9" s="1"/>
  <c r="F14" i="9"/>
  <c r="F13" i="9" s="1"/>
  <c r="F12" i="9"/>
  <c r="F11" i="9" s="1"/>
  <c r="F64" i="9" l="1"/>
  <c r="F78" i="9"/>
  <c r="F90" i="9"/>
  <c r="F21" i="9"/>
  <c r="F304" i="9"/>
  <c r="F44" i="9"/>
  <c r="F39" i="9"/>
  <c r="F38" i="9" s="1"/>
  <c r="F308" i="9"/>
  <c r="F408" i="9"/>
  <c r="I23" i="7"/>
  <c r="F177" i="9"/>
  <c r="F176" i="9" s="1"/>
  <c r="F316" i="9"/>
  <c r="F326" i="9"/>
  <c r="F95" i="9"/>
  <c r="F89" i="9" s="1"/>
  <c r="F282" i="9"/>
  <c r="F279" i="9" s="1"/>
  <c r="F300" i="9"/>
  <c r="F312" i="9"/>
  <c r="G7" i="7"/>
  <c r="I25" i="7"/>
  <c r="F35" i="9"/>
  <c r="F32" i="9" s="1"/>
  <c r="F155" i="9"/>
  <c r="F134" i="9"/>
  <c r="F330" i="9"/>
  <c r="F296" i="9"/>
  <c r="F375" i="9"/>
  <c r="F374" i="9" s="1"/>
  <c r="F216" i="9"/>
  <c r="F215" i="9" s="1"/>
  <c r="F214" i="9" s="1"/>
  <c r="F213" i="9" s="1"/>
  <c r="F211" i="9" s="1"/>
  <c r="F402" i="9"/>
  <c r="F401" i="9" s="1"/>
  <c r="F204" i="9"/>
  <c r="F203" i="9" s="1"/>
  <c r="F164" i="9"/>
  <c r="F268" i="9"/>
  <c r="F366" i="9"/>
  <c r="I17" i="7"/>
  <c r="F357" i="9"/>
  <c r="F389" i="9"/>
  <c r="F10" i="9"/>
  <c r="F9" i="9" s="1"/>
  <c r="F320" i="9"/>
  <c r="I8" i="7"/>
  <c r="I13" i="7"/>
  <c r="I18" i="7"/>
  <c r="H22" i="7"/>
  <c r="H20" i="7" s="1"/>
  <c r="H7" i="7"/>
  <c r="H6" i="7" s="1"/>
  <c r="G22" i="7"/>
  <c r="F71" i="9"/>
  <c r="F105" i="9"/>
  <c r="F118" i="9"/>
  <c r="F20" i="9"/>
  <c r="F143" i="9"/>
  <c r="F185" i="9"/>
  <c r="F184" i="9" s="1"/>
  <c r="F55" i="9"/>
  <c r="F259" i="9"/>
  <c r="F334" i="9"/>
  <c r="F258" i="9" l="1"/>
  <c r="F257" i="9" s="1"/>
  <c r="F175" i="9"/>
  <c r="I22" i="7"/>
  <c r="G21" i="7"/>
  <c r="I21" i="7" s="1"/>
  <c r="F133" i="9"/>
  <c r="F295" i="9"/>
  <c r="F294" i="9" s="1"/>
  <c r="F154" i="9"/>
  <c r="F373" i="9"/>
  <c r="I7" i="7"/>
  <c r="J7" i="7" s="1"/>
  <c r="G6" i="7"/>
  <c r="G5" i="7" s="1"/>
  <c r="F19" i="9"/>
  <c r="F293" i="9" l="1"/>
  <c r="F255" i="9" s="1"/>
  <c r="F254" i="9" s="1"/>
  <c r="F8" i="9"/>
  <c r="F7" i="9" s="1"/>
  <c r="F6" i="9" s="1"/>
  <c r="F5" i="9" s="1"/>
  <c r="G20" i="7"/>
  <c r="I20" i="7" s="1"/>
  <c r="H5" i="7"/>
  <c r="I6" i="7"/>
  <c r="F23" i="7"/>
  <c r="J23" i="7" s="1"/>
  <c r="F253" i="9" l="1"/>
  <c r="F2" i="9" s="1"/>
  <c r="I254" i="9"/>
  <c r="G2" i="7"/>
  <c r="H2" i="7"/>
  <c r="I5" i="7"/>
  <c r="I2" i="7" s="1"/>
  <c r="F25" i="7"/>
  <c r="F8" i="7"/>
  <c r="F13" i="7"/>
  <c r="F18" i="7"/>
  <c r="F17" i="7" s="1"/>
  <c r="F7" i="7" l="1"/>
  <c r="L7" i="7" s="1"/>
  <c r="L8" i="7" s="1"/>
  <c r="F22" i="7"/>
  <c r="F21" i="7" s="1"/>
  <c r="F6" i="7" l="1"/>
  <c r="F5" i="7" l="1"/>
  <c r="F20" i="7"/>
  <c r="F2" i="7" l="1"/>
</calcChain>
</file>

<file path=xl/sharedStrings.xml><?xml version="1.0" encoding="utf-8"?>
<sst xmlns="http://schemas.openxmlformats.org/spreadsheetml/2006/main" count="7831" uniqueCount="839">
  <si>
    <t>023.01.DK</t>
  </si>
  <si>
    <t>Program Pendidikan Tinggi</t>
  </si>
  <si>
    <t>4472</t>
  </si>
  <si>
    <t>Pembinaan Kelembagaan Pendidikan Tinggi</t>
  </si>
  <si>
    <t>4472.BDB</t>
  </si>
  <si>
    <t>Fasilitasi dan Pembinaan Lembaga[Base Line]</t>
  </si>
  <si>
    <t>Lokasi : KOTA JAKARTA TIMUR</t>
  </si>
  <si>
    <t>4472.BDB.001</t>
  </si>
  <si>
    <t>Lembaga Pendidikan Tinggi Akademik dan Vokasi yang mendapatkan layanan pembinaan peningkatan mutu</t>
  </si>
  <si>
    <t>051</t>
  </si>
  <si>
    <t>Pembinaan dan Evaluasi Lapangan Pengendalian Perguruan Tinggi</t>
  </si>
  <si>
    <t xml:space="preserve"> </t>
  </si>
  <si>
    <t>A</t>
  </si>
  <si>
    <t>Monitoring, Evaluasi, dan Penataan Legalitas PTS</t>
  </si>
  <si>
    <t>521213</t>
  </si>
  <si>
    <t>Belanja Honor Output Kegiatan</t>
  </si>
  <si>
    <t>522151</t>
  </si>
  <si>
    <t>Belanja Jasa Profesi</t>
  </si>
  <si>
    <t>524113</t>
  </si>
  <si>
    <t>Belanja Perjalanan Dinas Dalam Kota</t>
  </si>
  <si>
    <t>052</t>
  </si>
  <si>
    <t>Workshop/Sosialisasi/Bimbingan Teknis Peningkatan Mutu Perguruan Tinggi</t>
  </si>
  <si>
    <t>521211</t>
  </si>
  <si>
    <t>Belanja Bahan</t>
  </si>
  <si>
    <t>522141</t>
  </si>
  <si>
    <t>Belanja Sewa</t>
  </si>
  <si>
    <t>B</t>
  </si>
  <si>
    <t>Penilaian Angka Kredit Dosen dan Kegiatan Pendukung Karir Dosen</t>
  </si>
  <si>
    <t>524111</t>
  </si>
  <si>
    <t>Belanja Perjalanan Dinas Biasa</t>
  </si>
  <si>
    <t>524119</t>
  </si>
  <si>
    <t>Belanja Perjalanan Dinas Paket Meeting Luar Kota</t>
  </si>
  <si>
    <t>C</t>
  </si>
  <si>
    <t>524114</t>
  </si>
  <si>
    <t>Belanja Perjalanan Dinas Paket Meeting Dalam Kota</t>
  </si>
  <si>
    <t>D</t>
  </si>
  <si>
    <t>521231</t>
  </si>
  <si>
    <t>Belanja Barang Pemberian Penghargaan dalam bentuk uang</t>
  </si>
  <si>
    <t>E</t>
  </si>
  <si>
    <t>Peningkatan Kinerja Dosen</t>
  </si>
  <si>
    <t>F</t>
  </si>
  <si>
    <t>Inovasi Dalam Rangka Meningkatkan Mutu Riset dan Pengabdian Masyarakat</t>
  </si>
  <si>
    <t>G</t>
  </si>
  <si>
    <t>Kebijakan Anti Dosa Pendidikan dan Integritas Akademik</t>
  </si>
  <si>
    <t>H</t>
  </si>
  <si>
    <t>Peningkatan Mutu Perguruan Tinggi</t>
  </si>
  <si>
    <t>053</t>
  </si>
  <si>
    <t>peningkatan Kerjasama Perguruan Tinggi</t>
  </si>
  <si>
    <t>Fasilitasi Kerjasama Perguruan Tinggi (Dalam Negeri)</t>
  </si>
  <si>
    <t xml:space="preserve">Rapat Koordinasi Perguruan Tinggi </t>
  </si>
  <si>
    <t>054</t>
  </si>
  <si>
    <t>Fasilitasi Layanan LLDikti</t>
  </si>
  <si>
    <t>Fasilitasi Layanan  LLDikti</t>
  </si>
  <si>
    <t>Peningkatan Kualitas Layanan LLDikti</t>
  </si>
  <si>
    <t>4472.BDB.002</t>
  </si>
  <si>
    <t>Lembaga Pendidikan Tinggi Akademik dan Vokasi yang mendapat layanan rekomendasi</t>
  </si>
  <si>
    <t>125.0 Lembaga</t>
  </si>
  <si>
    <t>Evaluasi Dokumen usulan Rekomendasi</t>
  </si>
  <si>
    <t>Koordinasi dan Presentasi Pendirian, Pembukaan, Perubahan, dan Penutupan PT/Prodi (100 Rekomendasi)</t>
  </si>
  <si>
    <t>Bimtek dan Workshop layanan rekomendasi</t>
  </si>
  <si>
    <t>Pelatihan PTS yang mendapat pelayanan rekomendasi</t>
  </si>
  <si>
    <t>524211</t>
  </si>
  <si>
    <t>Belanja Perjalanan Dinas Biasa - Luar Negeri</t>
  </si>
  <si>
    <t>Visitasi dan evaluasi Lapangan</t>
  </si>
  <si>
    <t>Visitasi dan Pleno Evaluasi Rekomendasi (20 Rekomendasi)</t>
  </si>
  <si>
    <t>4472.BEJ</t>
  </si>
  <si>
    <t>Bantuan Pendidikan Tinggi[Base Line]</t>
  </si>
  <si>
    <t>8825.0 Orang</t>
  </si>
  <si>
    <t>Lokasi : DKI JAKARTA</t>
  </si>
  <si>
    <t>4472.BEJ.001</t>
  </si>
  <si>
    <t>Dosen Non PNS yang Menerima Tunjangan Profesi</t>
  </si>
  <si>
    <t>004</t>
  </si>
  <si>
    <t>Dukungan Operasional Penyelenggaraan Pendidikan</t>
  </si>
  <si>
    <t>Tunjangan Sertifikasi Dosen dan Guru Besar Non PNS</t>
  </si>
  <si>
    <t>511521</t>
  </si>
  <si>
    <t>Belanja Tunjangan Tenaga Pendidik Non PNS</t>
  </si>
  <si>
    <t>023.01.WA</t>
  </si>
  <si>
    <t>Program Dukungan Manajemen</t>
  </si>
  <si>
    <t>6392</t>
  </si>
  <si>
    <t>Pengelolaan Lembaga Layanan Penddikan Tinggi</t>
  </si>
  <si>
    <t>6392.EBA</t>
  </si>
  <si>
    <t>Layanan Dukungan Manajemen Internal[Base Line]</t>
  </si>
  <si>
    <t>2.0 Layanan, Laporan, Dokumen, Rekomendasi, Unit</t>
  </si>
  <si>
    <t>6392.EBA.962</t>
  </si>
  <si>
    <t>Layanan Umum</t>
  </si>
  <si>
    <t>1.0 Layanan</t>
  </si>
  <si>
    <t>Umum dan Rumah Tangga Satker</t>
  </si>
  <si>
    <t xml:space="preserve">Penguatan Manajemen Perencanaan dan Keuangan LLDIKTI </t>
  </si>
  <si>
    <t>Peningkatan Kualitas Kearsipan</t>
  </si>
  <si>
    <t>Pembinaan dan Evaluasi Kinerja Pegawai</t>
  </si>
  <si>
    <t>521219</t>
  </si>
  <si>
    <t>Belanja Barang Non Operasional Lainnya</t>
  </si>
  <si>
    <t>6392.EBA.994</t>
  </si>
  <si>
    <t>Layanan Perkantoran</t>
  </si>
  <si>
    <t>001</t>
  </si>
  <si>
    <t>Gaji dan Tunjangan</t>
  </si>
  <si>
    <t>Pembayaran Gaji dan Tunjangan</t>
  </si>
  <si>
    <t>511111</t>
  </si>
  <si>
    <t>Belanja Gaji Pokok PNS</t>
  </si>
  <si>
    <t>511119</t>
  </si>
  <si>
    <t>Belanja Pembulatan Gaji PNS</t>
  </si>
  <si>
    <t>511121</t>
  </si>
  <si>
    <t>Belanja Tunj. Suami/Istri PNS</t>
  </si>
  <si>
    <t>511122</t>
  </si>
  <si>
    <t>Belanja Tunj. Anak PNS</t>
  </si>
  <si>
    <t>511123</t>
  </si>
  <si>
    <t>Belanja Tunj. Struktural PNS</t>
  </si>
  <si>
    <t>511124</t>
  </si>
  <si>
    <t>Belanja Tunj. Fungsional PNS</t>
  </si>
  <si>
    <t>511125</t>
  </si>
  <si>
    <t>Belanja Tunj. PPh PNS</t>
  </si>
  <si>
    <t>511126</t>
  </si>
  <si>
    <t>Belanja Tunj. Beras PNS</t>
  </si>
  <si>
    <t>511129</t>
  </si>
  <si>
    <t>Belanja Uang Makan PNS</t>
  </si>
  <si>
    <t>511151</t>
  </si>
  <si>
    <t>Belanja Tunjangan Umum PNS</t>
  </si>
  <si>
    <t>511153</t>
  </si>
  <si>
    <t>Belanja Tunjangan Profesi Dosen</t>
  </si>
  <si>
    <t>511154</t>
  </si>
  <si>
    <t>Belanja Tunjangan Kehormatan Profesor</t>
  </si>
  <si>
    <t>512211</t>
  </si>
  <si>
    <t>Belanja Uang Lembur</t>
  </si>
  <si>
    <t>002</t>
  </si>
  <si>
    <t>Operasional dan Pemeliharaan Kantor</t>
  </si>
  <si>
    <t>Operasional Perkantoran</t>
  </si>
  <si>
    <t>521111</t>
  </si>
  <si>
    <t>Belanja Keperluan Perkantoran</t>
  </si>
  <si>
    <t>521115</t>
  </si>
  <si>
    <t>Belanja Honor Operasional Satuan Kerja</t>
  </si>
  <si>
    <t>521811</t>
  </si>
  <si>
    <t>Belanja Barang Persediaan Barang Konsumsi</t>
  </si>
  <si>
    <t>Langganan Daya dan Jasa</t>
  </si>
  <si>
    <t>522111</t>
  </si>
  <si>
    <t>Belanja Langganan Listrik</t>
  </si>
  <si>
    <t>522112</t>
  </si>
  <si>
    <t>Belanja Langganan Telepon</t>
  </si>
  <si>
    <t>522113</t>
  </si>
  <si>
    <t>Belanja Langganan Air</t>
  </si>
  <si>
    <t>Perawatan Kendaraan Roda 4 dan Roda 2</t>
  </si>
  <si>
    <t>523121</t>
  </si>
  <si>
    <t>Belanja Pemeliharaan Peralatan dan Mesin</t>
  </si>
  <si>
    <t>Perawatan Sarana dan Prasarana Gedung Kantor</t>
  </si>
  <si>
    <t>523111</t>
  </si>
  <si>
    <t>Belanja Pemeliharaan Gedung dan Bangunan</t>
  </si>
  <si>
    <t>6392.EBB</t>
  </si>
  <si>
    <t>Layanan Sarana dan Prasarana Internal[Base Line]</t>
  </si>
  <si>
    <t>6392.EBB.951</t>
  </si>
  <si>
    <t>Layanan Sarana Internal</t>
  </si>
  <si>
    <t>997</t>
  </si>
  <si>
    <t>Pengadaan Peralatan Fasilitas Perkantoran</t>
  </si>
  <si>
    <t>Peralatan Fasilitas Perkantoran</t>
  </si>
  <si>
    <t>532111</t>
  </si>
  <si>
    <t>Belanja Modal Peralatan dan Mesin</t>
  </si>
  <si>
    <t>- Konsumsi/Snack/Seminar Kit/Penjlidan dan Penggandaan/Spanduk/Sertifikat</t>
  </si>
  <si>
    <t>- Honorarium Panitia</t>
  </si>
  <si>
    <t>- Honorarium Narasumber/Moderator</t>
  </si>
  <si>
    <t>- Biaya Perjalanan Dinas Dalam Kota</t>
  </si>
  <si>
    <t>- Konsumsi/Snack</t>
  </si>
  <si>
    <t>- Penggantian biaya pemeliharaan gedung kampus</t>
  </si>
  <si>
    <t>- Spanduk dan Media Publikasi Lainnya</t>
  </si>
  <si>
    <t>- Biaya Perjalanan Dinas Luar Kota</t>
  </si>
  <si>
    <t>- Biaya Perjalanan Dinas Paket Meeting Dalam Kota</t>
  </si>
  <si>
    <t>- Biaya Perjalanan Dinas Paket Meeting Luar Kota</t>
  </si>
  <si>
    <t>- Pemberian Uang Pembinaan Individu</t>
  </si>
  <si>
    <t>- Honorarium Per Proposal Reviewer (Penilaian CU, Video BI, &amp; Naskah GK )</t>
  </si>
  <si>
    <t>- Honorarium Penanggungjawab/Redaktur/Penyunting/Sekretariat</t>
  </si>
  <si>
    <t>- Konsumsi/Snack/Seminar Kit/Penjlidan dan Penggandaan/Plakat/Sertifikat</t>
  </si>
  <si>
    <t>- Biaya sewa multimedia</t>
  </si>
  <si>
    <t>- Bahan Habis Pakai</t>
  </si>
  <si>
    <t>- Honorarium Narasumber/Progremer/Tenaga Analis/Moderator</t>
  </si>
  <si>
    <t>- Spanduk dan Media Publikasi lainnya</t>
  </si>
  <si>
    <t>- Visitasi Kerja Sama Luar Negeri (Australia)</t>
  </si>
  <si>
    <t>- Tunjangan Profesi Dosen Non PNS Lulus 2008  360 ORG x 12 BLN</t>
  </si>
  <si>
    <t>- Tunjangan Profesi Dosen Non PNS Lulus 2009 374 ORG x 12 BLN</t>
  </si>
  <si>
    <t>- Tunjangan Profesi Dosen Non PNS Lulus 2010 233 ORG x 12 BLN</t>
  </si>
  <si>
    <t>- Tunjangan Profesi Dosen Non PNS Lulus 2011 747 ORG x 12 BLN</t>
  </si>
  <si>
    <t>- Tunjangan Profesi Dosen Non PNS Lulus 2012 607 ORG x 12 BLN</t>
  </si>
  <si>
    <t>- Tunjangan Profesi Dosen Non PNS Lulus 2013 504 ORG x 12 BLN</t>
  </si>
  <si>
    <t>- Tunjangan Profesi Dosen Non PNS Lulus 2014 424 ORG x 12 BLN</t>
  </si>
  <si>
    <t>- Tunjangan Profesi Dosen Non PNS Lulus 2015 617 ORG x 12 BLN</t>
  </si>
  <si>
    <t>- Tunjangan Profesi Dosen Non PNS Lulus 2016 535 ORG x 12 BLN</t>
  </si>
  <si>
    <t>- Tunjangan Profesi Dosen Non PNS Lulus 2017 836 ORG x 12 BLN</t>
  </si>
  <si>
    <t>- Tunjangan Profesi Dosen Non PNS Lulus 2018 832 ORG x 12 BLN</t>
  </si>
  <si>
    <t>- Tunjangan Profesi Dosen Non PNS Lulus 2019 922 ORG x 12 BLN</t>
  </si>
  <si>
    <t>- Tunjangan Profesi Dosen Non PNS Lulus 2020 712 ORG x 12 BLN</t>
  </si>
  <si>
    <t>- Tunjangan Profesi Dosen Non PNS Lulus 2021 483 ORG x 12 BLN</t>
  </si>
  <si>
    <t>- Tunjangan Profesi Dosen Non PNS Lulus 2022 174 ORG x 12 BLN</t>
  </si>
  <si>
    <t>- Tunjangan Profesi Dosen Non PNS Lulus 2023 174 ORG x 12 BLN</t>
  </si>
  <si>
    <t>- Tunjangan Profesi Dosen Profesor Non PNS Lulus 2008 85 ORG x 12 BLN</t>
  </si>
  <si>
    <t>- Tunjangan Profesi Dosen Profesor Non PNS Lulus 2009 13 ORG x 12 BLN</t>
  </si>
  <si>
    <t>- Tunjangan Profesi Dosen Profesor Non PNS Lulus 2010 12 ORG x 12 BLN</t>
  </si>
  <si>
    <t>- Tunjangan Profesi Dosen Profesor Non PNS Lulus 2011 18 ORG x 12 BLN</t>
  </si>
  <si>
    <t>- Tunjangan Profesi Dosen Profesor Non PNS Lulus 2012 2 ORG x 12 BLN</t>
  </si>
  <si>
    <t>- Tunjangan Profesi Dosen Profesor Non PNS Lulus 2013 3 ORG x 12 BLN</t>
  </si>
  <si>
    <t>- Tunjangan Profesi Dosen Profesor Non PNS Lulus 2014 4 ORG x 12 BLN</t>
  </si>
  <si>
    <t>- Tunjangan Profesi Dosen Profesor Non PNS Lulus 2015 4 ORG x 12 BLN</t>
  </si>
  <si>
    <t>- Tunjangan Profesi Dosen Profesor Non PNS Lulus 2016 3 ORG x 12 BLN</t>
  </si>
  <si>
    <t>- Tunjangan Profesi Dosen Profesor Non PNS Lulus 2017 2 ORG x 12 BLN</t>
  </si>
  <si>
    <t>- Tunjangan Kehormatan Profesor Non PNS Lulus 2008 85 ORG x 12 BLN</t>
  </si>
  <si>
    <t>- Tunjangan Kehormatan Profesor Non PNS Lulus 2009 13 ORG x 12 BLN</t>
  </si>
  <si>
    <t>- Tunjangan Kehormatan Profesor Non PNS Lulus 2010 12 ORG x 12 BLN</t>
  </si>
  <si>
    <t>- Tunjangan Kehormatan Profesor Non PNS Lulus 2011 18 ORG x 12 BLN</t>
  </si>
  <si>
    <t>- Tunjangan Kehormatan Profesor Non PNS Lulus 2012 2 ORG x 12 BLN</t>
  </si>
  <si>
    <t>- Tunjangan Kehormatan Profesor Non PNS Lulus 2013 3 ORG x 12 BLN</t>
  </si>
  <si>
    <t>- Tunjangan Kehormatan Profesor Non PNS Lulus 2014 4 ORG x 12 BLN</t>
  </si>
  <si>
    <t>- Tunjangan Kehormatan Profesor Non PNS Lulus 2015 4 ORG x 12 BLN</t>
  </si>
  <si>
    <t>- Tunjangan Kehormatan Profesor Non PNS Lulus 2016 3 ORG x 12 BLN</t>
  </si>
  <si>
    <t>- Tunjangan Kehormatan Profesor Non PNS Lulus 2017 1 ORG x 1 BLN</t>
  </si>
  <si>
    <t>- Biaya Pelatihan Kompetensi Non Gelar</t>
  </si>
  <si>
    <t>- Sewa Kendaraan Roda 6/Bus Besar (Jawa Barat)</t>
  </si>
  <si>
    <t>- Belanja Gaji Pokok PNS</t>
  </si>
  <si>
    <t>- Belanja Gaji Pokok PNS (gaji ke 13)</t>
  </si>
  <si>
    <t>- Belanja Gaji Pokok PNS (THR)</t>
  </si>
  <si>
    <t>- Belanja Pembulatan Gaji PNS</t>
  </si>
  <si>
    <t>- Belanja Pembulatan Gaji PNS (gaji ke 13)</t>
  </si>
  <si>
    <t>- Belanja Pembulatan Gaji PNS (THR)</t>
  </si>
  <si>
    <t>- Belanja Tunj. Suami/Istri PNS</t>
  </si>
  <si>
    <t>- Belanja Tunj. Suami/Istri PNS (gaji ke 13)</t>
  </si>
  <si>
    <t>- Belanja Tunj. Suami/Istri PNS (THR)</t>
  </si>
  <si>
    <t>- Belanja Tunj. Anak PNS</t>
  </si>
  <si>
    <t>- Belanja Tunj. Anak PNS (gaji ke 13)</t>
  </si>
  <si>
    <t>- Belanja Tunj. Anak PNS (THR)</t>
  </si>
  <si>
    <t>- Belanja Tunj. Struktural PNS</t>
  </si>
  <si>
    <t>- Belanja Tunj. Struktural PNS (gaji ke 13)</t>
  </si>
  <si>
    <t>- Belanja Tunj. Struktural PNS (THR)</t>
  </si>
  <si>
    <t>- Belanja Tunj. Fungsional PNS</t>
  </si>
  <si>
    <t>- Belanja Tunj. Fungsional PNS (gaji ke 13)</t>
  </si>
  <si>
    <t>- Belanja Tunj. Fungsional PNS (THR)</t>
  </si>
  <si>
    <t>- Belanja Tunj. PPh PNS</t>
  </si>
  <si>
    <t>- Belanja Tunj. PPh PNS (gaji ke 13)</t>
  </si>
  <si>
    <t>- Belanja Tunj. PPh PNS (THR)</t>
  </si>
  <si>
    <t>- Belanja Tunj. Beras PNS</t>
  </si>
  <si>
    <t>- Uang Makan PNS Golongan IV</t>
  </si>
  <si>
    <t>- Uang Makan PNS Golongan III</t>
  </si>
  <si>
    <t>- Uang Makan PNS Golongan I dan II</t>
  </si>
  <si>
    <t>- Belanja Tunjangan Umum PNS</t>
  </si>
  <si>
    <t>- Belanja Tunjangan Umum PNS (gaji ke 13)</t>
  </si>
  <si>
    <t>- Belanja Tunjangan Umum PNS (THR)</t>
  </si>
  <si>
    <t>- Tunjangan Profesi Dosen PNS Lulus 2008 26 ORG x 12 BLN</t>
  </si>
  <si>
    <t>- Tunjangan Profesi Dosen PNS Lulus 2009 51 ORG x 12 BLN</t>
  </si>
  <si>
    <t>- Tunjangan Profesi Dosen PNS Lulus 2010 29 ORG x 12 BLN</t>
  </si>
  <si>
    <t>- Tunjangan Profesi Dosen PNS Lulus 2011 72 ORG x 12 BLN</t>
  </si>
  <si>
    <t>- Tunjangan Profesi Dosen PNS Lulus 2012 43 ORG x 12 BLN</t>
  </si>
  <si>
    <t>- Tunjangan Profesi Dosen PNS Lulus 2013 24 ORG x 12 BLN</t>
  </si>
  <si>
    <t>- Tunjangan Profesi Dosen PNS Lulus 2014 12 ORG x 12 BLN</t>
  </si>
  <si>
    <t>- Tunjangan Profesi Dosen PNS Lulus 2015 33 ORG x 12 BLN</t>
  </si>
  <si>
    <t>- Tunjangan Profesi Dosen PNS Lulus 2016 12 ORG x 12 BLN</t>
  </si>
  <si>
    <t>- Tunjangan Profesi Dosen PNS Lulus 2017 18 ORG x 12 BLN</t>
  </si>
  <si>
    <t>- Tunjangan Profesi Dosen PNS Lulus 2019 10 ORG X 12 BLN</t>
  </si>
  <si>
    <t>- Tunjangan Profesi Dosen PNS Lulus 2020 12 ORG X 12 BLN</t>
  </si>
  <si>
    <t>- Tunjangan Profesi Dosen PNS Lulus 2021 1 ORG X 12 BLN</t>
  </si>
  <si>
    <t>- Tunjangan Profesi Dosen Profesor PNS Lulus 2008 34 ORG X 12 BLN</t>
  </si>
  <si>
    <t>- Tunjangan Profesi Dosen Profesor PNS Lulus 2009 7 ORG X 12 BLN</t>
  </si>
  <si>
    <t>- Tunjangan Profesi Dosen Profesor PNS Lulus 2010 5 ORG X 12 BLN</t>
  </si>
  <si>
    <t>- Tunjangan Profesi Dosen Profesor PNS Lulus 2011 5 ORG X 12 BLN</t>
  </si>
  <si>
    <t>- Tunjangan Profesi Dosen Profesor PNS Lulus 2012 1 ORG X 12 BLN</t>
  </si>
  <si>
    <t>- Tunjangan Profesi Dosen Profesor PNS Lulus 2013 2 ORG X 12 BLN</t>
  </si>
  <si>
    <t>- Tunjangan Profesi Dosen Profesor PNS Lulus 2015 1 ORG X 12 BLN</t>
  </si>
  <si>
    <t>- Tunjangan Kehormatan Profesor PNS Lulus 2008 34 ORG X 12 BLN</t>
  </si>
  <si>
    <t>- Tunjangan Kehormatan Profesor PNS Lulus 2009 7 ORG X 12 BLN</t>
  </si>
  <si>
    <t>- Tunjangan Kehormatan Profesor PNS Lulus 2010 5 ORG X 12 BLN</t>
  </si>
  <si>
    <t>- Tunjangan Kehormatan Profesor PNS Lulus 2011 5 ORG x 12 BLN</t>
  </si>
  <si>
    <t>- Tunjangan Kehormatan Profesor PNS Lulus 2012 1 ORG x 12 BLN</t>
  </si>
  <si>
    <t>- Tunjangan Kehormatan Profesor PNS Lulus 2013 2 ORG x 12 BLN</t>
  </si>
  <si>
    <t>- Tunjangan Kehormatan Profesor PNS Lulus 2015 1 ORG x 12 BLN</t>
  </si>
  <si>
    <t>- Tunjangan Kehormatan Profesor PNS Lulus 2016 1 ORG x 1 BLN</t>
  </si>
  <si>
    <t>- Uang Lembur Golongan IV</t>
  </si>
  <si>
    <t>- Uang Lembur Golongan III</t>
  </si>
  <si>
    <t>- Uang Lembur Golongan II</t>
  </si>
  <si>
    <t>- keperluan Sehari-hari Perkantoran lebih dari 40 Pegawai (DKI Jakarta)</t>
  </si>
  <si>
    <t>- Honorarium Pegawai Non Aparatur Sipil Negara 12 ORG x 13 BLN</t>
  </si>
  <si>
    <t>- Uang Lembur/Uang Makan Lembur Pegawai Non Aparatur Sipil Negara 12 ORG x 3 JAM x 12 BLN</t>
  </si>
  <si>
    <t>- Biaya Internet</t>
  </si>
  <si>
    <t>- Lisensi Aplikasi Video Conference</t>
  </si>
  <si>
    <t>- Biaya Transfer Bank (Transaksi Bendahara dengan Bank)</t>
  </si>
  <si>
    <t>- BPJS Ketenagakerjaan 12 Bln x 12 Org</t>
  </si>
  <si>
    <t>- Honorarium KPA/PPK/PPSPM/BP/PPABP/Staff Pengelola Keu/Pejabat Pengadaan/Pengelola BMN/Pengelola SAI</t>
  </si>
  <si>
    <t>- Belanja Barang Non Operasional Lainnya  9 Bln x 2 KL</t>
  </si>
  <si>
    <t>- Listrik Kantor</t>
  </si>
  <si>
    <t>- Telepon Kantor</t>
  </si>
  <si>
    <t>- Air Pam</t>
  </si>
  <si>
    <t>- Biaya Pemeliharaan dan Operasional Kendaraan Dinas Pejabat Eselon II (D.K.I.  Jakarta)</t>
  </si>
  <si>
    <t>- Biaya Pemeliharaan dan Operasional Kendaraan Roda 4 (D.K.I.  Jakarta)</t>
  </si>
  <si>
    <t>- Biaya Pemeliharaan dan Operasional Kendaraan Roda 2 (D.K.I.  Jakarta)</t>
  </si>
  <si>
    <t>- Pemeliharaan Gedung/Bangunan Kantor Bertingkat (D.K.I.  Jakarta)</t>
  </si>
  <si>
    <t>- Perbaikan/Penggantian Lampu Penerangan</t>
  </si>
  <si>
    <t>- Perbaikan/Penggantian Sarana Gedung</t>
  </si>
  <si>
    <t>- Pemeliharaan Ruang Kerja</t>
  </si>
  <si>
    <t>- Pengadaan jasa keamanan dan pengemudi kantor</t>
  </si>
  <si>
    <t>- Pemeliharaan AC Split</t>
  </si>
  <si>
    <t>- Pemeliharaan/Service Lift Kantor</t>
  </si>
  <si>
    <t>- Pemeliharaan PC/Notebook/Perangkat Pendukung Lainnya</t>
  </si>
  <si>
    <t>- Pengadaan AC Kantor</t>
  </si>
  <si>
    <t>- Pengadaan Peralatan Multimedia</t>
  </si>
  <si>
    <t>Lembaga</t>
  </si>
  <si>
    <t>OK</t>
  </si>
  <si>
    <t>OJ</t>
  </si>
  <si>
    <t>KEG</t>
  </si>
  <si>
    <t>OB</t>
  </si>
  <si>
    <t>PAKET</t>
  </si>
  <si>
    <t>OH</t>
  </si>
  <si>
    <t>OP</t>
  </si>
  <si>
    <t>PKT</t>
  </si>
  <si>
    <t>Dok</t>
  </si>
  <si>
    <t>OT</t>
  </si>
  <si>
    <t>Orang</t>
  </si>
  <si>
    <t>Layanan,Laporan,Dokumen,Rekomendasi,Unit</t>
  </si>
  <si>
    <t>Layanan</t>
  </si>
  <si>
    <t>TAHUN</t>
  </si>
  <si>
    <t>BULAN</t>
  </si>
  <si>
    <t>Tahun</t>
  </si>
  <si>
    <t>THN</t>
  </si>
  <si>
    <t>BLN</t>
  </si>
  <si>
    <t>UNIT</t>
  </si>
  <si>
    <t>Unit,m,Paket</t>
  </si>
  <si>
    <t>Unit</t>
  </si>
  <si>
    <t>LEMBAGA LAYANAN PENDIDIKAN TINGGI WILAYAH III</t>
  </si>
  <si>
    <t>KODE</t>
  </si>
  <si>
    <t>DESKRIPSI</t>
  </si>
  <si>
    <t>Volume</t>
  </si>
  <si>
    <t>SATUAN</t>
  </si>
  <si>
    <t>Harga Satuan</t>
  </si>
  <si>
    <t>Jumlah Biaya</t>
  </si>
  <si>
    <t>-   Honorarium Tim PAK Nasional (LK) [72 ORG x 12 KEG]</t>
  </si>
  <si>
    <t>-   Honorarium Tim PAK Nasional (GB) [50 ORG x 12 KEG]</t>
  </si>
  <si>
    <t>MENJADI</t>
  </si>
  <si>
    <t>Belanja Perjalanan Dinas Luar Kota</t>
  </si>
  <si>
    <t>Penguatan Kemandirian Merdeka Belajar Kampus Merdeka</t>
  </si>
  <si>
    <t>- Iuran Kepesertaan BPJS Ketenagakerjaan (JKK, JKM)</t>
  </si>
  <si>
    <t>Keg</t>
  </si>
  <si>
    <t>- Konsumsi/Snack/Seminar Kit/Penjlidan dan Penggandaan/Spanduk/Sertifikat/Media Publikasi/Protokoler/Plakat/Keperluan Kehumasan.</t>
  </si>
  <si>
    <t>-   Konsumsi/Snack/Seminar Kit/Penjlidan dan Penggandaan/Spanduk/Sertifikat</t>
  </si>
  <si>
    <t>- Honorarium Per Proposal Reviewer</t>
  </si>
  <si>
    <t>- Biaya Perjalanan Dinas Biasa</t>
  </si>
  <si>
    <t>- Biaya Cetak Book Chapters</t>
  </si>
  <si>
    <t>-  Pendaftaran ISBN dan E-Book/Biaya Langganan Crossref/Biaya Mail Blast Annual/Pembentukan OJS</t>
  </si>
  <si>
    <t>Pembelajaran dan Prestasi Mahasiswa</t>
  </si>
  <si>
    <t>- Belanja Perjalanan Dinas Biasa</t>
  </si>
  <si>
    <t>- Tunjangan Profesi Dosen PNS Lulus 2022 1 ORG X 3 BLN</t>
  </si>
  <si>
    <t>- Tunjangan Profesi Dosen PNS Lulus 2018 25 ORG X 12 BLN</t>
  </si>
  <si>
    <t>Tambahan 2025</t>
  </si>
  <si>
    <t>setelah Tambahan 2025</t>
  </si>
  <si>
    <t>- Pengadaan Peralatan TIK</t>
  </si>
  <si>
    <t>- 03 Bahan Habis Pakai</t>
  </si>
  <si>
    <t>- 05 Spanduk dan Media Publikasi Lainnya</t>
  </si>
  <si>
    <t>- 06 Penggandaan dan Penjilidan Laporan</t>
  </si>
  <si>
    <t>ORKAL</t>
  </si>
  <si>
    <t>- 01 Uang Harian Perjalanan Dinas Luar Kota (Jawa  Barat) [8 ORG x 1 TIM x 1 HARI x 20 PT]</t>
  </si>
  <si>
    <t>- 02 Satuan biaya transportasi jakarta ke kota bekasi [8 ORG x 1 TIM x 2 KL x 20 PT]</t>
  </si>
  <si>
    <t>- 04 Satuan Biaya Tiket Pesawat  Perjalanan Dinas Dalam Negeri (PP) Ekonomi JAKARTA - SEMARANG</t>
  </si>
  <si>
    <t>- 07 Biaya Penginapan Perjalanan Dinas Pejabat Eselon III/Golongan IV  (JAWA  TENGAH)  [8 ORG x 2 KL x 2 HR]</t>
  </si>
  <si>
    <t>- 10 Uang Harian Perjalanan Dinas Luar Kota (Jawa  Tengah) [16 ORG x 3 HR]</t>
  </si>
  <si>
    <t>- 12 Biaya Taksi Perjalanan Dinas (D.K.I. Jakarta) [16 ORG x 2 KL x 3 KEG]</t>
  </si>
  <si>
    <t>- 14 Biaya Taksi Perjalanan Dinas (Jawa Tengah) [16 ORG x 2 KL]</t>
  </si>
  <si>
    <t>- 01 Makan Rapat Biasa D.K.I.  JAKARTA</t>
  </si>
  <si>
    <t>- 02 Snack Rapat Biasa D.K.I.  JAKARTA</t>
  </si>
  <si>
    <t xml:space="preserve">- 03 Seminar Kit </t>
  </si>
  <si>
    <t>- 04 Spanduk dan Media Publikasi Lainnya</t>
  </si>
  <si>
    <t>- 05 Penggandaan dan Penjilidan Laporan</t>
  </si>
  <si>
    <t>- 01 Honorarium Penanggung Jawab Panitia Seminar/Rakor/Sosialisai/Diseminasi/FGD</t>
  </si>
  <si>
    <t>- 02 Honorarium Ketua/Wakil ketua Panitia Seminar/Rakor/Sosialisai/Diseminasi/FGD</t>
  </si>
  <si>
    <t>- 03 Honorarium Sekretaris Panitia Seminar/Rakor/Sosialisai/Diseminasi/FGD</t>
  </si>
  <si>
    <t>- 04 Honorarium Anggota Panitia Seminar/Rakor/Sosialisai/Diseminasi/FGD</t>
  </si>
  <si>
    <t>- 01 Honorarium Narasumber (Pejabat Eselon II) [4 ORG x 4 JAM x 3 KEG]</t>
  </si>
  <si>
    <t>- 01 Uang Harian Perjalanan Dinas Luar Kota (Jawa  Barat) [12 ORG x  1 HR]</t>
  </si>
  <si>
    <t>- 02 Satuan biaya transportasi jakarta ke kota bekasi [12 ORG x 1 KL]</t>
  </si>
  <si>
    <t>- 01 Uang Harian Perjalanan Dinas Dalam Kota Lebih dari 8 Jam (D.K.I.  Jakarta) [25 ORG x 3 KL]</t>
  </si>
  <si>
    <t>- 02 Uang Transport Kegiatan Dalam Kabupaten/Kota Pergi Pulang (PP) [25 ORG x 3 KL]</t>
  </si>
  <si>
    <t xml:space="preserve">- 01 Makan Rapat Biasa D.K.I.  JAKARTA [200 ORG x 4 KEG x 4 KL] </t>
  </si>
  <si>
    <t>- 02 Snack Rapat Biasa D.K.I.  JAKARTA [200 ORG x 4 KEG x 4 KL]</t>
  </si>
  <si>
    <t>- 01 Honorarium Narasumber (Pejabat Eselon II) [4 ORG x 4 JAM x 4 KEG]</t>
  </si>
  <si>
    <t>- 02 Honorarium Moderator  [2 ORG x 4 KL]</t>
  </si>
  <si>
    <t>- 01 Uang Harian Perjalanan Dinas Dalam Kota Lebih dari 8 Jam (D.K.I.  Jakarta) [25 ORG x 4 KL]</t>
  </si>
  <si>
    <t>- 02 Uang Transport Kegiatan Dalam Kabupaten/Kota Pergi Pulang (PP) [25 ORG x 4 KL]</t>
  </si>
  <si>
    <t xml:space="preserve">- 01 Makan Rapat Biasa D.K.I.  JAKARTA [150 ORG x 2 KL x 4 KEG ] </t>
  </si>
  <si>
    <t>- 02 Snack Rapat Biasa D.K.I.  JAKARTA [150 ORG x 2 KL x 4 KEG ]</t>
  </si>
  <si>
    <t>- 03 Honorarium Per Proposal Reviewer</t>
  </si>
  <si>
    <t>- 01 Uang Harian Perjalanan Dinas Luar Kota (Jawa  Barat) [25 ORG x  3 HR]</t>
  </si>
  <si>
    <t>- 02 Satuan biaya transportasi jakarta ke kota bekasi [25 ORG x 2 KL]</t>
  </si>
  <si>
    <t>- 03 Biaya Penginapan Dalam Kota  [5 ORG x 1 KL]</t>
  </si>
  <si>
    <t>- 03 Seminar Kit [150 ORG x 3 KEG]</t>
  </si>
  <si>
    <t xml:space="preserve">- 01 Makan Rapat Biasa D.K.I.  JAKARTA [250 ORG x 2 KL x 4 KEG ] </t>
  </si>
  <si>
    <t>- 02 Snack Rapat Biasa D.K.I.  JAKARTA [250 ORG x 2 KL x 4 KEG ]</t>
  </si>
  <si>
    <t>- 02 Honorarium Honorarium Tim Juri (Pejabat Eselon II)  [7 ORG x 3 JAM]</t>
  </si>
  <si>
    <t>- 03 Honorarium Moderator  [2 ORG x 4 KL x 4 KEG]</t>
  </si>
  <si>
    <t>- 03 Biaya Penginapan Luar Kota  [25 ORG x 1 KL]</t>
  </si>
  <si>
    <t>- Biaya sewa  Soundsystem, Jenset</t>
  </si>
  <si>
    <t>- 01 Honorarium Narasumber (Pejabat Eselon I) [2 ORG x 2 JAM x 1 KEG]</t>
  </si>
  <si>
    <t>- 03 Honorarium Moderator  [4 ORG x 2 KL]</t>
  </si>
  <si>
    <t>- 01 Uang Harian Perjalanan Dinas Luar Kota (Jawa  Barat) [65 ORG x  1 HR]</t>
  </si>
  <si>
    <t>- 02 Uang Saku Fullboard [65 ORG x 1 KL]</t>
  </si>
  <si>
    <t>- 02 Satuan biaya transportasi jakarta ke kota bekasi [65 ORG x 1 KL]</t>
  </si>
  <si>
    <t>- 03 Biaya Penginapan Luar Kota  [65 ORG x 1 KL]</t>
  </si>
  <si>
    <t>- 06 Bahan Habis Pakai</t>
  </si>
  <si>
    <t>- 01 Honorarium Narasumber (Pejabat Eselon II) [6 ORG x 4 JAM x 6 KEG]</t>
  </si>
  <si>
    <t xml:space="preserve">- 01 Uang Harian Perjalanan Dinas Luar Kota </t>
  </si>
  <si>
    <t>- 02 Uang Saku Fullboard Luar Kota</t>
  </si>
  <si>
    <t>- 03 Satuan biaya transportasi jakarta ke Perbatasan</t>
  </si>
  <si>
    <t xml:space="preserve">- 04 Biaya Penginapan Luar Kota </t>
  </si>
  <si>
    <t>- 05 Uang Saku Fullday Luar Kota</t>
  </si>
  <si>
    <t xml:space="preserve">- 06 Biaya Perjalanan Dinas Paket Meeting Luar Kota (Jawa  Barat) </t>
  </si>
  <si>
    <t xml:space="preserve">- 01 Uang Harian Perjalanan Dinas Dalam Kota Lebih dari 8 Jam </t>
  </si>
  <si>
    <t>- 02 Uang Saku Fullday Dalam Kota</t>
  </si>
  <si>
    <t>- 03 Uang Saku Fullboard Dalam Kota</t>
  </si>
  <si>
    <t xml:space="preserve">- 04 Uang Transport Kegiatan Dalam Kabupaten/Kota Pergi Pulang (PP) </t>
  </si>
  <si>
    <t>- 01 Honorarium Narasumber (Pejabat Eselon II) [4 ORG x 4 JAM x 2 KEG]</t>
  </si>
  <si>
    <t>- 02 Honorarium Moderator [2 ORG x 2 KL]</t>
  </si>
  <si>
    <t>- 01 Uang Harian Perjalanan Dinas Fullboar Luar Kota (Jawa  Barat) [6 ORG x  10 HR]</t>
  </si>
  <si>
    <t>- 01 Uang Harian Perjalanan Dinas Dalam Kota Lebih dari 8 Jam (D.K.I.  Jakarta) [6 ORG x 10 KL]</t>
  </si>
  <si>
    <t>- 02 Uang Transport Kegiatan Dalam Kabupaten/Kota Pergi Pulang (PP) [6 ORG x 10 KL]</t>
  </si>
  <si>
    <t>- Tunjangan Kehormatan Profesor Non PNS Lulus 2020 1 ORG x 1 BLN</t>
  </si>
  <si>
    <t>Honorarium Penanggung Jawab(UAPPA/Barang-W)</t>
  </si>
  <si>
    <t>Honorarium Koordinator(UAPPA/Barang-W)</t>
  </si>
  <si>
    <t>Honorarium Anggota/Petugas(UAPPA/Barang-W)</t>
  </si>
  <si>
    <t>Honorarium Ketua/Wakil Ketua (UAKPA/Barang)</t>
  </si>
  <si>
    <t>Honorarium Pengurus/Penyimpan Bmn Tingkat Kuasa Pengguna Barang</t>
  </si>
  <si>
    <t>Honorarium Pejabat Kuasa Pengguna Anggaran (pagu dana di atas  Rp250 miliar s.d. Rp500 miliar)</t>
  </si>
  <si>
    <t>Honorarium Pejabat Pembuat Komitmen (pagu dana di atas  Rp250 miliar s.d. Rp500 miliar)</t>
  </si>
  <si>
    <t>Honorarium Pejabat  Penguji Tagihan   Penandatangan  Spm (pagu dana di atas  Rp250 miliar s.d. Rp500 miliar)</t>
  </si>
  <si>
    <t>Honorarium Bendahara  Pengeluaran (pagu dana di atas  Rp250 miliar s.d. Rp500 miliar)</t>
  </si>
  <si>
    <t>Honorarium Staf  Pengelola (pagu dana di atas  Rp250 miliar s.d. Rp500 miliar)</t>
  </si>
  <si>
    <t>Honorarium Pejabat Pengadaan Barang/Jasa</t>
  </si>
  <si>
    <t>- Belanja Barang Non Operasional Lainnya  12 Bln x 2 KL</t>
  </si>
  <si>
    <t>M2</t>
  </si>
  <si>
    <t>Alat Pengolah Data dan Komunikasi</t>
  </si>
  <si>
    <t>Baru</t>
  </si>
  <si>
    <t>- 02 Honorarium Moderator [1 ORG x 4 KL]</t>
  </si>
  <si>
    <t>- 01 Honorarium Penanggung Jawab Panitia Seminar/Rakor/Sosialisai/Diseminasi/FGD (1 ORG x 2 KL)</t>
  </si>
  <si>
    <t>- 02 Honorarium Ketua/Wakil ketua Panitia Seminar/Rakor/Sosialisai/Diseminasi/FGD (1 ORG x 2 KL)</t>
  </si>
  <si>
    <t>- 03 Honorarium Sekretaris Panitia Seminar/Rakor/Sosialisai/Diseminasi/FGD (1 ORG x2 KL)</t>
  </si>
  <si>
    <t>- 04 Honorarium Anggota Panitia Seminar/Rakor/Sosialisai/Diseminasi/FGD (5 ORG x 2 KL)</t>
  </si>
  <si>
    <t>- 01 Makan Rapat Biasa D.K.I.  JAKARTA [150 ORG x  2KL]</t>
  </si>
  <si>
    <t>- 02 Snack Rapat Biasa D.K.I.  JAKARTA [150 ORG x 2 KL]</t>
  </si>
  <si>
    <t>- 01 Uang Harian Perjalanan Dinas Dalam Kota Lebih dari 8 Jam (D.K.I.  Jakarta) [4 ORG x 5 TIM x 1 HR x 4 PT x 2 KL]</t>
  </si>
  <si>
    <t>- 02 Uang Transport Kegiatan Dalam Kabupaten/Kota Pergi Pulang (PP) [4 ORG x 5 TIM x 1 HR x 4 PT x 2 KL]</t>
  </si>
  <si>
    <t>- 01 Honorarium Narasumber (Pejabat Eselon II) [3 ORG x 3 JAM x 2 KEG]</t>
  </si>
  <si>
    <t>- 01 Honorarium Narasumber (Pejabat Eselon II) [5 ORG x 4 JAM x 2 KEG]</t>
  </si>
  <si>
    <t xml:space="preserve">- 01 Makan Rapat Biasa D.K.I.  JAKARTA [200 ORG x 2 KEG x 2 KL] </t>
  </si>
  <si>
    <t>- 02 Snack Rapat Biasa D.K.I.  JAKARTA [200 ORG x 2 KEG x 2 KL]</t>
  </si>
  <si>
    <t>- 01 Honorarium Penanggung Jawab Panitia Seminar/Rakor/Sosialisai/Diseminasi/FGD (1 ORG x 2 KEG)</t>
  </si>
  <si>
    <t>- 02 Honorarium Ketua/Wakil ketua Panitia Seminar/Rakor/Sosialisai/Diseminasi/FGD (1 ORG x 2 KEG)</t>
  </si>
  <si>
    <t>- 03 Honorarium Sekretaris Panitia Seminar/Rakor/Sosialisai/Diseminasi/FGD (1 ORG x 2 KEG)</t>
  </si>
  <si>
    <t>- 04 Honorarium Anggota Panitia Seminar/Rakor/Sosialisai/Diseminasi/FGD (20 ORG x 2 KEG)</t>
  </si>
  <si>
    <t>- 04 Bahan Habis Pakai</t>
  </si>
  <si>
    <t>- 03 Honorarium Moderator  [2 ORG x 4 KL x 2 KEG]</t>
  </si>
  <si>
    <t xml:space="preserve">- 01 Makan Rapat Biasa D.K.I.  JAKARTA [200 ORG x 3 KEG ] </t>
  </si>
  <si>
    <t xml:space="preserve">- 02 Snack Rapat Biasa D.K.I.  JAKARTA [200 ORG x 3 KEG ] </t>
  </si>
  <si>
    <t>- 01 Honorarium Penanggung Jawab Panitia Seminar/Rakor/Sosialisai/Diseminasi/FGD (1 ORG x 3 KEG)</t>
  </si>
  <si>
    <t>- 02 Honorarium Ketua/Wakil ketua Panitia Seminar/Rakor/Sosialisai/Diseminasi/FGD (1 ORG x 3 KEG)</t>
  </si>
  <si>
    <t>- 03 Honorarium Sekretaris Panitia Seminar/Rakor/Sosialisai/Diseminasi/FGD (1 ORG x 3 KEG)</t>
  </si>
  <si>
    <t>- 04 Honorarium Anggota Panitia Seminar/Rakor/Sosialisai/Diseminasi/FGD (20 ORG x 3 KEG)</t>
  </si>
  <si>
    <t>- 02 Honorarium Honorarium Tim Juri (Pejabat Eselon II)  [5 ORG x 2 JAM x 3 KEG]</t>
  </si>
  <si>
    <t xml:space="preserve">- 01 Makan Rapat Biasa D.K.I.  JAKARTA [120 ORG x 2 KEG] </t>
  </si>
  <si>
    <t xml:space="preserve">- 02 Snack Rapat Biasa D.K.I.  JAKARTA [120 ORG x 2 KEG] </t>
  </si>
  <si>
    <t>- 03 Satuan biaya transportasi jakarta ke kota bekasi [24 ORG x 2 KL]</t>
  </si>
  <si>
    <t>- 04 Biaya Penginapan Luar Kota [12 ORG x 2 PKT x 2 KEG]</t>
  </si>
  <si>
    <t>- 02 Uang Saku Fullboard [12 ORG x 2 HR x 2 KEG]</t>
  </si>
  <si>
    <t>- 02 Honorarium Honorarium Tim Juri (Pejabat Eselon II)  [7 ORG x 2 JAM]</t>
  </si>
  <si>
    <t>- Tunjangan Profesi Dosen Non PNS Lulus 2022 50 ORG x 12 BLN</t>
  </si>
  <si>
    <t>- Tunjangan Profesi Dosen Non PNS Lulus 2023 50 ORG x 12 BLN</t>
  </si>
  <si>
    <t>- Tunjangan Profesi Dosen Non PNS Lulus 2024 50 ORG x 12 BLN</t>
  </si>
  <si>
    <t>- Tunjangan Profesi Dosen Profesor Non PNS Lulus 2008 50 ORG x 12 BLN</t>
  </si>
  <si>
    <t>- Tunjangan Kehormatan Profesor Non PNS Lulus 2008 50 ORG x 12 BLN</t>
  </si>
  <si>
    <t>- Tunjangan Profesi Dosen Non PNS Lulus 2008  60 ORG x 12 BLN</t>
  </si>
  <si>
    <t>- Tunjangan Profesi Dosen Non PNS Lulus 2009 60 ORG x 12 BLN</t>
  </si>
  <si>
    <t>- Tunjangan Profesi Dosen Non PNS Lulus 2010 60 ORG x 12 BLN</t>
  </si>
  <si>
    <t>- Tunjangan Profesi Dosen Non PNS Lulus 2011 60 ORG x 12 BLN</t>
  </si>
  <si>
    <t>- Tunjangan Profesi Dosen Non PNS Lulus 2012 60 ORG x 12 BLN</t>
  </si>
  <si>
    <t>- Tunjangan Profesi Dosen Non PNS Lulus 2013 60 ORG x 12 BLN</t>
  </si>
  <si>
    <t>- Tunjangan Profesi Dosen Non PNS Lulus 2014 60 ORG x 12 BLN</t>
  </si>
  <si>
    <t>- Tunjangan Profesi Dosen Non PNS Lulus 2015 60 ORG x 12 BLN</t>
  </si>
  <si>
    <t>- Tunjangan Profesi Dosen Non PNS Lulus 2016 60 ORG x 12 BLN</t>
  </si>
  <si>
    <t>- Tunjangan Profesi Dosen Non PNS Lulus 2017 60 ORG x 12 BLN</t>
  </si>
  <si>
    <t>- Tunjangan Profesi Dosen Non PNS Lulus 2018 60 ORG x 12 BLN</t>
  </si>
  <si>
    <t>- Tunjangan Profesi Dosen Non PNS Lulus 2019 60 ORG x 12 BLN</t>
  </si>
  <si>
    <t>- Tunjangan Profesi Dosen Non PNS Lulus 2020 60 ORG x 12 BLN</t>
  </si>
  <si>
    <t>- Tunjangan Profesi Dosen Non PNS Lulus 2021 60 ORG x 12 BLN</t>
  </si>
  <si>
    <t>- Tunjangan Kehormatan Profesor Non PNS Lulus 2016 2 ORG x 12 BLN</t>
  </si>
  <si>
    <t>- Tunjangan Kehormatan Profesor Non PNS Lulus 2017 1 ORG x 8 BLN</t>
  </si>
  <si>
    <t>Kementerian/Lembaga</t>
  </si>
  <si>
    <t>Unit eselon II/Satker</t>
  </si>
  <si>
    <t>Kegiatan</t>
  </si>
  <si>
    <t>Sasaran Kegiatan</t>
  </si>
  <si>
    <t>Indikator kinerja kegiatan</t>
  </si>
  <si>
    <t>Klasifikasi Rincian Output</t>
  </si>
  <si>
    <t>Indikator KRO</t>
  </si>
  <si>
    <t>Satuan Ukur</t>
  </si>
  <si>
    <t>Alokasi Dana</t>
  </si>
  <si>
    <t>: Kementerian Pendidikan dan Kebudayaan</t>
  </si>
  <si>
    <t>: Lembaga Layanan Pendidikan Tinggi Wilayah III DKI Jakarta</t>
  </si>
  <si>
    <t>: Pembinaan Kelembagaan Pendidikan Tinggi</t>
  </si>
  <si>
    <t>: Tersedianya Program Studi dan Perguruan Tinggi yang Berkualitas</t>
  </si>
  <si>
    <t>: Jumlah Layanan Fasilitasi Lembaga Pendidikan Tinggi Akademik dan Vokasi</t>
  </si>
  <si>
    <t>: Fasilitasi dan Pembinaan Lembaga</t>
  </si>
  <si>
    <t>: 1. Jumlah Lembaga Pendidikan Tinggi Akademik dan Vokasi yang mendapatkan layanan pembinaan peningkatan mutu</t>
  </si>
  <si>
    <t xml:space="preserve">  2. Lembaga Pendidikan Tinggi Akademik dan Vokasi yang mendapat layanan rekomendasi</t>
  </si>
  <si>
    <t>: Lembaga</t>
  </si>
  <si>
    <t>RINCIAN ANGGARAN BELANJA</t>
  </si>
  <si>
    <t>: Kementerian Pendidikan, Kebudayaan, Riset, dan Teknologi</t>
  </si>
  <si>
    <t>Penanggung Jawab Kegiatan</t>
  </si>
  <si>
    <t>Toni Toharudin</t>
  </si>
  <si>
    <t>NIP 197004011995121001</t>
  </si>
  <si>
    <t>: Bantuan Pendidikan Tinggi</t>
  </si>
  <si>
    <t>: Tunjangan Sertifikasi Dosen dan Guru Besar Non PNS</t>
  </si>
  <si>
    <t>: Orang</t>
  </si>
  <si>
    <t>: Dukungan Manajemen Layanan Pendidikan Tinggi</t>
  </si>
  <si>
    <t>: Meningkatnya kualitas perencanaan di lingkungan Kemendikbud</t>
  </si>
  <si>
    <t>: 1. Predikat SAKIP Lembaga layanan Pendidikan Tinggi</t>
  </si>
  <si>
    <t xml:space="preserve">  2. Rata-rata nilai evaluasi kinerja anggaran Satker di Kemendikbud minimum kategori baik</t>
  </si>
  <si>
    <t>: Layanan Dukungan Manajemen Internal</t>
  </si>
  <si>
    <t>: 1</t>
  </si>
  <si>
    <t>- 01 Honorarium Penanggung Jawab Panitia Seminar/Rakor/Sosialisai/Diseminasi/FGD (1 ORG x 5 KL)</t>
  </si>
  <si>
    <t>- 02 Honorarium Ketua/Wakil ketua Panitia Seminar/Rakor/Sosialisai/Diseminasi/FGD (1 ORG x 5 KL)</t>
  </si>
  <si>
    <t>- 03 Honorarium Sekretaris Panitia Seminar/Rakor/Sosialisai/Diseminasi/FGD (1 ORG x 5 KL)</t>
  </si>
  <si>
    <t>- 01 Honorarium Narasumber (Pejabat Eselon II) [4 ORG x 3 JAM x 5 KEG]</t>
  </si>
  <si>
    <t>- 10 Uang Harian Perjalanan Dinas Luar Kota (Jawa  Tengah) [5 ORG x 3 HR]</t>
  </si>
  <si>
    <t>- 12 Biaya Taksi Perjalanan Dinas (D.K.I. Jakarta) [5 ORG x 2 KL x 3 KEG]</t>
  </si>
  <si>
    <t>- 14 Biaya Taksi Perjalanan Dinas (Jawa Tengah) [5 ORG x 2 KL]</t>
  </si>
  <si>
    <t>- 01 Uang Harian Perjalanan Dinas Dalam Kota Lebih dari 8 Jam (D.K.I.  Jakarta) [4 ORG x 10 TIM x 1 HR x 8 PT 2 x KL]</t>
  </si>
  <si>
    <t>- 02 Uang Transport Kegiatan Dalam Kabupaten/Kota Pergi Pulang (PP) [4 ORG x 10 TIM x 1 HR x 8 PT 2 x KL]</t>
  </si>
  <si>
    <t>- 01 Makan Rapat Biasa D.K.I.  JAKARTA [150 ORG x  5KL]</t>
  </si>
  <si>
    <t>- 02 Snack Rapat Biasa D.K.I.  JAKARTA [150 ORG x 5 KL]</t>
  </si>
  <si>
    <t>- 02 Honorarium Moderator [3 ORG x 5 KEG]</t>
  </si>
  <si>
    <t>- 04 Honorarium Anggota Panitia Seminar/Rakor/Sosialisai/Diseminasi/FGD (12 ORG x 5 KL)</t>
  </si>
  <si>
    <t>- 01 Uang Harian Perjalanan Dinas Luar Kota (Jawa  Barat) [8 ORG x 1 TIM x 1 HARI x 6 PT]</t>
  </si>
  <si>
    <t>- 02 Satuan biaya transportasi jakarta ke kota bekasi [8 ORG x 1 TIM x 2 KL x 6 PT]</t>
  </si>
  <si>
    <t>- Biaya Perjalanan Dinas Paket Meeting Dalam Kota [100 ORG x 2 KL]</t>
  </si>
  <si>
    <t>- 01 Uang Harian Perjalanan Dinas Fullday (D.K.I.  Jakarta) [25 ORG x 4 KL]</t>
  </si>
  <si>
    <t>- 01 Honorarium Narasumber (Pejabat Eselon II) [4 ORG x 3 JAM x 3 KEG]</t>
  </si>
  <si>
    <t>- 02 Honorarium Moderator [1 ORG x 2 KL]</t>
  </si>
  <si>
    <t>- 01 Uang Harian Perjalanan Dinas Dalam Kota Lebih dari 8 Jam (D.K.I.  Jakarta) [10 ORG x 2 KL]</t>
  </si>
  <si>
    <t>- 02 Uang Transport Kegiatan Dalam Kabupaten/Kota Pergi Pulang (PP) [10 ORG x 2 KL]</t>
  </si>
  <si>
    <t>- 02 Honorarium Per Proposal Reviewer (Penilaian CU, Video BI, &amp; Naskah GK )</t>
  </si>
  <si>
    <t>- 03 Honorarium Moderator  [1 ORG x 10 KL]</t>
  </si>
  <si>
    <t>- 01 Honorarium Narasumber (Pejabat Eselon II) [4 ORG x 3 JAM x 2 HR x10 KEG]</t>
  </si>
  <si>
    <t>- 01 Uang Harian Perjalanan Dinas Dalam Kota Lebih dari 8 Jam (D.K.I.  Jakarta) [50 ORG x 2 HR x 4 KEG]</t>
  </si>
  <si>
    <t>- 02 Uang Transport Kegiatan Dalam Kabupaten/Kota Pergi Pulang (PP) [50 ORG x2 HR x 4 KL]</t>
  </si>
  <si>
    <t>- Biaya Perjalanan Dinas Paket Meeting Dalam Kota [250 ORG x 2 KL]</t>
  </si>
  <si>
    <t>- 01 Uang Harian Perjalanan Dinas Dalam Kota Lebih dari 8 Jam (D.K.I.  Jakarta) [75 ORG x 4 KL]</t>
  </si>
  <si>
    <t>- 02 Uang Transport Kegiatan Dalam Kabupaten/Kota Pergi Pulang (PP) [75 ORG x 4 KL]</t>
  </si>
  <si>
    <t>- 01 Uang Harian Perjalanan Dinas Luar Kota (Jawa  Barat) [20 ORG x  3 HR]</t>
  </si>
  <si>
    <t>- 02 Satuan biaya transportasi jakarta ke kota bekasi [20 ORG x 2 KL]</t>
  </si>
  <si>
    <t>- 02 Honorarium Moderator  [1 ORG x 4 KL]</t>
  </si>
  <si>
    <t>- 03 Biaya Penginapan Luar Kota  [25 ORG x 2 KL]</t>
  </si>
  <si>
    <t>- 03 Biaya Penginapan Dalam Kota  [10 ORG x 2 KL]</t>
  </si>
  <si>
    <t>- 01 Uang Harian Perjalanan Dinas Dalam Kota Lebih dari 8 Jam (D.K.I.  Jakarta) [25 ORG x 2 KL]</t>
  </si>
  <si>
    <t>- 02 Uang Transport Kegiatan Dalam Kabupaten/Kota Pergi Pulang (PP) [25 ORG x 2 KL]</t>
  </si>
  <si>
    <t>- 01 Uang Harian Perjalanan Dinas Fullday (D.K.I.  Jakarta) [25 ORG x 2 HR x 2 KL]</t>
  </si>
  <si>
    <t>- 03 Biaya Penginapan Dalam Kota  [8 ORG x 2 KL]</t>
  </si>
  <si>
    <t xml:space="preserve">- 02 Snack Rapat Biasa D.K.I.  JAKARTA </t>
  </si>
  <si>
    <t>- 01 Honorarium Narasumber (Pejabat Eselon II) [6 ORG x 4 JAM ]</t>
  </si>
  <si>
    <t>- 03 Honorarium Moderator  [2 ORG x 2 KL]</t>
  </si>
  <si>
    <t>- 03 Seminar Kit [600 ORG x 1 KEG]</t>
  </si>
  <si>
    <t xml:space="preserve">- 01 Makan Rapat Biasa D.K.I.  JAKARTA [600 ORG x 1 KL  ] </t>
  </si>
  <si>
    <t>- 02 Snack Rapat Biasa D.K.I.  JAKARTA [600 ORG x 1 KL  ]</t>
  </si>
  <si>
    <t>- 02 Satuan biaya transportasi jakarta ke kota bekasi [6 ORG  x 10 KL]</t>
  </si>
  <si>
    <t xml:space="preserve">- 01 Makan Rapat Biasa D.K.I.  JAKARTA [20 ORG x 10 KL  ] </t>
  </si>
  <si>
    <t>- 02 Snack Rapat Biasa D.K.I.  JAKARTA [20 ORG x 10 KL  ]</t>
  </si>
  <si>
    <t xml:space="preserve">- 01 Makan Rapat Biasa D.K.I.  JAKARTA [60 ORG x 15 KL  ] </t>
  </si>
  <si>
    <t>- 02 Snack Rapat Biasa D.K.I.  JAKARTA [60 ORG x 15 KL  ]</t>
  </si>
  <si>
    <t>- 03 Biaya Penginapan Luar Kota  [10 ORG x 1 HR]</t>
  </si>
  <si>
    <t>- 01 Uang Harian Perjalanan Dinas Luar Kota (Jawa  Barat) [5 ORG x  1 HR]</t>
  </si>
  <si>
    <t>- 03 Satuan biaya transportasi jakarta ke kota bekasi [60 ORG x 2 KL]</t>
  </si>
  <si>
    <t>- 02 Uang Saku Fullboard [60 ORG x 3 HR]</t>
  </si>
  <si>
    <t>- 03 Uang Saku Fullday [60 ORG x 3 HR]</t>
  </si>
  <si>
    <t>- 04 Biaya Penginapan Dalam Kota  [20 ORG x 1 KL]</t>
  </si>
  <si>
    <t>- 01 Uang Harian Perjalanan Dinas Dalam Kota Lebih dari 8 Jam (D.K.I.  Jakarta) [60 ORG x 1 KL]</t>
  </si>
  <si>
    <t>- 03 Penggandaan dan Penjilidan Laporan</t>
  </si>
  <si>
    <t>- 05 Bahan Habis Pakai</t>
  </si>
  <si>
    <t>- 04 Spandung dan bahan publikasi lainnya</t>
  </si>
  <si>
    <t>- 02 Uang Transport Kegiatan Dalam Kabupaten/Kota Pergi Pulang (PP) [60 ORG x 2 KL]</t>
  </si>
  <si>
    <t>- Tunjangan Kehormatan Profesor Non PNS Lulus 2008 80 ORG x 12 BLN</t>
  </si>
  <si>
    <t>- Tunjangan Profesi Dosen Non PNS Lulus 2008  350 ORG x 12 BLN</t>
  </si>
  <si>
    <t>- Tunjangan Profesi Dosen Non PNS Lulus 2012 550 ORG x 12 BLN</t>
  </si>
  <si>
    <t>- Tunjangan Profesi Dosen Non PNS Lulus 2017 831 ORG x 12 BLN</t>
  </si>
  <si>
    <t>- 01 Honorarium Narasumber (Pejabat Eselon II) [4 ORG x 2 JAM x  2 HR]</t>
  </si>
  <si>
    <t>- 02 Honorarium Moderator  [2 ORG x 2 KL]</t>
  </si>
  <si>
    <t>- 01 Uang Harian Perjalanan Dinas Luar Kota (Jawa  Barat) 12[ ORG x  1 HR]</t>
  </si>
  <si>
    <t>- 02 Uang Harian Perjalanan Dinas Fullboard (Jawa Barat) [12 ORG x 1 KL]</t>
  </si>
  <si>
    <t>- 01 Honorarium Narasumber (Pejabat Eselon II) [4 ORG x 4 JAM x 3 HR]</t>
  </si>
  <si>
    <t>- 01 Uang Harian Perjalanan Dinas Dalam Kota Lebih dari 8 Jam (D.K.I.  Jakarta) [12 ORG x 8 KL]</t>
  </si>
  <si>
    <t>- 02 Uang Transport Kegiatan Dalam Kabupaten/Kota Pergi Pulang (PP) [12 ORG x 8 KL]</t>
  </si>
  <si>
    <t>- 03 Uang Harian Perjalanan Dinas Fullday (Jawa Barat) [15 ORG x 1 KL]</t>
  </si>
  <si>
    <t xml:space="preserve">- 01 Makan Rapat Biasa D.K.I.  JAKARTA [150 ORG x 3 KEG ] </t>
  </si>
  <si>
    <t>- 02 Snack Rapat Biasa D.K.I.  JAKARTA [150 ORG x 3 KEG ]</t>
  </si>
  <si>
    <t>- 01 Uang Harian Perjalanan Dinas Fullboar Luar Kota (Jawa  Barat) [25 ORG x  2 HR x 3 KL]</t>
  </si>
  <si>
    <t>- 03 Biaya Penginapan Dalam Kota  [15 ORG x 1 KL]</t>
  </si>
  <si>
    <t>: Rp. 410.352.000,-</t>
  </si>
  <si>
    <t>: Rp. 6.200.373.000</t>
  </si>
  <si>
    <t>: 1. Layanan Perkantoran</t>
  </si>
  <si>
    <t xml:space="preserve">  2. Layanan Umum</t>
  </si>
  <si>
    <t>: Layanan</t>
  </si>
  <si>
    <t>: Rp. 464.230.000</t>
  </si>
  <si>
    <t>Belanja Gaji Pokok PPPK</t>
  </si>
  <si>
    <t>- Belanja Gaji Pokok PPPK</t>
  </si>
  <si>
    <t>Belanja Pembulatan Gaji PPPK</t>
  </si>
  <si>
    <t>- Belanja Pembulatan Gaji PPPK</t>
  </si>
  <si>
    <t>Belanja Tunjangan Suami/Istri PPPK</t>
  </si>
  <si>
    <t>- Belanja Tunjangan Suami/Istri PPPK</t>
  </si>
  <si>
    <t>Belanja Tunjangan Anak PPPK</t>
  </si>
  <si>
    <t>- Belanja Tunjangan Anak PPPK</t>
  </si>
  <si>
    <t>Belanja Tunjangan Fungsional PPPK</t>
  </si>
  <si>
    <t>- Belanja Tunjangan Fungsional PPPK</t>
  </si>
  <si>
    <t>Belanja Tunjangan Beras PPPK</t>
  </si>
  <si>
    <t>- Belanja Tunjangan Beras PPPK</t>
  </si>
  <si>
    <t>Belanja Uang Makan PPPK</t>
  </si>
  <si>
    <t>- Belanja Uang Makan PPPK</t>
  </si>
  <si>
    <t>Belanja Uang Lembur PPPK</t>
  </si>
  <si>
    <t>- Uang Lembur PPPK (7 Org x 8 Jam x 36 HR)</t>
  </si>
  <si>
    <t>- Uang Makan Lembur PPPK (7 Org x 36 Hari)</t>
  </si>
  <si>
    <t xml:space="preserve">- 01 Makan Rapat Biasa D.K.I.  JAKARTA [25 ORG x 2 KL x 10 KEG ] </t>
  </si>
  <si>
    <t>- 02 Snack Rapat Biasa D.K.I.  JAKARTA [25 ORG x 2 KL x 10 KEG ]</t>
  </si>
  <si>
    <t>- 01 Uang Harian Perjalanan Dinas Luar Kota (Jawa  Barat) [60 ORG x  3 HR]</t>
  </si>
  <si>
    <t>- 02 Satuan biaya transportasi jakarta ke Jawa Barat[60 ORG x 2 KL ]</t>
  </si>
  <si>
    <t>- 03 Biaya Penginapan Luar Kota  [75 ORG x 2 HR]</t>
  </si>
  <si>
    <t>996</t>
  </si>
  <si>
    <t xml:space="preserve">Alat Pengolah Data dan Komunikasi </t>
  </si>
  <si>
    <t>- 01 Honorarium Narasumber (Pejabat Eselon II) [6 ORG x 4 JAM x 4 KEG]</t>
  </si>
  <si>
    <t>: Rp. 184.289.000</t>
  </si>
  <si>
    <t>: Unit</t>
  </si>
  <si>
    <t>: Layanan Sarana Internal</t>
  </si>
  <si>
    <t xml:space="preserve">: Alat Pengolah Data dan Komunikasi </t>
  </si>
  <si>
    <t>: Layanan Sarana dan Prasarana Internal</t>
  </si>
  <si>
    <t>: 125</t>
  </si>
  <si>
    <t>: 262</t>
  </si>
  <si>
    <t>Belanja Pegawai Tunjangan Kinerja PNS</t>
  </si>
  <si>
    <t>- Belanja Pegawai Tunjangan Kinerja PNS</t>
  </si>
  <si>
    <t>Belanja Pegawai Tunjangan Kinerja PPPK</t>
  </si>
  <si>
    <t>- Belanja Pegawai Tunjangan Kinerja PPPK</t>
  </si>
  <si>
    <t>: Kementerian Pendidikan Tinggi, Sains dan Teknologi</t>
  </si>
  <si>
    <t>- Internet</t>
  </si>
  <si>
    <t>- Uang Lembur PPPK (11 Org x 8 Jam x 36 HR)</t>
  </si>
  <si>
    <t>- Uang Makan Lembur PPPK (11 Org x 36 Hari)</t>
  </si>
  <si>
    <t>- Tunjangan Profesi Dosen Non PNS Lulus 2024 174 ORG x 12 BLN</t>
  </si>
  <si>
    <t>- Tunjangan Profesi Dosen Non PNS Lulus 2010 747 ORG x 12 BLN</t>
  </si>
  <si>
    <t>- Tunjangan Profesi Dosen Non PNS Lulus 2014 617 ORG x 12 BLN</t>
  </si>
  <si>
    <t>- Tunjangan Profesi Dosen Non PNS Lulus 2018 992 ORG x 12 BLN</t>
  </si>
  <si>
    <t>Pembayaran Tunjangan Kinerja Dosen ASN</t>
  </si>
  <si>
    <t>- Belanja Pegawai Tunjangan Kinerja Dosen ASN</t>
  </si>
  <si>
    <t>- Biaya Penginapan Dalam Kota</t>
  </si>
  <si>
    <t>Layanan BMN</t>
  </si>
  <si>
    <t>Pengelolaan Barang Milik Negara</t>
  </si>
  <si>
    <t>Koordinasi Penghapusan Barang Rusak Berat</t>
  </si>
  <si>
    <t>- Makan Rapat Biasa D.K.I.  JAKARTA</t>
  </si>
  <si>
    <t>- Snack Rapat Biasa D.K.I.  JAKARTA</t>
  </si>
  <si>
    <t>- Transport Dalam Kota</t>
  </si>
  <si>
    <t>- Uang Harian Dalam Kota</t>
  </si>
  <si>
    <t>-  Bahan Habis Pakai</t>
  </si>
  <si>
    <t>- 01 Honorarium Narasumber (Pejabat Eselon II) [3 ORG x 1 JAM]</t>
  </si>
  <si>
    <t>- 01 Uang Harian Perjalanan Dinas Luar Kota (Jawa  Barat) [10 ORG x  3 HR]</t>
  </si>
  <si>
    <t>- 02 Satuan biaya transportasi jakarta ke Jawa Barat [10 ORG x 2 KL ]</t>
  </si>
  <si>
    <t>- 03 Biaya Penginapan Luar Kota  [10 ORG x 2 HR]</t>
  </si>
  <si>
    <t xml:space="preserve">- 01 Makan Rapat Biasa D.K.I.  JAKARTA [15 ORG x 2 KL x 5 KEG ] </t>
  </si>
  <si>
    <t>- 02 Snack Rapat Biasa D.K.I.  JAKARTA [15 ORG x 2 KL x 5 KEG ]</t>
  </si>
  <si>
    <t>- 01 Honorarium Narasumber (Pejabat Eselon II) [2 ORG x 2 JAM x 2 KEG]</t>
  </si>
  <si>
    <t>- 01 Uang Harian Perjalanan Dinas Luar Kota (Jawa  Barat)  [5 ORG x 2 KL]</t>
  </si>
  <si>
    <t>- 02 Satuan biaya transportasi jakarta ke kota bekasi [5 ORG x 2 KL x 2 KEG]</t>
  </si>
  <si>
    <t>- 01 Uang Harian Perjalanan Dinas Dalam Kota Lebih dari 8 Jam (D.K.I.  Jakarta) [6 ORG x 3 KL x 3 Keg]</t>
  </si>
  <si>
    <t>- 02 Uang Transport Kegiatan Dalam Kabupaten/Kota Pergi Pulang (PP) [6 ORG x 3 KL x 3 Keg]</t>
  </si>
  <si>
    <t>7735.EBA.962</t>
  </si>
  <si>
    <t>7733.BEJ</t>
  </si>
  <si>
    <t>7733.BEJ.001</t>
  </si>
  <si>
    <t>7735</t>
  </si>
  <si>
    <t>7735.EBA</t>
  </si>
  <si>
    <t>7735.EBA.956</t>
  </si>
  <si>
    <t>7735.EBA.994</t>
  </si>
  <si>
    <t>7735.EBB.951</t>
  </si>
  <si>
    <t>Paket</t>
  </si>
  <si>
    <t xml:space="preserve">- 01 Honorarium Penanggung Jawab Panitia Seminar/Rakor/Sosialisai/Diseminasi/FGD </t>
  </si>
  <si>
    <t xml:space="preserve">- 02 Honorarium Ketua/Wakil ketua Panitia Seminar/Rakor/Sosialisai/Diseminasi/FGD </t>
  </si>
  <si>
    <t xml:space="preserve">- 03 Honorarium Sekretaris Panitia Seminar/Rakor/Sosialisai/Diseminasi/FGD </t>
  </si>
  <si>
    <t xml:space="preserve">- 04 Honorarium Anggota Panitia Seminar/Rakor/Sosialisai/Diseminasi/FGD </t>
  </si>
  <si>
    <t>7733.BDB</t>
  </si>
  <si>
    <t>7733.BDB.001</t>
  </si>
  <si>
    <t>7733.BDB.002</t>
  </si>
  <si>
    <t>- Webcam</t>
  </si>
  <si>
    <t>- Smart TV</t>
  </si>
  <si>
    <t>- Mixer</t>
  </si>
  <si>
    <t>- Speaker</t>
  </si>
  <si>
    <t>- Microphone</t>
  </si>
  <si>
    <t>- Mic Podium</t>
  </si>
  <si>
    <t>- Kamera</t>
  </si>
  <si>
    <t>- Lensa Kamera</t>
  </si>
  <si>
    <t>BDB.001</t>
  </si>
  <si>
    <t>BDB.002</t>
  </si>
  <si>
    <t>Jumlah PAGU</t>
  </si>
  <si>
    <t>Selisih</t>
  </si>
  <si>
    <t>- 01 Honorarium Narasumber (Pejabat Eselon II) [3 ORG x 2 JAM x 6 KEG]</t>
  </si>
  <si>
    <t>- 03 Honorarium Moderator  [2 ORG x 2 KL x 4 KEG]</t>
  </si>
  <si>
    <t>- 01 Uang Harian Perjalanan Dinas Dalam Kota Lebih dari 8 Jam (D.K.I.  Jakarta) [5 ORG x 12 TIM x 1 HR x 8 PTS x 2 x KL]</t>
  </si>
  <si>
    <t>- 02 Uang Transport Kegiatan Dalam Kabupaten/Kota Pergi Pulang (PP) [5 ORG x 12 TIM x 1 HR x 8 PTS x 2 x KL]</t>
  </si>
  <si>
    <t>- 03 Biaya Penginapan Luar Kota  [4 ORG x 2 KL x 4 KEG]</t>
  </si>
  <si>
    <t>- 01 Uang Harian Perjalanan Dinas Dalam Kota Lebih dari 8 Jam (D.K.I.  Jakarta)[25 ORG x  3 HR x 4 KEG]</t>
  </si>
  <si>
    <t>- 02 Uang Transport Kegiatan Dalam Kabupaten/Kota Pergi Pulang (PP) [25 ORG x  3 HR x 4 KEG]</t>
  </si>
  <si>
    <t>139.03.DK</t>
  </si>
  <si>
    <t>139.03.WA</t>
  </si>
  <si>
    <t>Honorarium Pejabat Kuasa Pengguna Anggaran (pagu dana di atas  Rp500 miliar</t>
  </si>
  <si>
    <t>Honorarium Pejabat Pembuat Komitmen (pagu dana di atas  Rp500 miliar</t>
  </si>
  <si>
    <t>Honorarium Pejabat  Penguji Tagihan   Penandatangan  Spm (pagu dana di atas  Rp500 miliar</t>
  </si>
  <si>
    <t>Honorarium Bendahara  Pengeluaran (pagu dana di atas  Rp500 miliar)</t>
  </si>
  <si>
    <t>Honorarium Staf  Pengelola (pagu dana di atas Rp500 miliar)</t>
  </si>
  <si>
    <t>- 03 Biaya Penginapan Dalam Kota   [2 ORG x 2 KL x 4 KEG]</t>
  </si>
  <si>
    <t>- 01 Uang Harian Perjalanan Dinas Dalam Kota Lebih dari 8 Jam (D.K.I.  Jakarta) [70 ORG x 2 KL]</t>
  </si>
  <si>
    <t>- 01 Uang Harian Perjalanan Dinas  Luar Kota (Jawa  Barat) [6 ORG x  10 HR]</t>
  </si>
  <si>
    <t>7735.EBB</t>
  </si>
  <si>
    <t>Henri Tambunan</t>
  </si>
  <si>
    <t>NIP 196811261994031001</t>
  </si>
  <si>
    <t>10.543 Orang</t>
  </si>
  <si>
    <t>: 10.543</t>
  </si>
  <si>
    <t>: Rp. 407.858.073.000</t>
  </si>
  <si>
    <t>: Tersedianya program studi dan perguruan tinggi yang berkualitas</t>
  </si>
  <si>
    <t>: Jumlah layanan fasilitasi lembaga pendidikan tinggi akademik dan vokasi</t>
  </si>
  <si>
    <t>: Fasilitasi dan pembinaan lembaga</t>
  </si>
  <si>
    <t>: Lembaga Pendidikan Tinggi Akademik dan Vokasi yang mendapat layanan rekomendasi</t>
  </si>
  <si>
    <t>: Rp. 10.000.000</t>
  </si>
  <si>
    <t>: Layanan BMN</t>
  </si>
  <si>
    <t>: Pengelolaan Lembaga Layanan Penddikan Tinggi</t>
  </si>
  <si>
    <t>: Meningkatnya Tata Kelola Lembaga Layanan Pendidikan Tinggi</t>
  </si>
  <si>
    <t xml:space="preserve">: Layanan Dukungan Manajemen Internal </t>
  </si>
  <si>
    <t>: Layanan Umum</t>
  </si>
  <si>
    <t>- 06 Bahan Habis Pakai Keperluan Kehumasan</t>
  </si>
  <si>
    <t>- 01 Honorarium Narasumber (Pejabat Eselon III) [3 ORG x 2 JAM x 6 KEG]</t>
  </si>
  <si>
    <t xml:space="preserve">- Biaya Taksi Bandara jakarta dan Tujuan [2 ORG x 2 KL x 2 x 10 BLN ] </t>
  </si>
  <si>
    <t xml:space="preserve">- Uang Transport Kegiatan Dalam Kabupaten/Kota Pergi Pulang (PP) [5 ORG x 15 KL x 10 BLN ] </t>
  </si>
  <si>
    <t xml:space="preserve">- Uang Harian Perjalanan Dinas Dalam Kota Lebih dari 8 Jam  [5 ORG x 15 KL x 10 BLN ] </t>
  </si>
  <si>
    <t>Fasilitasi Rekomendasi Perguruan Tinggi dan Program Studi (100 Rekomendasi)</t>
  </si>
  <si>
    <t xml:space="preserve">- 01 Makan Rapat Biasa D.K.I.  JAKARTA [14 ORG x 2 x 10 KL  ] </t>
  </si>
  <si>
    <t xml:space="preserve">- 02 Snack Rapat Biasa D.K.I.  JAKARTA [14 ORG x 2 x 10 KL  ] </t>
  </si>
  <si>
    <t>- Tunjangan Profesi Dosen PNS Lulus 2023 12 ORG X 12 BLN</t>
  </si>
  <si>
    <t>- Tunjangan Profesi Dosen PNS Lulus 2021 12 ORG X 12 BLN</t>
  </si>
  <si>
    <t>- Tunjangan Profesi Dosen PNS Lulus 2022 12 ORG X 12 BLN</t>
  </si>
  <si>
    <t>- Tunjangan Profesi Dosen PNS Lulus 2024 12 ORG X 12 BLN</t>
  </si>
  <si>
    <t>- Tunjangan Profesi Dosen Profesor PNS Lulus 2015 1 ORG X 1 BLN</t>
  </si>
  <si>
    <t>- Tunjangan Profesi Dosen PNS Lulus 2017 23 ORG x 12 BLN</t>
  </si>
  <si>
    <t>- Tunjangan Kehormatan Profesor PNS Lulus 2014 84 ORG X 12 BLN</t>
  </si>
  <si>
    <t xml:space="preserve">- 01 Makan Rapat Biasa D.K.I.  JAKARTA [110 ORG x 2 HR x 2 KL x 4 KEG ] </t>
  </si>
  <si>
    <t xml:space="preserve">- 02 Snack Rapat Biasa D.K.I.  JAKARTA[110 ORG x 2 HR x 2 KL x 4 KEG ] </t>
  </si>
  <si>
    <t>- 01 Honorarium Narasumber (Pejabat Eselon II) [3 ORG x 3 JAM x 2 HR x 4 KEG]</t>
  </si>
  <si>
    <t>- 01 Honorarium Narasumber (Pejabat Eselon III) [3 ORG x 3 JAM x 2 HR x 4 KEG]</t>
  </si>
  <si>
    <t>- 02 Honorarium Moderator  [2 ORG x 2 KL x 4 KEG]</t>
  </si>
  <si>
    <t>- 01 Uang Harian Perjalanan Dinas Luar Kota (Jawa  Barat) [24 ORG x  3 HR x 4 KEG]</t>
  </si>
  <si>
    <t>- 02 Satuan biaya transportasi jakarta ke kota bekasi [24 ORG x 2 KL x 4 KEG]</t>
  </si>
  <si>
    <t>Jumlah</t>
  </si>
  <si>
    <t>RINCIAN ANGGARAN BIAYA</t>
  </si>
  <si>
    <t>Rincian Output</t>
  </si>
  <si>
    <t>: Lembaga Pendidikan Tinggi Akademik dan Vokasi yang Mendapatkan Layanan Pembinaan Peningkatan Mutu</t>
  </si>
  <si>
    <t>Volume RO</t>
  </si>
  <si>
    <t>Satuan RO</t>
  </si>
  <si>
    <t>Kode</t>
  </si>
  <si>
    <t>Uraian RO/Komponen/Subkomponen/Akun/Detil</t>
  </si>
  <si>
    <t>Volume Rincian Output</t>
  </si>
  <si>
    <t>Jenis Komponen
(Utama/Pendukung)</t>
  </si>
  <si>
    <t>jml</t>
  </si>
  <si>
    <t>Sat.</t>
  </si>
  <si>
    <t>Rincian Perhitungan</t>
  </si>
  <si>
    <t>Utama</t>
  </si>
  <si>
    <t>: Dosen Non PNS yang Menerima Tunjangan Profesi</t>
  </si>
  <si>
    <t>: - Predikat Sakip LLDikti 
  - Nilai Kinerja Anggaran</t>
  </si>
  <si>
    <t>: - Predikat Sakip LLDikti
  - Nilai Kinerja Anggaran</t>
  </si>
  <si>
    <t>: 1. Predikat SAKIP Lembaga Layanan Pendidikan Tinggi
  2. Rata-rata nilai evaluasi kinerja anggaran Satker di Kemendikbud minimum kategori baik</t>
  </si>
  <si>
    <t>: 1. Layanan Perkantoran
  2. Layanan Umum</t>
  </si>
  <si>
    <t>: Layanan Sarana dan Prasarana Internal [Base Line]</t>
  </si>
  <si>
    <t xml:space="preserve">- 01 Makan Rapat Biasa D.K.I.  JAKARTA [15 ORG x 1 x 10 KL  ] </t>
  </si>
  <si>
    <t xml:space="preserve">- 02 Snack Rapat Biasa D.K.I.  JAKARTA [15 ORG x 2 x 10 KL  ] </t>
  </si>
  <si>
    <t>- 01 Uang Harian Perjalanan Dinas  Luar Kota (Jawa  Barat) [7 ORG x  10 HR]</t>
  </si>
  <si>
    <t>- 02 Satuan biaya transportasi jakarta ke kota bekasi [7 ORG  x 10 KL]</t>
  </si>
  <si>
    <t>- 01 Uang Harian Perjalanan Dinas Dalam Kota Lebih dari 8 Jam (D.K.I.  Jakarta) [7 ORG x 10 KL]</t>
  </si>
  <si>
    <t>- 02 Uang Transport Kegiatan Dalam Kabupaten/Kota Pergi Pulang (PP) [7 ORG x 10 KL]</t>
  </si>
  <si>
    <t xml:space="preserve">- Uang Harian Perjalanan Dinas Luar Kota [3 ORG x 20 KL x 2 Keg ] </t>
  </si>
  <si>
    <t xml:space="preserve">- Satuan biaya transportasi jakarta ke Perbatasan [3 ORG x 20 KL x 2 Keg  ] </t>
  </si>
  <si>
    <t xml:space="preserve">- biaya Tiket Pesawat [3 ORG x 10 KL] </t>
  </si>
  <si>
    <t xml:space="preserve">- 04 Biaya Penginapan Luar Kota [3 ORG x 2 Hr x 10 KL ] </t>
  </si>
  <si>
    <t>- Uang Makan PNS Golongan II</t>
  </si>
  <si>
    <t xml:space="preserve">- 01 Makan Rapat Biasa D.K.I.  JAKARTA [15 ORG x 17 KL x 10 KEG ] </t>
  </si>
  <si>
    <t xml:space="preserve">- 02 Snack Rapat Biasa D.K.I.  JAKARTA [15 ORG x 17 KL x 10 KEG ] </t>
  </si>
  <si>
    <t>: 245</t>
  </si>
  <si>
    <t>- 04 Spanduk dan bahan publikasi lainnya</t>
  </si>
  <si>
    <t>- 01 Honorarium Narasumber (Pejabat Eselon II) [4 ORG x 3 JAM x 2 KEG]</t>
  </si>
  <si>
    <t>: Rp. 193.288.000</t>
  </si>
  <si>
    <t>Jml</t>
  </si>
  <si>
    <t>: Rp. 198.600.000</t>
  </si>
  <si>
    <t>- 01 Honorarium Narasumber (Pejabat Eselon II) [2 ORG x 3 JAM x  2 HR]</t>
  </si>
  <si>
    <t>1 Layanan</t>
  </si>
  <si>
    <t>7735.EBA.Z07</t>
  </si>
  <si>
    <t>SEMULA</t>
  </si>
  <si>
    <t>Non Perjadin</t>
  </si>
  <si>
    <t>Perjadin</t>
  </si>
  <si>
    <t>Total Selisih</t>
  </si>
  <si>
    <t>Selisih Non Perjadin</t>
  </si>
  <si>
    <t>Selisih Perjadin</t>
  </si>
  <si>
    <t>Selisih Per Sub Komponen</t>
  </si>
  <si>
    <t>Selisih Pagu</t>
  </si>
  <si>
    <t>: Rp. 4.594.964.000</t>
  </si>
  <si>
    <t>: Rp. 260.520.000</t>
  </si>
  <si>
    <t>: Rp. 120.481.552.000</t>
  </si>
  <si>
    <t>Bulan</t>
  </si>
  <si>
    <t>Prog</t>
  </si>
  <si>
    <t>Output</t>
  </si>
  <si>
    <t>Jenbel</t>
  </si>
  <si>
    <t>Pagu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</si>
  <si>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</si>
  <si>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</si>
  <si>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</si>
  <si>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</si>
  <si>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</si>
  <si>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</si>
  <si>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</si>
  <si>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</si>
  <si>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</si>
  <si>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</si>
  <si>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</si>
  <si>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</si>
  <si>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DK</t>
  </si>
  <si>
    <t>BDB</t>
  </si>
  <si>
    <t>BEJ</t>
  </si>
  <si>
    <t>WA</t>
  </si>
  <si>
    <t>EBA</t>
  </si>
  <si>
    <t>EBB</t>
  </si>
  <si>
    <t>7733.BDB.001.051</t>
  </si>
  <si>
    <t>7733.BDB.001.052</t>
  </si>
  <si>
    <t>7733.BDB.001.053</t>
  </si>
  <si>
    <t>7733.BDB.001.054</t>
  </si>
  <si>
    <t>7733.BDB.002.051</t>
  </si>
  <si>
    <t>7733.BEJ.001.004</t>
  </si>
  <si>
    <t>7735.EBA.962.051</t>
  </si>
  <si>
    <t>7735.EBA.994.001</t>
  </si>
  <si>
    <t>7735.EBA.994.002</t>
  </si>
  <si>
    <t>BERDASARKAN RPD (Rev. KPA saat ini)</t>
  </si>
  <si>
    <t>7733     -   51</t>
  </si>
  <si>
    <t>7733     -   52</t>
  </si>
  <si>
    <t>7735     -   51</t>
  </si>
  <si>
    <t>7735     -   52</t>
  </si>
  <si>
    <t>7735     -   53</t>
  </si>
  <si>
    <t>BEDASARKAN DIPA PETIKAN (Rev. KPA sebelumnya)</t>
  </si>
  <si>
    <t>SELISIH</t>
  </si>
  <si>
    <t>RENCANA PENARIKAN DANA TAHUN 2026</t>
  </si>
  <si>
    <t>7735.EBA.Z07.051</t>
  </si>
  <si>
    <t>7735.EBB.951.997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</si>
</sst>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#,##0_ ;\-#,##0\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u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Bookman Old Style"/>
      <family val="1"/>
    </font>
    <font>
      <sz val="10"/>
      <name val="Bookman Old Style"/>
      <family val="1"/>
    </font>
    <font>
      <b/>
      <sz val="11"/>
      <color rgb="FFFF0000"/>
      <name val="Calibri"/>
      <family val="2"/>
    </font>
    <font>
      <sz val="11"/>
      <color rgb="FF0070C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Segoe UI"/>
      <family val="2"/>
    </font>
    <font>
      <b/>
      <sz val="8"/>
      <color rgb="FF666666"/>
      <name val="Segoe UI"/>
      <family val="2"/>
    </font>
    <font>
      <sz val="8"/>
      <color rgb="FF414141"/>
      <name val="Segoe U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666666"/>
      <name val="Segoe UI"/>
      <family val="2"/>
    </font>
    <font>
      <b/>
      <sz val="8"/>
      <name val="Segoe UI"/>
      <family val="2"/>
    </font>
    <font>
      <sz val="8"/>
      <name val="Segoe UI"/>
      <family val="2"/>
    </font>
  </fonts>
  <fills count="2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0" fontId="2" fillId="6" borderId="1"/>
    <xf numFmtId="41" fontId="2" fillId="6" borderId="1" applyFont="0" applyFill="0" applyBorder="0" applyAlignment="0" applyProtection="0"/>
    <xf numFmtId="0" fontId="1" fillId="6" borderId="1"/>
    <xf numFmtId="43" fontId="1" fillId="6" borderId="1" applyFont="0" applyFill="0" applyBorder="0" applyAlignment="0" applyProtection="0"/>
    <xf numFmtId="0" fontId="2" fillId="6" borderId="1"/>
    <xf numFmtId="164" fontId="1" fillId="6" borderId="1" applyFont="0" applyFill="0" applyBorder="0" applyAlignment="0" applyProtection="0"/>
    <xf numFmtId="165" fontId="1" fillId="6" borderId="1" applyFont="0" applyFill="0" applyBorder="0" applyAlignment="0" applyProtection="0"/>
    <xf numFmtId="41" fontId="1" fillId="6" borderId="1" applyFont="0" applyFill="0" applyBorder="0" applyAlignment="0" applyProtection="0"/>
    <xf numFmtId="0" fontId="1" fillId="6" borderId="1"/>
    <xf numFmtId="41" fontId="1" fillId="6" borderId="1" applyFont="0" applyFill="0" applyBorder="0" applyAlignment="0" applyProtection="0"/>
    <xf numFmtId="0" fontId="2" fillId="6" borderId="1"/>
    <xf numFmtId="41" fontId="2" fillId="6" borderId="1" applyFont="0" applyFill="0" applyBorder="0" applyAlignment="0" applyProtection="0"/>
    <xf numFmtId="43" fontId="1" fillId="0" borderId="0" applyFont="0" applyFill="0" applyBorder="0" applyAlignment="0" applyProtection="0"/>
    <xf numFmtId="0" fontId="1" fillId="6" borderId="1"/>
    <xf numFmtId="41" fontId="1" fillId="6" borderId="1" applyFont="0" applyFill="0" applyBorder="0" applyAlignment="0" applyProtection="0"/>
    <xf numFmtId="41" fontId="2" fillId="6" borderId="1" applyFont="0" applyFill="0" applyBorder="0" applyAlignment="0" applyProtection="0"/>
    <xf numFmtId="43" fontId="1" fillId="6" borderId="1" applyFont="0" applyFill="0" applyBorder="0" applyAlignment="0" applyProtection="0"/>
    <xf numFmtId="43" fontId="1" fillId="6" borderId="1" applyFont="0" applyFill="0" applyBorder="0" applyAlignment="0" applyProtection="0"/>
    <xf numFmtId="41" fontId="1" fillId="6" borderId="1" applyFont="0" applyFill="0" applyBorder="0" applyAlignment="0" applyProtection="0"/>
    <xf numFmtId="41" fontId="1" fillId="6" borderId="1" applyFont="0" applyFill="0" applyBorder="0" applyAlignment="0" applyProtection="0"/>
    <xf numFmtId="41" fontId="1" fillId="6" borderId="1" applyFont="0" applyFill="0" applyBorder="0" applyAlignment="0" applyProtection="0"/>
    <xf numFmtId="41" fontId="2" fillId="6" borderId="1" applyFont="0" applyFill="0" applyBorder="0" applyAlignment="0" applyProtection="0"/>
  </cellStyleXfs>
  <cellXfs count="427">
    <xf numFmtId="0" fontId="0" fillId="0" borderId="0" xfId="0"/>
    <xf numFmtId="0" fontId="3" fillId="0" borderId="0" xfId="0" applyFont="1"/>
    <xf numFmtId="0" fontId="3" fillId="2" borderId="0" xfId="0" applyFont="1" applyFill="1" applyAlignment="1" applyProtection="1">
      <alignment wrapText="1"/>
      <protection locked="0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3" fillId="2" borderId="0" xfId="0" applyFont="1" applyFill="1" applyAlignment="1" applyProtection="1">
      <alignment horizontal="center" wrapText="1"/>
      <protection locked="0"/>
    </xf>
    <xf numFmtId="0" fontId="3" fillId="0" borderId="0" xfId="0" applyFont="1" applyAlignment="1">
      <alignment horizontal="center"/>
    </xf>
    <xf numFmtId="3" fontId="3" fillId="14" borderId="0" xfId="0" applyNumberFormat="1" applyFont="1" applyFill="1"/>
    <xf numFmtId="0" fontId="3" fillId="12" borderId="4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 applyProtection="1">
      <alignment horizontal="center" wrapText="1"/>
      <protection locked="0"/>
    </xf>
    <xf numFmtId="0" fontId="3" fillId="12" borderId="4" xfId="0" applyFont="1" applyFill="1" applyBorder="1" applyAlignment="1" applyProtection="1">
      <alignment wrapText="1"/>
      <protection locked="0"/>
    </xf>
    <xf numFmtId="3" fontId="3" fillId="12" borderId="4" xfId="0" applyNumberFormat="1" applyFont="1" applyFill="1" applyBorder="1" applyAlignment="1">
      <alignment horizontal="right" vertical="center" wrapText="1"/>
    </xf>
    <xf numFmtId="0" fontId="3" fillId="11" borderId="4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 applyProtection="1">
      <alignment horizontal="center" wrapText="1"/>
      <protection locked="0"/>
    </xf>
    <xf numFmtId="0" fontId="3" fillId="11" borderId="4" xfId="0" applyFont="1" applyFill="1" applyBorder="1" applyAlignment="1" applyProtection="1">
      <alignment wrapText="1"/>
      <protection locked="0"/>
    </xf>
    <xf numFmtId="3" fontId="3" fillId="11" borderId="4" xfId="0" applyNumberFormat="1" applyFont="1" applyFill="1" applyBorder="1" applyAlignment="1">
      <alignment horizontal="righ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 applyProtection="1">
      <alignment wrapText="1"/>
      <protection locked="0"/>
    </xf>
    <xf numFmtId="3" fontId="3" fillId="9" borderId="4" xfId="0" applyNumberFormat="1" applyFont="1" applyFill="1" applyBorder="1" applyAlignment="1">
      <alignment horizontal="right" vertical="center" wrapText="1"/>
    </xf>
    <xf numFmtId="0" fontId="4" fillId="8" borderId="4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horizontal="center" vertical="top" wrapText="1"/>
    </xf>
    <xf numFmtId="0" fontId="3" fillId="8" borderId="4" xfId="0" applyFont="1" applyFill="1" applyBorder="1" applyAlignment="1" applyProtection="1">
      <alignment wrapText="1"/>
      <protection locked="0"/>
    </xf>
    <xf numFmtId="3" fontId="4" fillId="8" borderId="4" xfId="0" applyNumberFormat="1" applyFont="1" applyFill="1" applyBorder="1" applyAlignment="1">
      <alignment horizontal="right" vertical="center" wrapText="1"/>
    </xf>
    <xf numFmtId="0" fontId="4" fillId="7" borderId="4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 applyProtection="1">
      <alignment wrapText="1"/>
      <protection locked="0"/>
    </xf>
    <xf numFmtId="3" fontId="4" fillId="7" borderId="4" xfId="0" applyNumberFormat="1" applyFont="1" applyFill="1" applyBorder="1" applyAlignment="1">
      <alignment horizontal="right" vertical="center" wrapText="1"/>
    </xf>
    <xf numFmtId="0" fontId="3" fillId="9" borderId="4" xfId="0" applyFont="1" applyFill="1" applyBorder="1" applyAlignment="1">
      <alignment vertical="center" wrapText="1"/>
    </xf>
    <xf numFmtId="0" fontId="3" fillId="12" borderId="4" xfId="0" applyFont="1" applyFill="1" applyBorder="1" applyAlignment="1">
      <alignment vertical="center" wrapText="1"/>
    </xf>
    <xf numFmtId="0" fontId="3" fillId="11" borderId="4" xfId="0" applyFont="1" applyFill="1" applyBorder="1" applyAlignment="1">
      <alignment vertical="center" wrapText="1"/>
    </xf>
    <xf numFmtId="0" fontId="7" fillId="0" borderId="0" xfId="0" applyFont="1"/>
    <xf numFmtId="0" fontId="3" fillId="14" borderId="0" xfId="0" applyFont="1" applyFill="1"/>
    <xf numFmtId="0" fontId="7" fillId="6" borderId="1" xfId="4" applyFont="1"/>
    <xf numFmtId="0" fontId="3" fillId="6" borderId="1" xfId="4" applyFont="1"/>
    <xf numFmtId="41" fontId="10" fillId="6" borderId="2" xfId="3" applyFont="1" applyBorder="1" applyAlignment="1">
      <alignment vertical="center"/>
    </xf>
    <xf numFmtId="0" fontId="10" fillId="6" borderId="4" xfId="2" applyFont="1" applyBorder="1" applyAlignment="1">
      <alignment horizontal="center" vertical="center"/>
    </xf>
    <xf numFmtId="41" fontId="10" fillId="6" borderId="4" xfId="3" applyFont="1" applyBorder="1" applyAlignment="1">
      <alignment vertical="center"/>
    </xf>
    <xf numFmtId="41" fontId="3" fillId="0" borderId="0" xfId="0" applyNumberFormat="1" applyFont="1"/>
    <xf numFmtId="41" fontId="7" fillId="0" borderId="0" xfId="0" applyNumberFormat="1" applyFont="1"/>
    <xf numFmtId="41" fontId="9" fillId="0" borderId="1" xfId="1" applyFont="1" applyBorder="1" applyAlignment="1">
      <alignment vertical="center"/>
    </xf>
    <xf numFmtId="3" fontId="8" fillId="4" borderId="1" xfId="0" applyNumberFormat="1" applyFont="1" applyFill="1" applyBorder="1" applyAlignment="1">
      <alignment vertical="center" wrapText="1"/>
    </xf>
    <xf numFmtId="0" fontId="3" fillId="14" borderId="1" xfId="4" applyFont="1" applyFill="1"/>
    <xf numFmtId="3" fontId="3" fillId="14" borderId="1" xfId="4" applyNumberFormat="1" applyFont="1" applyFill="1"/>
    <xf numFmtId="0" fontId="3" fillId="12" borderId="4" xfId="4" applyFont="1" applyFill="1" applyBorder="1" applyAlignment="1">
      <alignment horizontal="left" vertical="center" wrapText="1"/>
    </xf>
    <xf numFmtId="0" fontId="3" fillId="12" borderId="4" xfId="4" applyFont="1" applyFill="1" applyBorder="1" applyAlignment="1" applyProtection="1">
      <alignment horizontal="center" wrapText="1"/>
      <protection locked="0"/>
    </xf>
    <xf numFmtId="0" fontId="3" fillId="12" borderId="4" xfId="4" applyFont="1" applyFill="1" applyBorder="1" applyAlignment="1" applyProtection="1">
      <alignment wrapText="1"/>
      <protection locked="0"/>
    </xf>
    <xf numFmtId="3" fontId="3" fillId="12" borderId="4" xfId="4" applyNumberFormat="1" applyFont="1" applyFill="1" applyBorder="1" applyAlignment="1">
      <alignment horizontal="right" vertical="center" wrapText="1"/>
    </xf>
    <xf numFmtId="0" fontId="3" fillId="11" borderId="4" xfId="4" applyFont="1" applyFill="1" applyBorder="1" applyAlignment="1">
      <alignment horizontal="left" vertical="center" wrapText="1"/>
    </xf>
    <xf numFmtId="0" fontId="3" fillId="11" borderId="4" xfId="4" applyFont="1" applyFill="1" applyBorder="1" applyAlignment="1" applyProtection="1">
      <alignment horizontal="center" wrapText="1"/>
      <protection locked="0"/>
    </xf>
    <xf numFmtId="0" fontId="3" fillId="11" borderId="4" xfId="4" applyFont="1" applyFill="1" applyBorder="1" applyAlignment="1" applyProtection="1">
      <alignment wrapText="1"/>
      <protection locked="0"/>
    </xf>
    <xf numFmtId="3" fontId="3" fillId="11" borderId="4" xfId="4" applyNumberFormat="1" applyFont="1" applyFill="1" applyBorder="1" applyAlignment="1">
      <alignment horizontal="right" vertical="center" wrapText="1"/>
    </xf>
    <xf numFmtId="0" fontId="3" fillId="9" borderId="4" xfId="4" applyFont="1" applyFill="1" applyBorder="1" applyAlignment="1">
      <alignment horizontal="left" vertical="center" wrapText="1"/>
    </xf>
    <xf numFmtId="0" fontId="3" fillId="9" borderId="4" xfId="4" applyFont="1" applyFill="1" applyBorder="1" applyAlignment="1">
      <alignment horizontal="center" vertical="center" wrapText="1"/>
    </xf>
    <xf numFmtId="0" fontId="3" fillId="9" borderId="4" xfId="4" applyFont="1" applyFill="1" applyBorder="1" applyAlignment="1" applyProtection="1">
      <alignment wrapText="1"/>
      <protection locked="0"/>
    </xf>
    <xf numFmtId="3" fontId="3" fillId="9" borderId="4" xfId="4" applyNumberFormat="1" applyFont="1" applyFill="1" applyBorder="1" applyAlignment="1">
      <alignment horizontal="right" vertical="center" wrapText="1"/>
    </xf>
    <xf numFmtId="0" fontId="4" fillId="8" borderId="4" xfId="4" applyFont="1" applyFill="1" applyBorder="1" applyAlignment="1">
      <alignment vertical="center" wrapText="1"/>
    </xf>
    <xf numFmtId="0" fontId="4" fillId="8" borderId="4" xfId="4" applyFont="1" applyFill="1" applyBorder="1" applyAlignment="1">
      <alignment horizontal="center" vertical="top" wrapText="1"/>
    </xf>
    <xf numFmtId="0" fontId="3" fillId="8" borderId="4" xfId="4" applyFont="1" applyFill="1" applyBorder="1" applyAlignment="1" applyProtection="1">
      <alignment wrapText="1"/>
      <protection locked="0"/>
    </xf>
    <xf numFmtId="3" fontId="4" fillId="8" borderId="4" xfId="4" applyNumberFormat="1" applyFont="1" applyFill="1" applyBorder="1" applyAlignment="1">
      <alignment horizontal="right" vertical="center" wrapText="1"/>
    </xf>
    <xf numFmtId="0" fontId="4" fillId="7" borderId="4" xfId="4" applyFont="1" applyFill="1" applyBorder="1" applyAlignment="1">
      <alignment vertical="center" wrapText="1"/>
    </xf>
    <xf numFmtId="0" fontId="4" fillId="7" borderId="4" xfId="4" applyFont="1" applyFill="1" applyBorder="1" applyAlignment="1">
      <alignment horizontal="center" vertical="center" wrapText="1"/>
    </xf>
    <xf numFmtId="0" fontId="3" fillId="7" borderId="4" xfId="4" applyFont="1" applyFill="1" applyBorder="1" applyAlignment="1" applyProtection="1">
      <alignment wrapText="1"/>
      <protection locked="0"/>
    </xf>
    <xf numFmtId="3" fontId="4" fillId="7" borderId="4" xfId="4" applyNumberFormat="1" applyFont="1" applyFill="1" applyBorder="1" applyAlignment="1">
      <alignment horizontal="right" vertical="center" wrapText="1"/>
    </xf>
    <xf numFmtId="0" fontId="5" fillId="10" borderId="4" xfId="4" applyFont="1" applyFill="1" applyBorder="1" applyAlignment="1">
      <alignment vertical="center" wrapText="1"/>
    </xf>
    <xf numFmtId="0" fontId="3" fillId="10" borderId="4" xfId="4" applyFont="1" applyFill="1" applyBorder="1" applyAlignment="1" applyProtection="1">
      <alignment horizontal="center" wrapText="1"/>
      <protection locked="0"/>
    </xf>
    <xf numFmtId="0" fontId="3" fillId="10" borderId="4" xfId="4" applyFont="1" applyFill="1" applyBorder="1" applyAlignment="1" applyProtection="1">
      <alignment wrapText="1"/>
      <protection locked="0"/>
    </xf>
    <xf numFmtId="3" fontId="5" fillId="10" borderId="4" xfId="4" applyNumberFormat="1" applyFont="1" applyFill="1" applyBorder="1" applyAlignment="1">
      <alignment horizontal="right" vertical="center" wrapText="1"/>
    </xf>
    <xf numFmtId="0" fontId="3" fillId="13" borderId="4" xfId="4" applyFont="1" applyFill="1" applyBorder="1" applyAlignment="1">
      <alignment vertical="center" wrapText="1"/>
    </xf>
    <xf numFmtId="0" fontId="3" fillId="13" borderId="4" xfId="4" applyFont="1" applyFill="1" applyBorder="1" applyAlignment="1" applyProtection="1">
      <alignment horizontal="center" wrapText="1"/>
      <protection locked="0"/>
    </xf>
    <xf numFmtId="0" fontId="3" fillId="13" borderId="4" xfId="4" applyFont="1" applyFill="1" applyBorder="1" applyAlignment="1" applyProtection="1">
      <alignment wrapText="1"/>
      <protection locked="0"/>
    </xf>
    <xf numFmtId="3" fontId="3" fillId="13" borderId="4" xfId="4" applyNumberFormat="1" applyFont="1" applyFill="1" applyBorder="1" applyAlignment="1">
      <alignment horizontal="right" vertical="center" wrapText="1"/>
    </xf>
    <xf numFmtId="0" fontId="3" fillId="6" borderId="4" xfId="4" applyFont="1" applyBorder="1" applyAlignment="1" applyProtection="1">
      <alignment wrapText="1"/>
      <protection locked="0"/>
    </xf>
    <xf numFmtId="0" fontId="3" fillId="6" borderId="4" xfId="4" quotePrefix="1" applyFont="1" applyBorder="1" applyAlignment="1">
      <alignment horizontal="left" vertical="center" wrapText="1"/>
    </xf>
    <xf numFmtId="0" fontId="3" fillId="6" borderId="4" xfId="4" applyFont="1" applyBorder="1" applyAlignment="1">
      <alignment horizontal="center" vertical="center" wrapText="1"/>
    </xf>
    <xf numFmtId="3" fontId="3" fillId="6" borderId="4" xfId="4" applyNumberFormat="1" applyFont="1" applyBorder="1" applyAlignment="1">
      <alignment vertical="center" wrapText="1"/>
    </xf>
    <xf numFmtId="0" fontId="3" fillId="6" borderId="4" xfId="4" quotePrefix="1" applyFont="1" applyBorder="1" applyAlignment="1">
      <alignment vertical="center" wrapText="1"/>
    </xf>
    <xf numFmtId="0" fontId="3" fillId="6" borderId="4" xfId="4" applyFont="1" applyBorder="1" applyAlignment="1">
      <alignment vertical="center" wrapText="1"/>
    </xf>
    <xf numFmtId="0" fontId="3" fillId="6" borderId="4" xfId="4" applyFont="1" applyBorder="1" applyAlignment="1">
      <alignment horizontal="left" vertical="center" wrapText="1"/>
    </xf>
    <xf numFmtId="0" fontId="3" fillId="13" borderId="4" xfId="4" applyFont="1" applyFill="1" applyBorder="1" applyAlignment="1">
      <alignment horizontal="left" vertical="center" wrapText="1"/>
    </xf>
    <xf numFmtId="0" fontId="3" fillId="13" borderId="4" xfId="4" quotePrefix="1" applyFont="1" applyFill="1" applyBorder="1" applyAlignment="1">
      <alignment vertical="center" wrapText="1"/>
    </xf>
    <xf numFmtId="0" fontId="3" fillId="6" borderId="8" xfId="4" applyFont="1" applyBorder="1" applyAlignment="1">
      <alignment horizontal="center" vertical="center" wrapText="1"/>
    </xf>
    <xf numFmtId="3" fontId="3" fillId="6" borderId="8" xfId="4" applyNumberFormat="1" applyFont="1" applyBorder="1" applyAlignment="1">
      <alignment vertical="center" wrapText="1"/>
    </xf>
    <xf numFmtId="0" fontId="3" fillId="13" borderId="6" xfId="4" applyFont="1" applyFill="1" applyBorder="1" applyAlignment="1" applyProtection="1">
      <alignment horizontal="center" wrapText="1"/>
      <protection locked="0"/>
    </xf>
    <xf numFmtId="0" fontId="3" fillId="13" borderId="6" xfId="4" applyFont="1" applyFill="1" applyBorder="1" applyAlignment="1" applyProtection="1">
      <alignment wrapText="1"/>
      <protection locked="0"/>
    </xf>
    <xf numFmtId="0" fontId="3" fillId="9" borderId="4" xfId="4" applyFont="1" applyFill="1" applyBorder="1" applyAlignment="1">
      <alignment vertical="center" wrapText="1"/>
    </xf>
    <xf numFmtId="0" fontId="3" fillId="12" borderId="4" xfId="4" applyFont="1" applyFill="1" applyBorder="1" applyAlignment="1">
      <alignment vertical="center" wrapText="1"/>
    </xf>
    <xf numFmtId="0" fontId="3" fillId="11" borderId="4" xfId="4" applyFont="1" applyFill="1" applyBorder="1" applyAlignment="1">
      <alignment vertical="center" wrapText="1"/>
    </xf>
    <xf numFmtId="0" fontId="9" fillId="6" borderId="2" xfId="4" applyFont="1" applyBorder="1" applyAlignment="1">
      <alignment horizontal="center" vertical="center"/>
    </xf>
    <xf numFmtId="41" fontId="9" fillId="6" borderId="2" xfId="9" applyFont="1" applyBorder="1" applyAlignment="1">
      <alignment vertical="center"/>
    </xf>
    <xf numFmtId="3" fontId="8" fillId="6" borderId="4" xfId="4" applyNumberFormat="1" applyFont="1" applyBorder="1" applyAlignment="1">
      <alignment vertical="center" wrapText="1"/>
    </xf>
    <xf numFmtId="0" fontId="8" fillId="6" borderId="4" xfId="4" applyFont="1" applyBorder="1" applyAlignment="1">
      <alignment horizontal="center" vertical="center" wrapText="1"/>
    </xf>
    <xf numFmtId="0" fontId="8" fillId="6" borderId="4" xfId="4" applyFont="1" applyBorder="1" applyAlignment="1">
      <alignment horizontal="left" vertical="center" wrapText="1"/>
    </xf>
    <xf numFmtId="0" fontId="8" fillId="13" borderId="4" xfId="4" applyFont="1" applyFill="1" applyBorder="1" applyAlignment="1">
      <alignment vertical="center" wrapText="1"/>
    </xf>
    <xf numFmtId="0" fontId="8" fillId="13" borderId="4" xfId="4" applyFont="1" applyFill="1" applyBorder="1" applyAlignment="1" applyProtection="1">
      <alignment horizontal="center" wrapText="1"/>
      <protection locked="0"/>
    </xf>
    <xf numFmtId="0" fontId="8" fillId="13" borderId="4" xfId="4" applyFont="1" applyFill="1" applyBorder="1" applyAlignment="1" applyProtection="1">
      <alignment wrapText="1"/>
      <protection locked="0"/>
    </xf>
    <xf numFmtId="3" fontId="8" fillId="13" borderId="4" xfId="4" applyNumberFormat="1" applyFont="1" applyFill="1" applyBorder="1" applyAlignment="1">
      <alignment horizontal="right" vertical="center" wrapText="1"/>
    </xf>
    <xf numFmtId="0" fontId="8" fillId="6" borderId="4" xfId="4" quotePrefix="1" applyFont="1" applyBorder="1" applyAlignment="1">
      <alignment horizontal="left" vertical="center" wrapText="1"/>
    </xf>
    <xf numFmtId="0" fontId="4" fillId="11" borderId="4" xfId="4" applyFont="1" applyFill="1" applyBorder="1" applyAlignment="1">
      <alignment vertical="center" wrapText="1"/>
    </xf>
    <xf numFmtId="0" fontId="4" fillId="11" borderId="4" xfId="4" applyFont="1" applyFill="1" applyBorder="1" applyAlignment="1">
      <alignment horizontal="center" vertical="center" wrapText="1"/>
    </xf>
    <xf numFmtId="3" fontId="4" fillId="11" borderId="4" xfId="4" applyNumberFormat="1" applyFont="1" applyFill="1" applyBorder="1" applyAlignment="1">
      <alignment horizontal="right" vertical="center" wrapText="1"/>
    </xf>
    <xf numFmtId="3" fontId="3" fillId="13" borderId="4" xfId="4" applyNumberFormat="1" applyFont="1" applyFill="1" applyBorder="1" applyAlignment="1" applyProtection="1">
      <alignment wrapText="1"/>
      <protection locked="0"/>
    </xf>
    <xf numFmtId="0" fontId="3" fillId="6" borderId="5" xfId="4" applyFont="1" applyBorder="1" applyAlignment="1" applyProtection="1">
      <alignment wrapText="1"/>
      <protection locked="0"/>
    </xf>
    <xf numFmtId="0" fontId="3" fillId="6" borderId="5" xfId="4" applyFont="1" applyBorder="1" applyAlignment="1">
      <alignment horizontal="left" vertical="center" wrapText="1"/>
    </xf>
    <xf numFmtId="0" fontId="3" fillId="6" borderId="5" xfId="4" applyFont="1" applyBorder="1" applyAlignment="1">
      <alignment horizontal="center" vertical="center" wrapText="1"/>
    </xf>
    <xf numFmtId="3" fontId="3" fillId="6" borderId="5" xfId="4" applyNumberFormat="1" applyFont="1" applyBorder="1" applyAlignment="1">
      <alignment vertical="center" wrapText="1"/>
    </xf>
    <xf numFmtId="0" fontId="3" fillId="6" borderId="1" xfId="4" applyFont="1" applyAlignment="1" applyProtection="1">
      <alignment wrapText="1"/>
      <protection locked="0"/>
    </xf>
    <xf numFmtId="0" fontId="3" fillId="6" borderId="1" xfId="4" applyFont="1" applyAlignment="1" applyProtection="1">
      <alignment horizontal="center" wrapText="1"/>
      <protection locked="0"/>
    </xf>
    <xf numFmtId="0" fontId="3" fillId="6" borderId="1" xfId="4" applyFont="1" applyAlignment="1">
      <alignment vertical="top" wrapText="1"/>
    </xf>
    <xf numFmtId="0" fontId="3" fillId="6" borderId="1" xfId="4" applyFont="1" applyAlignment="1">
      <alignment horizontal="left" vertical="center" wrapText="1"/>
    </xf>
    <xf numFmtId="0" fontId="3" fillId="6" borderId="1" xfId="4" applyFont="1" applyAlignment="1">
      <alignment horizontal="center" vertical="top" wrapText="1"/>
    </xf>
    <xf numFmtId="0" fontId="6" fillId="6" borderId="1" xfId="4" applyFont="1" applyAlignment="1">
      <alignment vertical="top" wrapText="1"/>
    </xf>
    <xf numFmtId="0" fontId="3" fillId="6" borderId="1" xfId="4" applyFont="1" applyAlignment="1">
      <alignment horizontal="center"/>
    </xf>
    <xf numFmtId="3" fontId="3" fillId="0" borderId="0" xfId="0" applyNumberFormat="1" applyFont="1"/>
    <xf numFmtId="3" fontId="3" fillId="0" borderId="4" xfId="0" applyNumberFormat="1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3" fontId="3" fillId="0" borderId="7" xfId="0" applyNumberFormat="1" applyFont="1" applyBorder="1" applyAlignment="1">
      <alignment horizontal="right" vertical="center"/>
    </xf>
    <xf numFmtId="3" fontId="3" fillId="11" borderId="7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3" fontId="3" fillId="0" borderId="3" xfId="0" applyNumberFormat="1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vertical="center"/>
    </xf>
    <xf numFmtId="3" fontId="3" fillId="0" borderId="5" xfId="0" applyNumberFormat="1" applyFont="1" applyBorder="1" applyAlignment="1">
      <alignment horizontal="right" vertical="center" wrapText="1"/>
    </xf>
    <xf numFmtId="0" fontId="4" fillId="7" borderId="5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 applyProtection="1">
      <alignment wrapText="1"/>
      <protection locked="0"/>
    </xf>
    <xf numFmtId="3" fontId="4" fillId="7" borderId="5" xfId="0" applyNumberFormat="1" applyFont="1" applyFill="1" applyBorder="1" applyAlignment="1">
      <alignment horizontal="right" vertical="center" wrapText="1"/>
    </xf>
    <xf numFmtId="3" fontId="3" fillId="0" borderId="5" xfId="0" applyNumberFormat="1" applyFont="1" applyBorder="1" applyAlignment="1">
      <alignment vertical="center"/>
    </xf>
    <xf numFmtId="3" fontId="11" fillId="0" borderId="4" xfId="0" applyNumberFormat="1" applyFont="1" applyBorder="1" applyAlignment="1">
      <alignment horizontal="right" vertical="center" wrapText="1"/>
    </xf>
    <xf numFmtId="166" fontId="3" fillId="10" borderId="4" xfId="0" applyNumberFormat="1" applyFont="1" applyFill="1" applyBorder="1" applyAlignment="1">
      <alignment horizontal="right" vertical="center"/>
    </xf>
    <xf numFmtId="3" fontId="3" fillId="18" borderId="4" xfId="0" applyNumberFormat="1" applyFont="1" applyFill="1" applyBorder="1" applyAlignment="1">
      <alignment vertical="center"/>
    </xf>
    <xf numFmtId="41" fontId="3" fillId="6" borderId="1" xfId="1" applyFont="1" applyFill="1" applyBorder="1"/>
    <xf numFmtId="166" fontId="8" fillId="0" borderId="4" xfId="0" applyNumberFormat="1" applyFont="1" applyBorder="1" applyAlignment="1">
      <alignment horizontal="right" vertical="center"/>
    </xf>
    <xf numFmtId="0" fontId="3" fillId="6" borderId="1" xfId="10" applyFont="1"/>
    <xf numFmtId="42" fontId="3" fillId="6" borderId="1" xfId="10" applyNumberFormat="1" applyFont="1"/>
    <xf numFmtId="0" fontId="3" fillId="14" borderId="1" xfId="10" applyFont="1" applyFill="1"/>
    <xf numFmtId="3" fontId="3" fillId="14" borderId="1" xfId="10" applyNumberFormat="1" applyFont="1" applyFill="1"/>
    <xf numFmtId="0" fontId="7" fillId="6" borderId="1" xfId="10" applyFont="1"/>
    <xf numFmtId="0" fontId="3" fillId="12" borderId="4" xfId="10" applyFont="1" applyFill="1" applyBorder="1" applyAlignment="1">
      <alignment horizontal="left" vertical="center" wrapText="1"/>
    </xf>
    <xf numFmtId="0" fontId="3" fillId="12" borderId="4" xfId="10" applyFont="1" applyFill="1" applyBorder="1" applyAlignment="1" applyProtection="1">
      <alignment horizontal="center" wrapText="1"/>
      <protection locked="0"/>
    </xf>
    <xf numFmtId="0" fontId="3" fillId="12" borderId="4" xfId="10" applyFont="1" applyFill="1" applyBorder="1" applyAlignment="1" applyProtection="1">
      <alignment wrapText="1"/>
      <protection locked="0"/>
    </xf>
    <xf numFmtId="3" fontId="3" fillId="12" borderId="4" xfId="10" applyNumberFormat="1" applyFont="1" applyFill="1" applyBorder="1" applyAlignment="1">
      <alignment horizontal="right" vertical="center" wrapText="1"/>
    </xf>
    <xf numFmtId="0" fontId="3" fillId="11" borderId="4" xfId="10" applyFont="1" applyFill="1" applyBorder="1" applyAlignment="1">
      <alignment horizontal="left" vertical="center" wrapText="1"/>
    </xf>
    <xf numFmtId="0" fontId="3" fillId="11" borderId="4" xfId="10" applyFont="1" applyFill="1" applyBorder="1" applyAlignment="1" applyProtection="1">
      <alignment horizontal="center" wrapText="1"/>
      <protection locked="0"/>
    </xf>
    <xf numFmtId="0" fontId="3" fillId="11" borderId="4" xfId="10" applyFont="1" applyFill="1" applyBorder="1" applyAlignment="1" applyProtection="1">
      <alignment wrapText="1"/>
      <protection locked="0"/>
    </xf>
    <xf numFmtId="3" fontId="3" fillId="11" borderId="4" xfId="10" applyNumberFormat="1" applyFont="1" applyFill="1" applyBorder="1" applyAlignment="1">
      <alignment horizontal="right" vertical="center" wrapText="1"/>
    </xf>
    <xf numFmtId="0" fontId="3" fillId="9" borderId="4" xfId="10" applyFont="1" applyFill="1" applyBorder="1" applyAlignment="1">
      <alignment horizontal="left" vertical="center" wrapText="1"/>
    </xf>
    <xf numFmtId="0" fontId="3" fillId="9" borderId="4" xfId="10" applyFont="1" applyFill="1" applyBorder="1" applyAlignment="1">
      <alignment horizontal="center" vertical="center" wrapText="1"/>
    </xf>
    <xf numFmtId="0" fontId="3" fillId="9" borderId="4" xfId="10" applyFont="1" applyFill="1" applyBorder="1" applyAlignment="1" applyProtection="1">
      <alignment wrapText="1"/>
      <protection locked="0"/>
    </xf>
    <xf numFmtId="3" fontId="3" fillId="9" borderId="4" xfId="10" applyNumberFormat="1" applyFont="1" applyFill="1" applyBorder="1" applyAlignment="1">
      <alignment horizontal="right" vertical="center" wrapText="1"/>
    </xf>
    <xf numFmtId="0" fontId="4" fillId="8" borderId="4" xfId="10" applyFont="1" applyFill="1" applyBorder="1" applyAlignment="1">
      <alignment vertical="center" wrapText="1"/>
    </xf>
    <xf numFmtId="0" fontId="4" fillId="8" borderId="4" xfId="10" applyFont="1" applyFill="1" applyBorder="1" applyAlignment="1">
      <alignment horizontal="center" vertical="top" wrapText="1"/>
    </xf>
    <xf numFmtId="0" fontId="3" fillId="8" borderId="4" xfId="10" applyFont="1" applyFill="1" applyBorder="1" applyAlignment="1" applyProtection="1">
      <alignment wrapText="1"/>
      <protection locked="0"/>
    </xf>
    <xf numFmtId="3" fontId="4" fillId="8" borderId="4" xfId="10" applyNumberFormat="1" applyFont="1" applyFill="1" applyBorder="1" applyAlignment="1">
      <alignment horizontal="right" vertical="center" wrapText="1"/>
    </xf>
    <xf numFmtId="0" fontId="4" fillId="7" borderId="4" xfId="10" applyFont="1" applyFill="1" applyBorder="1" applyAlignment="1">
      <alignment vertical="center" wrapText="1"/>
    </xf>
    <xf numFmtId="0" fontId="4" fillId="7" borderId="4" xfId="10" applyFont="1" applyFill="1" applyBorder="1" applyAlignment="1">
      <alignment horizontal="center" vertical="center" wrapText="1"/>
    </xf>
    <xf numFmtId="0" fontId="3" fillId="7" borderId="4" xfId="10" applyFont="1" applyFill="1" applyBorder="1" applyAlignment="1" applyProtection="1">
      <alignment wrapText="1"/>
      <protection locked="0"/>
    </xf>
    <xf numFmtId="3" fontId="4" fillId="7" borderId="4" xfId="10" applyNumberFormat="1" applyFont="1" applyFill="1" applyBorder="1" applyAlignment="1">
      <alignment horizontal="right" vertical="center" wrapText="1"/>
    </xf>
    <xf numFmtId="0" fontId="5" fillId="10" borderId="4" xfId="10" applyFont="1" applyFill="1" applyBorder="1" applyAlignment="1">
      <alignment vertical="center" wrapText="1"/>
    </xf>
    <xf numFmtId="0" fontId="3" fillId="10" borderId="4" xfId="10" applyFont="1" applyFill="1" applyBorder="1" applyAlignment="1" applyProtection="1">
      <alignment horizontal="center" wrapText="1"/>
      <protection locked="0"/>
    </xf>
    <xf numFmtId="0" fontId="3" fillId="10" borderId="4" xfId="10" applyFont="1" applyFill="1" applyBorder="1" applyAlignment="1" applyProtection="1">
      <alignment wrapText="1"/>
      <protection locked="0"/>
    </xf>
    <xf numFmtId="3" fontId="5" fillId="10" borderId="4" xfId="10" applyNumberFormat="1" applyFont="1" applyFill="1" applyBorder="1" applyAlignment="1">
      <alignment horizontal="right" vertical="center" wrapText="1"/>
    </xf>
    <xf numFmtId="0" fontId="3" fillId="13" borderId="4" xfId="10" applyFont="1" applyFill="1" applyBorder="1" applyAlignment="1">
      <alignment vertical="center" wrapText="1"/>
    </xf>
    <xf numFmtId="3" fontId="3" fillId="13" borderId="4" xfId="10" applyNumberFormat="1" applyFont="1" applyFill="1" applyBorder="1" applyAlignment="1">
      <alignment horizontal="right" vertical="center" wrapText="1"/>
    </xf>
    <xf numFmtId="0" fontId="3" fillId="13" borderId="4" xfId="10" applyFont="1" applyFill="1" applyBorder="1" applyAlignment="1" applyProtection="1">
      <alignment horizontal="center" wrapText="1"/>
      <protection locked="0"/>
    </xf>
    <xf numFmtId="0" fontId="3" fillId="13" borderId="4" xfId="10" applyFont="1" applyFill="1" applyBorder="1" applyAlignment="1" applyProtection="1">
      <alignment wrapText="1"/>
      <protection locked="0"/>
    </xf>
    <xf numFmtId="0" fontId="3" fillId="6" borderId="4" xfId="10" applyFont="1" applyBorder="1" applyAlignment="1" applyProtection="1">
      <alignment wrapText="1"/>
      <protection locked="0"/>
    </xf>
    <xf numFmtId="0" fontId="3" fillId="6" borderId="4" xfId="10" quotePrefix="1" applyFont="1" applyBorder="1" applyAlignment="1">
      <alignment horizontal="left" vertical="center" wrapText="1"/>
    </xf>
    <xf numFmtId="0" fontId="3" fillId="6" borderId="4" xfId="10" applyFont="1" applyBorder="1" applyAlignment="1">
      <alignment horizontal="center" vertical="center" wrapText="1"/>
    </xf>
    <xf numFmtId="3" fontId="3" fillId="6" borderId="4" xfId="10" applyNumberFormat="1" applyFont="1" applyBorder="1" applyAlignment="1">
      <alignment vertical="center" wrapText="1"/>
    </xf>
    <xf numFmtId="0" fontId="10" fillId="6" borderId="9" xfId="6" applyFont="1" applyBorder="1" applyAlignment="1">
      <alignment vertical="center"/>
    </xf>
    <xf numFmtId="0" fontId="10" fillId="6" borderId="9" xfId="6" quotePrefix="1" applyFont="1" applyBorder="1" applyAlignment="1">
      <alignment vertical="center"/>
    </xf>
    <xf numFmtId="0" fontId="3" fillId="6" borderId="4" xfId="10" quotePrefix="1" applyFont="1" applyBorder="1" applyAlignment="1">
      <alignment vertical="center" wrapText="1"/>
    </xf>
    <xf numFmtId="0" fontId="3" fillId="6" borderId="4" xfId="10" applyFont="1" applyBorder="1" applyAlignment="1">
      <alignment horizontal="left" vertical="center" wrapText="1"/>
    </xf>
    <xf numFmtId="0" fontId="3" fillId="6" borderId="9" xfId="6" quotePrefix="1" applyFont="1" applyBorder="1" applyAlignment="1">
      <alignment vertical="center"/>
    </xf>
    <xf numFmtId="0" fontId="3" fillId="9" borderId="4" xfId="10" applyFont="1" applyFill="1" applyBorder="1" applyAlignment="1">
      <alignment vertical="center" wrapText="1"/>
    </xf>
    <xf numFmtId="0" fontId="3" fillId="6" borderId="4" xfId="10" applyFont="1" applyBorder="1" applyAlignment="1">
      <alignment vertical="center" wrapText="1"/>
    </xf>
    <xf numFmtId="0" fontId="3" fillId="12" borderId="4" xfId="10" applyFont="1" applyFill="1" applyBorder="1" applyAlignment="1">
      <alignment vertical="center" wrapText="1"/>
    </xf>
    <xf numFmtId="0" fontId="3" fillId="11" borderId="4" xfId="10" applyFont="1" applyFill="1" applyBorder="1" applyAlignment="1">
      <alignment vertical="center" wrapText="1"/>
    </xf>
    <xf numFmtId="3" fontId="3" fillId="6" borderId="1" xfId="10" applyNumberFormat="1" applyFont="1"/>
    <xf numFmtId="0" fontId="3" fillId="6" borderId="1" xfId="10" applyFont="1" applyAlignment="1" applyProtection="1">
      <alignment wrapText="1"/>
      <protection locked="0"/>
    </xf>
    <xf numFmtId="0" fontId="3" fillId="6" borderId="1" xfId="10" applyFont="1" applyAlignment="1" applyProtection="1">
      <alignment horizontal="center" wrapText="1"/>
      <protection locked="0"/>
    </xf>
    <xf numFmtId="0" fontId="3" fillId="6" borderId="1" xfId="10" applyFont="1" applyAlignment="1">
      <alignment vertical="top" wrapText="1"/>
    </xf>
    <xf numFmtId="0" fontId="3" fillId="6" borderId="1" xfId="10" applyFont="1" applyAlignment="1">
      <alignment horizontal="left" vertical="center" wrapText="1"/>
    </xf>
    <xf numFmtId="0" fontId="3" fillId="6" borderId="1" xfId="10" applyFont="1" applyAlignment="1">
      <alignment horizontal="center" vertical="top" wrapText="1"/>
    </xf>
    <xf numFmtId="0" fontId="6" fillId="6" borderId="1" xfId="10" applyFont="1" applyAlignment="1">
      <alignment vertical="top" wrapText="1"/>
    </xf>
    <xf numFmtId="0" fontId="3" fillId="6" borderId="1" xfId="10" applyFont="1" applyAlignment="1">
      <alignment horizontal="center"/>
    </xf>
    <xf numFmtId="0" fontId="4" fillId="11" borderId="4" xfId="4" quotePrefix="1" applyFont="1" applyFill="1" applyBorder="1" applyAlignment="1">
      <alignment vertical="center" wrapText="1"/>
    </xf>
    <xf numFmtId="3" fontId="7" fillId="6" borderId="1" xfId="10" applyNumberFormat="1" applyFont="1"/>
    <xf numFmtId="3" fontId="3" fillId="6" borderId="1" xfId="10" applyNumberFormat="1" applyFont="1" applyAlignment="1">
      <alignment vertical="center"/>
    </xf>
    <xf numFmtId="3" fontId="3" fillId="6" borderId="1" xfId="4" applyNumberFormat="1" applyFont="1"/>
    <xf numFmtId="0" fontId="3" fillId="6" borderId="9" xfId="6" applyFont="1" applyBorder="1" applyAlignment="1">
      <alignment vertical="center"/>
    </xf>
    <xf numFmtId="0" fontId="10" fillId="0" borderId="0" xfId="0" applyFont="1"/>
    <xf numFmtId="0" fontId="3" fillId="0" borderId="1" xfId="10" applyFont="1" applyFill="1"/>
    <xf numFmtId="3" fontId="3" fillId="0" borderId="1" xfId="10" applyNumberFormat="1" applyFont="1" applyFill="1"/>
    <xf numFmtId="0" fontId="3" fillId="0" borderId="1" xfId="10" applyFont="1" applyFill="1" applyAlignment="1">
      <alignment horizontal="center"/>
    </xf>
    <xf numFmtId="0" fontId="7" fillId="0" borderId="1" xfId="10" applyFont="1" applyFill="1"/>
    <xf numFmtId="0" fontId="3" fillId="0" borderId="1" xfId="10" applyFont="1" applyFill="1" applyAlignment="1" applyProtection="1">
      <alignment wrapText="1"/>
      <protection locked="0"/>
    </xf>
    <xf numFmtId="0" fontId="3" fillId="0" borderId="1" xfId="10" applyFont="1" applyFill="1" applyAlignment="1" applyProtection="1">
      <alignment horizontal="center" wrapText="1"/>
      <protection locked="0"/>
    </xf>
    <xf numFmtId="0" fontId="3" fillId="0" borderId="1" xfId="10" applyFont="1" applyFill="1" applyAlignment="1">
      <alignment vertical="top" wrapText="1"/>
    </xf>
    <xf numFmtId="0" fontId="3" fillId="0" borderId="1" xfId="10" applyFont="1" applyFill="1" applyAlignment="1">
      <alignment horizontal="left" vertical="center" wrapText="1"/>
    </xf>
    <xf numFmtId="0" fontId="3" fillId="0" borderId="1" xfId="10" applyFont="1" applyFill="1" applyAlignment="1">
      <alignment horizontal="center" vertical="top" wrapText="1"/>
    </xf>
    <xf numFmtId="0" fontId="6" fillId="0" borderId="1" xfId="10" applyFont="1" applyFill="1" applyAlignment="1">
      <alignment vertical="top" wrapText="1"/>
    </xf>
    <xf numFmtId="42" fontId="3" fillId="0" borderId="1" xfId="10" applyNumberFormat="1" applyFont="1" applyFill="1"/>
    <xf numFmtId="0" fontId="3" fillId="0" borderId="1" xfId="10" applyFont="1" applyFill="1" applyAlignment="1">
      <alignment horizontal="left"/>
    </xf>
    <xf numFmtId="3" fontId="9" fillId="6" borderId="2" xfId="4" applyNumberFormat="1" applyFont="1" applyBorder="1" applyAlignment="1">
      <alignment horizontal="center" vertical="center"/>
    </xf>
    <xf numFmtId="3" fontId="3" fillId="10" borderId="4" xfId="10" applyNumberFormat="1" applyFont="1" applyFill="1" applyBorder="1" applyAlignment="1">
      <alignment vertical="center" wrapText="1"/>
    </xf>
    <xf numFmtId="43" fontId="3" fillId="6" borderId="1" xfId="14" applyFont="1" applyFill="1" applyBorder="1"/>
    <xf numFmtId="43" fontId="3" fillId="6" borderId="1" xfId="10" applyNumberFormat="1" applyFont="1"/>
    <xf numFmtId="0" fontId="3" fillId="6" borderId="5" xfId="4" quotePrefix="1" applyFont="1" applyBorder="1" applyAlignment="1">
      <alignment horizontal="left" vertical="center" wrapText="1"/>
    </xf>
    <xf numFmtId="3" fontId="3" fillId="0" borderId="4" xfId="10" applyNumberFormat="1" applyFont="1" applyFill="1" applyBorder="1" applyAlignment="1">
      <alignment vertical="center" wrapText="1"/>
    </xf>
    <xf numFmtId="0" fontId="3" fillId="13" borderId="10" xfId="10" applyFont="1" applyFill="1" applyBorder="1" applyAlignment="1">
      <alignment vertical="center" wrapText="1"/>
    </xf>
    <xf numFmtId="0" fontId="3" fillId="6" borderId="10" xfId="10" quotePrefix="1" applyFont="1" applyBorder="1" applyAlignment="1">
      <alignment horizontal="left" vertical="center" wrapText="1"/>
    </xf>
    <xf numFmtId="0" fontId="3" fillId="6" borderId="10" xfId="10" applyFont="1" applyBorder="1" applyAlignment="1">
      <alignment horizontal="left" vertical="center" wrapText="1"/>
    </xf>
    <xf numFmtId="0" fontId="3" fillId="13" borderId="11" xfId="10" applyFont="1" applyFill="1" applyBorder="1" applyAlignment="1" applyProtection="1">
      <alignment horizontal="center" wrapText="1"/>
      <protection locked="0"/>
    </xf>
    <xf numFmtId="0" fontId="3" fillId="6" borderId="11" xfId="10" applyFont="1" applyBorder="1" applyAlignment="1">
      <alignment horizontal="center" vertical="center" wrapText="1"/>
    </xf>
    <xf numFmtId="3" fontId="5" fillId="0" borderId="1" xfId="10" applyNumberFormat="1" applyFont="1" applyFill="1" applyAlignment="1">
      <alignment horizontal="right" vertical="center" wrapText="1"/>
    </xf>
    <xf numFmtId="3" fontId="3" fillId="0" borderId="1" xfId="10" applyNumberFormat="1" applyFont="1" applyFill="1" applyAlignment="1">
      <alignment horizontal="right" vertical="center" wrapText="1"/>
    </xf>
    <xf numFmtId="3" fontId="3" fillId="0" borderId="1" xfId="10" applyNumberFormat="1" applyFont="1" applyFill="1" applyAlignment="1">
      <alignment vertical="center" wrapText="1"/>
    </xf>
    <xf numFmtId="0" fontId="3" fillId="13" borderId="4" xfId="10" applyFont="1" applyFill="1" applyBorder="1" applyAlignment="1">
      <alignment horizontal="left" vertical="center" wrapText="1"/>
    </xf>
    <xf numFmtId="3" fontId="4" fillId="0" borderId="1" xfId="10" applyNumberFormat="1" applyFont="1" applyFill="1" applyAlignment="1">
      <alignment horizontal="right" vertical="center" wrapText="1"/>
    </xf>
    <xf numFmtId="0" fontId="3" fillId="6" borderId="5" xfId="10" applyFont="1" applyBorder="1" applyAlignment="1" applyProtection="1">
      <alignment wrapText="1"/>
      <protection locked="0"/>
    </xf>
    <xf numFmtId="0" fontId="3" fillId="6" borderId="5" xfId="10" applyFont="1" applyBorder="1" applyAlignment="1">
      <alignment horizontal="center" vertical="center" wrapText="1"/>
    </xf>
    <xf numFmtId="3" fontId="3" fillId="6" borderId="5" xfId="10" applyNumberFormat="1" applyFont="1" applyBorder="1" applyAlignment="1">
      <alignment vertical="center" wrapText="1"/>
    </xf>
    <xf numFmtId="0" fontId="8" fillId="6" borderId="10" xfId="10" quotePrefix="1" applyFont="1" applyBorder="1" applyAlignment="1">
      <alignment horizontal="left" vertical="center" wrapText="1"/>
    </xf>
    <xf numFmtId="0" fontId="8" fillId="6" borderId="11" xfId="10" applyFont="1" applyBorder="1" applyAlignment="1">
      <alignment horizontal="center" vertical="center" wrapText="1"/>
    </xf>
    <xf numFmtId="0" fontId="8" fillId="6" borderId="4" xfId="10" applyFont="1" applyBorder="1" applyAlignment="1">
      <alignment horizontal="center" vertical="center" wrapText="1"/>
    </xf>
    <xf numFmtId="3" fontId="8" fillId="6" borderId="4" xfId="10" applyNumberFormat="1" applyFont="1" applyBorder="1" applyAlignment="1">
      <alignment vertical="center" wrapText="1"/>
    </xf>
    <xf numFmtId="0" fontId="3" fillId="6" borderId="5" xfId="10" quotePrefix="1" applyFont="1" applyBorder="1" applyAlignment="1">
      <alignment horizontal="left" vertical="center" wrapText="1"/>
    </xf>
    <xf numFmtId="0" fontId="4" fillId="7" borderId="6" xfId="10" applyFont="1" applyFill="1" applyBorder="1" applyAlignment="1">
      <alignment horizontal="center" vertical="center" wrapText="1"/>
    </xf>
    <xf numFmtId="0" fontId="3" fillId="7" borderId="6" xfId="10" applyFont="1" applyFill="1" applyBorder="1" applyAlignment="1" applyProtection="1">
      <alignment wrapText="1"/>
      <protection locked="0"/>
    </xf>
    <xf numFmtId="3" fontId="4" fillId="7" borderId="6" xfId="10" applyNumberFormat="1" applyFont="1" applyFill="1" applyBorder="1" applyAlignment="1">
      <alignment horizontal="right" vertical="center" wrapText="1"/>
    </xf>
    <xf numFmtId="0" fontId="5" fillId="10" borderId="10" xfId="10" applyFont="1" applyFill="1" applyBorder="1" applyAlignment="1">
      <alignment vertical="center" wrapText="1"/>
    </xf>
    <xf numFmtId="0" fontId="3" fillId="13" borderId="4" xfId="10" applyFont="1" applyFill="1" applyBorder="1"/>
    <xf numFmtId="3" fontId="3" fillId="13" borderId="4" xfId="10" applyNumberFormat="1" applyFont="1" applyFill="1" applyBorder="1"/>
    <xf numFmtId="3" fontId="3" fillId="10" borderId="4" xfId="10" applyNumberFormat="1" applyFont="1" applyFill="1" applyBorder="1"/>
    <xf numFmtId="0" fontId="3" fillId="10" borderId="4" xfId="10" applyFont="1" applyFill="1" applyBorder="1"/>
    <xf numFmtId="0" fontId="5" fillId="10" borderId="4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vertical="center" wrapText="1"/>
    </xf>
    <xf numFmtId="0" fontId="3" fillId="6" borderId="4" xfId="0" applyFont="1" applyFill="1" applyBorder="1" applyAlignment="1" applyProtection="1">
      <alignment wrapText="1"/>
      <protection locked="0"/>
    </xf>
    <xf numFmtId="0" fontId="3" fillId="13" borderId="4" xfId="0" applyFont="1" applyFill="1" applyBorder="1" applyAlignment="1" applyProtection="1">
      <alignment wrapText="1"/>
      <protection locked="0"/>
    </xf>
    <xf numFmtId="0" fontId="3" fillId="13" borderId="4" xfId="0" quotePrefix="1" applyFont="1" applyFill="1" applyBorder="1" applyAlignment="1">
      <alignment horizontal="left" vertical="center" wrapText="1"/>
    </xf>
    <xf numFmtId="0" fontId="3" fillId="11" borderId="4" xfId="10" quotePrefix="1" applyFont="1" applyFill="1" applyBorder="1" applyAlignment="1">
      <alignment vertical="center" wrapText="1"/>
    </xf>
    <xf numFmtId="41" fontId="3" fillId="6" borderId="1" xfId="10" applyNumberFormat="1" applyFont="1"/>
    <xf numFmtId="0" fontId="3" fillId="10" borderId="4" xfId="0" applyFont="1" applyFill="1" applyBorder="1" applyAlignment="1" applyProtection="1">
      <alignment horizontal="center" wrapText="1"/>
      <protection locked="0"/>
    </xf>
    <xf numFmtId="0" fontId="3" fillId="10" borderId="4" xfId="0" applyFont="1" applyFill="1" applyBorder="1" applyAlignment="1" applyProtection="1">
      <alignment wrapText="1"/>
      <protection locked="0"/>
    </xf>
    <xf numFmtId="3" fontId="5" fillId="10" borderId="4" xfId="0" applyNumberFormat="1" applyFont="1" applyFill="1" applyBorder="1" applyAlignment="1">
      <alignment horizontal="right" vertical="center" wrapText="1"/>
    </xf>
    <xf numFmtId="0" fontId="3" fillId="13" borderId="4" xfId="0" quotePrefix="1" applyFont="1" applyFill="1" applyBorder="1" applyAlignment="1">
      <alignment vertical="center" wrapText="1"/>
    </xf>
    <xf numFmtId="0" fontId="3" fillId="13" borderId="4" xfId="0" applyFont="1" applyFill="1" applyBorder="1" applyAlignment="1" applyProtection="1">
      <alignment horizontal="center" wrapText="1"/>
      <protection locked="0"/>
    </xf>
    <xf numFmtId="3" fontId="3" fillId="13" borderId="4" xfId="0" applyNumberFormat="1" applyFont="1" applyFill="1" applyBorder="1" applyAlignment="1">
      <alignment horizontal="right" vertical="center" wrapText="1"/>
    </xf>
    <xf numFmtId="0" fontId="3" fillId="6" borderId="4" xfId="0" quotePrefix="1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3" fontId="3" fillId="6" borderId="4" xfId="0" applyNumberFormat="1" applyFont="1" applyFill="1" applyBorder="1" applyAlignment="1">
      <alignment vertical="center" wrapText="1"/>
    </xf>
    <xf numFmtId="0" fontId="3" fillId="13" borderId="4" xfId="0" quotePrefix="1" applyFont="1" applyFill="1" applyBorder="1" applyAlignment="1" applyProtection="1">
      <alignment wrapText="1"/>
      <protection locked="0"/>
    </xf>
    <xf numFmtId="0" fontId="3" fillId="13" borderId="4" xfId="0" applyFont="1" applyFill="1" applyBorder="1" applyAlignment="1">
      <alignment horizontal="center" vertical="center" wrapText="1"/>
    </xf>
    <xf numFmtId="3" fontId="3" fillId="13" borderId="4" xfId="0" applyNumberFormat="1" applyFont="1" applyFill="1" applyBorder="1" applyAlignment="1">
      <alignment vertical="center" wrapText="1"/>
    </xf>
    <xf numFmtId="41" fontId="0" fillId="0" borderId="0" xfId="0" applyNumberFormat="1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1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41" fontId="12" fillId="0" borderId="0" xfId="0" applyNumberFormat="1" applyFont="1" applyAlignment="1">
      <alignment vertical="center"/>
    </xf>
    <xf numFmtId="0" fontId="3" fillId="6" borderId="1" xfId="10" quotePrefix="1" applyFont="1" applyAlignment="1">
      <alignment horizontal="left" vertical="center" wrapText="1"/>
    </xf>
    <xf numFmtId="0" fontId="3" fillId="6" borderId="1" xfId="10" applyFont="1" applyAlignment="1">
      <alignment horizontal="center" vertical="center" wrapText="1"/>
    </xf>
    <xf numFmtId="3" fontId="3" fillId="6" borderId="1" xfId="10" applyNumberFormat="1" applyFont="1" applyAlignment="1">
      <alignment vertical="center" wrapText="1"/>
    </xf>
    <xf numFmtId="0" fontId="3" fillId="0" borderId="1" xfId="10" applyFont="1" applyFill="1" applyAlignment="1">
      <alignment wrapText="1"/>
    </xf>
    <xf numFmtId="3" fontId="3" fillId="13" borderId="10" xfId="10" applyNumberFormat="1" applyFont="1" applyFill="1" applyBorder="1" applyAlignment="1">
      <alignment horizontal="right" vertical="center" wrapText="1"/>
    </xf>
    <xf numFmtId="3" fontId="3" fillId="6" borderId="10" xfId="10" applyNumberFormat="1" applyFont="1" applyBorder="1" applyAlignment="1">
      <alignment vertical="center" wrapText="1"/>
    </xf>
    <xf numFmtId="0" fontId="3" fillId="6" borderId="5" xfId="0" applyFont="1" applyFill="1" applyBorder="1" applyAlignment="1" applyProtection="1">
      <alignment wrapText="1"/>
      <protection locked="0"/>
    </xf>
    <xf numFmtId="0" fontId="3" fillId="6" borderId="5" xfId="0" quotePrefix="1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center" vertical="center" wrapText="1"/>
    </xf>
    <xf numFmtId="3" fontId="3" fillId="6" borderId="5" xfId="0" applyNumberFormat="1" applyFont="1" applyFill="1" applyBorder="1" applyAlignment="1">
      <alignment vertical="center" wrapText="1"/>
    </xf>
    <xf numFmtId="0" fontId="4" fillId="8" borderId="3" xfId="10" applyFont="1" applyFill="1" applyBorder="1" applyAlignment="1">
      <alignment vertical="center" wrapText="1"/>
    </xf>
    <xf numFmtId="0" fontId="4" fillId="8" borderId="3" xfId="10" applyFont="1" applyFill="1" applyBorder="1" applyAlignment="1">
      <alignment horizontal="center" vertical="top" wrapText="1"/>
    </xf>
    <xf numFmtId="0" fontId="3" fillId="8" borderId="3" xfId="10" applyFont="1" applyFill="1" applyBorder="1" applyAlignment="1" applyProtection="1">
      <alignment wrapText="1"/>
      <protection locked="0"/>
    </xf>
    <xf numFmtId="3" fontId="4" fillId="8" borderId="3" xfId="10" applyNumberFormat="1" applyFont="1" applyFill="1" applyBorder="1" applyAlignment="1">
      <alignment horizontal="right" vertical="center" wrapText="1"/>
    </xf>
    <xf numFmtId="0" fontId="4" fillId="8" borderId="3" xfId="0" applyFont="1" applyFill="1" applyBorder="1" applyAlignment="1">
      <alignment vertical="center" wrapText="1"/>
    </xf>
    <xf numFmtId="0" fontId="4" fillId="8" borderId="3" xfId="0" applyFont="1" applyFill="1" applyBorder="1" applyAlignment="1">
      <alignment horizontal="center" vertical="top" wrapText="1"/>
    </xf>
    <xf numFmtId="3" fontId="4" fillId="8" borderId="3" xfId="0" applyNumberFormat="1" applyFont="1" applyFill="1" applyBorder="1" applyAlignment="1">
      <alignment horizontal="right" vertical="center" wrapText="1"/>
    </xf>
    <xf numFmtId="0" fontId="4" fillId="8" borderId="3" xfId="4" applyFont="1" applyFill="1" applyBorder="1" applyAlignment="1">
      <alignment vertical="center" wrapText="1"/>
    </xf>
    <xf numFmtId="0" fontId="4" fillId="8" borderId="3" xfId="4" applyFont="1" applyFill="1" applyBorder="1" applyAlignment="1">
      <alignment horizontal="center" vertical="top" wrapText="1"/>
    </xf>
    <xf numFmtId="0" fontId="3" fillId="8" borderId="3" xfId="4" applyFont="1" applyFill="1" applyBorder="1" applyAlignment="1" applyProtection="1">
      <alignment wrapText="1"/>
      <protection locked="0"/>
    </xf>
    <xf numFmtId="3" fontId="4" fillId="8" borderId="3" xfId="4" applyNumberFormat="1" applyFont="1" applyFill="1" applyBorder="1" applyAlignment="1">
      <alignment horizontal="right" vertical="center" wrapText="1"/>
    </xf>
    <xf numFmtId="0" fontId="4" fillId="0" borderId="2" xfId="10" applyFont="1" applyFill="1" applyBorder="1" applyAlignment="1">
      <alignment horizontal="center" vertical="center" wrapText="1"/>
    </xf>
    <xf numFmtId="0" fontId="4" fillId="8" borderId="3" xfId="10" applyFont="1" applyFill="1" applyBorder="1" applyAlignment="1">
      <alignment horizontal="center" vertical="center" wrapText="1"/>
    </xf>
    <xf numFmtId="0" fontId="3" fillId="8" borderId="3" xfId="10" applyFont="1" applyFill="1" applyBorder="1" applyAlignment="1" applyProtection="1">
      <alignment vertical="center" wrapText="1"/>
      <protection locked="0"/>
    </xf>
    <xf numFmtId="0" fontId="3" fillId="6" borderId="1" xfId="10" applyFont="1" applyAlignment="1">
      <alignment vertical="center"/>
    </xf>
    <xf numFmtId="0" fontId="5" fillId="10" borderId="4" xfId="10" applyFont="1" applyFill="1" applyBorder="1" applyAlignment="1">
      <alignment horizontal="center" vertical="center" wrapText="1"/>
    </xf>
    <xf numFmtId="0" fontId="3" fillId="13" borderId="4" xfId="10" applyFont="1" applyFill="1" applyBorder="1" applyAlignment="1">
      <alignment horizontal="center" vertical="center" wrapText="1"/>
    </xf>
    <xf numFmtId="0" fontId="3" fillId="6" borderId="4" xfId="10" applyFont="1" applyBorder="1" applyAlignment="1" applyProtection="1">
      <alignment horizontal="center" wrapText="1"/>
      <protection locked="0"/>
    </xf>
    <xf numFmtId="0" fontId="3" fillId="6" borderId="5" xfId="10" applyFont="1" applyBorder="1" applyAlignment="1" applyProtection="1">
      <alignment horizontal="center" wrapText="1"/>
      <protection locked="0"/>
    </xf>
    <xf numFmtId="0" fontId="7" fillId="0" borderId="0" xfId="0" applyFont="1" applyAlignment="1">
      <alignment horizontal="center" vertical="center"/>
    </xf>
    <xf numFmtId="0" fontId="3" fillId="6" borderId="4" xfId="10" applyFont="1" applyBorder="1" applyAlignment="1" applyProtection="1">
      <alignment horizontal="center" vertical="center" wrapText="1"/>
      <protection locked="0"/>
    </xf>
    <xf numFmtId="0" fontId="3" fillId="6" borderId="5" xfId="10" applyFont="1" applyBorder="1" applyAlignment="1" applyProtection="1">
      <alignment horizontal="center" vertical="center" wrapText="1"/>
      <protection locked="0"/>
    </xf>
    <xf numFmtId="0" fontId="3" fillId="0" borderId="1" xfId="10" applyFont="1" applyFill="1" applyAlignment="1" applyProtection="1">
      <alignment horizontal="center" vertical="center" wrapText="1"/>
      <protection locked="0"/>
    </xf>
    <xf numFmtId="0" fontId="3" fillId="0" borderId="1" xfId="1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7" borderId="4" xfId="10" applyFont="1" applyFill="1" applyBorder="1" applyAlignment="1">
      <alignment horizontal="center" vertical="center" wrapText="1"/>
    </xf>
    <xf numFmtId="0" fontId="13" fillId="0" borderId="0" xfId="0" applyFont="1"/>
    <xf numFmtId="0" fontId="7" fillId="0" borderId="0" xfId="0" applyFont="1" applyAlignment="1">
      <alignment horizontal="left"/>
    </xf>
    <xf numFmtId="3" fontId="4" fillId="8" borderId="3" xfId="10" applyNumberFormat="1" applyFont="1" applyFill="1" applyBorder="1" applyAlignment="1">
      <alignment horizontal="center" vertical="top" wrapText="1"/>
    </xf>
    <xf numFmtId="0" fontId="7" fillId="0" borderId="1" xfId="10" applyFont="1" applyFill="1" applyAlignment="1">
      <alignment wrapText="1"/>
    </xf>
    <xf numFmtId="0" fontId="3" fillId="7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left" vertical="top"/>
    </xf>
    <xf numFmtId="3" fontId="3" fillId="7" borderId="4" xfId="10" applyNumberFormat="1" applyFont="1" applyFill="1" applyBorder="1" applyAlignment="1">
      <alignment horizontal="center" vertical="center" wrapText="1"/>
    </xf>
    <xf numFmtId="3" fontId="4" fillId="8" borderId="3" xfId="1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41" fontId="4" fillId="7" borderId="4" xfId="1" applyFont="1" applyFill="1" applyBorder="1" applyAlignment="1">
      <alignment horizontal="center" vertical="center" wrapText="1"/>
    </xf>
    <xf numFmtId="0" fontId="4" fillId="7" borderId="4" xfId="10" applyFont="1" applyFill="1" applyBorder="1" applyAlignment="1">
      <alignment horizontal="center" vertical="top" wrapText="1"/>
    </xf>
    <xf numFmtId="0" fontId="5" fillId="10" borderId="4" xfId="4" applyFont="1" applyFill="1" applyBorder="1" applyAlignment="1">
      <alignment horizontal="center" vertical="top" wrapText="1"/>
    </xf>
    <xf numFmtId="0" fontId="3" fillId="13" borderId="4" xfId="4" applyFont="1" applyFill="1" applyBorder="1" applyAlignment="1">
      <alignment horizontal="center" vertical="top" wrapText="1"/>
    </xf>
    <xf numFmtId="0" fontId="3" fillId="6" borderId="4" xfId="4" applyFont="1" applyBorder="1" applyAlignment="1" applyProtection="1">
      <alignment horizontal="center" vertical="top" wrapText="1"/>
      <protection locked="0"/>
    </xf>
    <xf numFmtId="0" fontId="3" fillId="6" borderId="5" xfId="4" applyFont="1" applyBorder="1" applyAlignment="1" applyProtection="1">
      <alignment horizontal="center" vertical="top" wrapText="1"/>
      <protection locked="0"/>
    </xf>
    <xf numFmtId="0" fontId="3" fillId="6" borderId="1" xfId="10" applyFont="1" applyAlignment="1" applyProtection="1">
      <alignment horizontal="center" vertical="top" wrapText="1"/>
      <protection locked="0"/>
    </xf>
    <xf numFmtId="0" fontId="3" fillId="0" borderId="1" xfId="10" applyFont="1" applyFill="1" applyAlignment="1" applyProtection="1">
      <alignment horizontal="center" vertical="top" wrapText="1"/>
      <protection locked="0"/>
    </xf>
    <xf numFmtId="0" fontId="3" fillId="0" borderId="1" xfId="10" applyFont="1" applyFill="1" applyAlignment="1">
      <alignment horizontal="center" vertical="top"/>
    </xf>
    <xf numFmtId="0" fontId="10" fillId="0" borderId="0" xfId="0" applyFont="1" applyAlignment="1">
      <alignment horizontal="left" vertical="center"/>
    </xf>
    <xf numFmtId="0" fontId="3" fillId="0" borderId="4" xfId="10" applyFont="1" applyFill="1" applyBorder="1" applyAlignment="1" applyProtection="1">
      <alignment horizontal="center" wrapText="1"/>
      <protection locked="0"/>
    </xf>
    <xf numFmtId="0" fontId="3" fillId="0" borderId="4" xfId="10" applyFont="1" applyFill="1" applyBorder="1" applyAlignment="1">
      <alignment horizontal="center" vertical="center" wrapText="1"/>
    </xf>
    <xf numFmtId="0" fontId="4" fillId="0" borderId="4" xfId="10" applyFont="1" applyFill="1" applyBorder="1" applyAlignment="1">
      <alignment horizontal="center" vertical="center" wrapText="1"/>
    </xf>
    <xf numFmtId="0" fontId="3" fillId="6" borderId="17" xfId="10" applyFont="1" applyBorder="1" applyAlignment="1">
      <alignment horizontal="left" vertical="center" wrapText="1"/>
    </xf>
    <xf numFmtId="0" fontId="3" fillId="6" borderId="18" xfId="10" applyFont="1" applyBorder="1" applyAlignment="1">
      <alignment horizontal="center" vertical="center" wrapText="1"/>
    </xf>
    <xf numFmtId="0" fontId="3" fillId="0" borderId="5" xfId="10" applyFont="1" applyFill="1" applyBorder="1" applyAlignment="1" applyProtection="1">
      <alignment horizontal="center" wrapText="1"/>
      <protection locked="0"/>
    </xf>
    <xf numFmtId="0" fontId="3" fillId="6" borderId="4" xfId="6" quotePrefix="1" applyFont="1" applyBorder="1" applyAlignment="1">
      <alignment vertical="center"/>
    </xf>
    <xf numFmtId="166" fontId="4" fillId="6" borderId="20" xfId="10" applyNumberFormat="1" applyFont="1" applyBorder="1"/>
    <xf numFmtId="41" fontId="3" fillId="6" borderId="1" xfId="11" applyFont="1" applyFill="1" applyBorder="1"/>
    <xf numFmtId="41" fontId="3" fillId="6" borderId="1" xfId="10" applyNumberFormat="1" applyFont="1" applyAlignment="1">
      <alignment horizontal="center" vertical="center" wrapText="1"/>
    </xf>
    <xf numFmtId="0" fontId="3" fillId="6" borderId="1" xfId="10" applyFont="1" applyAlignment="1">
      <alignment horizontal="center" vertical="center"/>
    </xf>
    <xf numFmtId="3" fontId="8" fillId="0" borderId="1" xfId="10" applyNumberFormat="1" applyFont="1" applyFill="1"/>
    <xf numFmtId="3" fontId="8" fillId="10" borderId="1" xfId="10" applyNumberFormat="1" applyFont="1" applyFill="1"/>
    <xf numFmtId="0" fontId="8" fillId="10" borderId="1" xfId="10" applyFont="1" applyFill="1" applyAlignment="1">
      <alignment horizontal="center" vertical="center"/>
    </xf>
    <xf numFmtId="10" fontId="3" fillId="6" borderId="1" xfId="10" applyNumberFormat="1" applyFont="1"/>
    <xf numFmtId="3" fontId="8" fillId="6" borderId="1" xfId="10" applyNumberFormat="1" applyFont="1"/>
    <xf numFmtId="0" fontId="4" fillId="6" borderId="9" xfId="10" applyFont="1" applyBorder="1" applyAlignment="1">
      <alignment horizontal="center" vertical="center" wrapText="1"/>
    </xf>
    <xf numFmtId="166" fontId="11" fillId="6" borderId="20" xfId="10" applyNumberFormat="1" applyFont="1" applyBorder="1"/>
    <xf numFmtId="0" fontId="11" fillId="6" borderId="20" xfId="10" applyFont="1" applyBorder="1"/>
    <xf numFmtId="3" fontId="11" fillId="6" borderId="20" xfId="10" applyNumberFormat="1" applyFont="1" applyBorder="1"/>
    <xf numFmtId="42" fontId="11" fillId="6" borderId="20" xfId="10" applyNumberFormat="1" applyFont="1" applyBorder="1"/>
    <xf numFmtId="0" fontId="11" fillId="0" borderId="20" xfId="0" applyFont="1" applyBorder="1"/>
    <xf numFmtId="0" fontId="11" fillId="6" borderId="20" xfId="4" applyFont="1" applyBorder="1"/>
    <xf numFmtId="0" fontId="11" fillId="6" borderId="1" xfId="10" applyFont="1"/>
    <xf numFmtId="0" fontId="1" fillId="6" borderId="1" xfId="10"/>
    <xf numFmtId="3" fontId="1" fillId="6" borderId="1" xfId="10" applyNumberFormat="1"/>
    <xf numFmtId="0" fontId="17" fillId="19" borderId="21" xfId="10" applyFont="1" applyFill="1" applyBorder="1" applyAlignment="1">
      <alignment horizontal="center" vertical="center" wrapText="1"/>
    </xf>
    <xf numFmtId="0" fontId="18" fillId="20" borderId="21" xfId="10" applyFont="1" applyFill="1" applyBorder="1" applyAlignment="1">
      <alignment horizontal="center" vertical="center"/>
    </xf>
    <xf numFmtId="3" fontId="18" fillId="20" borderId="21" xfId="10" applyNumberFormat="1" applyFont="1" applyFill="1" applyBorder="1" applyAlignment="1">
      <alignment horizontal="right" vertical="center"/>
    </xf>
    <xf numFmtId="0" fontId="18" fillId="20" borderId="21" xfId="10" applyFont="1" applyFill="1" applyBorder="1" applyAlignment="1">
      <alignment horizontal="right" vertical="center"/>
    </xf>
    <xf numFmtId="0" fontId="18" fillId="21" borderId="21" xfId="10" applyFont="1" applyFill="1" applyBorder="1" applyAlignment="1">
      <alignment horizontal="center" vertical="center"/>
    </xf>
    <xf numFmtId="3" fontId="18" fillId="21" borderId="21" xfId="10" applyNumberFormat="1" applyFont="1" applyFill="1" applyBorder="1" applyAlignment="1">
      <alignment horizontal="right" vertical="center"/>
    </xf>
    <xf numFmtId="0" fontId="18" fillId="21" borderId="21" xfId="10" applyFont="1" applyFill="1" applyBorder="1" applyAlignment="1">
      <alignment horizontal="right" vertical="center"/>
    </xf>
    <xf numFmtId="0" fontId="18" fillId="6" borderId="1" xfId="10" applyFont="1" applyAlignment="1">
      <alignment horizontal="center" vertical="center"/>
    </xf>
    <xf numFmtId="3" fontId="18" fillId="6" borderId="1" xfId="10" applyNumberFormat="1" applyFont="1" applyAlignment="1">
      <alignment horizontal="right" vertical="center"/>
    </xf>
    <xf numFmtId="0" fontId="18" fillId="6" borderId="1" xfId="10" applyFont="1" applyAlignment="1">
      <alignment horizontal="right" vertical="center"/>
    </xf>
    <xf numFmtId="41" fontId="17" fillId="19" borderId="21" xfId="10" applyNumberFormat="1" applyFont="1" applyFill="1" applyBorder="1" applyAlignment="1">
      <alignment horizontal="center" vertical="center" wrapText="1"/>
    </xf>
    <xf numFmtId="0" fontId="13" fillId="6" borderId="1" xfId="10" applyFont="1"/>
    <xf numFmtId="3" fontId="13" fillId="6" borderId="1" xfId="10" applyNumberFormat="1" applyFont="1"/>
    <xf numFmtId="41" fontId="13" fillId="6" borderId="1" xfId="10" applyNumberFormat="1" applyFont="1"/>
    <xf numFmtId="0" fontId="20" fillId="6" borderId="1" xfId="10" applyFont="1"/>
    <xf numFmtId="41" fontId="20" fillId="6" borderId="1" xfId="10" applyNumberFormat="1" applyFont="1"/>
    <xf numFmtId="3" fontId="20" fillId="6" borderId="1" xfId="10" applyNumberFormat="1" applyFont="1"/>
    <xf numFmtId="0" fontId="19" fillId="6" borderId="1" xfId="10" applyFont="1"/>
    <xf numFmtId="41" fontId="19" fillId="6" borderId="1" xfId="10" applyNumberFormat="1" applyFont="1"/>
    <xf numFmtId="0" fontId="14" fillId="6" borderId="1" xfId="10" applyFont="1"/>
    <xf numFmtId="0" fontId="22" fillId="19" borderId="21" xfId="10" applyFont="1" applyFill="1" applyBorder="1" applyAlignment="1">
      <alignment horizontal="center" vertical="center" wrapText="1"/>
    </xf>
    <xf numFmtId="41" fontId="22" fillId="19" borderId="21" xfId="10" applyNumberFormat="1" applyFont="1" applyFill="1" applyBorder="1" applyAlignment="1">
      <alignment horizontal="center" vertical="center" wrapText="1"/>
    </xf>
    <xf numFmtId="41" fontId="20" fillId="6" borderId="1" xfId="10" quotePrefix="1" applyNumberFormat="1" applyFont="1"/>
    <xf numFmtId="41" fontId="1" fillId="6" borderId="1" xfId="10" applyNumberFormat="1"/>
    <xf numFmtId="0" fontId="23" fillId="19" borderId="21" xfId="10" applyFont="1" applyFill="1" applyBorder="1" applyAlignment="1">
      <alignment horizontal="center" vertical="center" wrapText="1"/>
    </xf>
    <xf numFmtId="3" fontId="24" fillId="20" borderId="21" xfId="10" applyNumberFormat="1" applyFont="1" applyFill="1" applyBorder="1" applyAlignment="1">
      <alignment horizontal="right" vertical="center"/>
    </xf>
    <xf numFmtId="3" fontId="24" fillId="21" borderId="21" xfId="10" applyNumberFormat="1" applyFont="1" applyFill="1" applyBorder="1" applyAlignment="1">
      <alignment horizontal="right" vertical="center"/>
    </xf>
    <xf numFmtId="0" fontId="24" fillId="20" borderId="21" xfId="10" applyFont="1" applyFill="1" applyBorder="1" applyAlignment="1">
      <alignment horizontal="right" vertical="center"/>
    </xf>
    <xf numFmtId="0" fontId="24" fillId="6" borderId="1" xfId="10" applyFont="1" applyAlignment="1">
      <alignment horizontal="right" vertical="center"/>
    </xf>
    <xf numFmtId="0" fontId="16" fillId="19" borderId="21" xfId="10" applyFont="1" applyFill="1" applyBorder="1" applyAlignment="1">
      <alignment horizontal="center" vertical="center" wrapText="1"/>
    </xf>
    <xf numFmtId="41" fontId="7" fillId="6" borderId="1" xfId="10" applyNumberFormat="1" applyFont="1"/>
    <xf numFmtId="0" fontId="20" fillId="8" borderId="1" xfId="10" applyFont="1" applyFill="1"/>
    <xf numFmtId="3" fontId="20" fillId="8" borderId="1" xfId="10" applyNumberFormat="1" applyFont="1" applyFill="1"/>
    <xf numFmtId="41" fontId="20" fillId="8" borderId="1" xfId="10" applyNumberFormat="1" applyFont="1" applyFill="1"/>
    <xf numFmtId="0" fontId="13" fillId="8" borderId="1" xfId="10" applyFont="1" applyFill="1"/>
    <xf numFmtId="3" fontId="13" fillId="8" borderId="1" xfId="10" applyNumberFormat="1" applyFont="1" applyFill="1"/>
    <xf numFmtId="0" fontId="3" fillId="17" borderId="1" xfId="4" applyFont="1" applyFill="1" applyAlignment="1">
      <alignment horizontal="center"/>
    </xf>
    <xf numFmtId="0" fontId="3" fillId="14" borderId="1" xfId="4" applyFont="1" applyFill="1" applyAlignment="1">
      <alignment horizontal="center"/>
    </xf>
    <xf numFmtId="0" fontId="4" fillId="15" borderId="3" xfId="4" applyFont="1" applyFill="1" applyBorder="1" applyAlignment="1">
      <alignment horizontal="center" vertical="center"/>
    </xf>
    <xf numFmtId="0" fontId="4" fillId="16" borderId="4" xfId="4" applyFont="1" applyFill="1" applyBorder="1" applyAlignment="1">
      <alignment horizontal="center" vertical="center"/>
    </xf>
    <xf numFmtId="0" fontId="4" fillId="15" borderId="4" xfId="4" applyFont="1" applyFill="1" applyBorder="1" applyAlignment="1">
      <alignment horizontal="center" vertical="center"/>
    </xf>
    <xf numFmtId="41" fontId="4" fillId="15" borderId="3" xfId="9" applyFont="1" applyFill="1" applyBorder="1" applyAlignment="1">
      <alignment horizontal="center" vertical="center"/>
    </xf>
    <xf numFmtId="41" fontId="4" fillId="16" borderId="4" xfId="9" applyFont="1" applyFill="1" applyBorder="1" applyAlignment="1">
      <alignment horizontal="center" vertical="center"/>
    </xf>
    <xf numFmtId="0" fontId="4" fillId="15" borderId="3" xfId="10" applyFont="1" applyFill="1" applyBorder="1" applyAlignment="1">
      <alignment horizontal="center" vertical="center"/>
    </xf>
    <xf numFmtId="0" fontId="4" fillId="16" borderId="4" xfId="10" applyFont="1" applyFill="1" applyBorder="1" applyAlignment="1">
      <alignment horizontal="center" vertical="center"/>
    </xf>
    <xf numFmtId="41" fontId="4" fillId="15" borderId="3" xfId="11" applyFont="1" applyFill="1" applyBorder="1" applyAlignment="1">
      <alignment horizontal="center" vertical="center"/>
    </xf>
    <xf numFmtId="41" fontId="4" fillId="16" borderId="4" xfId="11" applyFont="1" applyFill="1" applyBorder="1" applyAlignment="1">
      <alignment horizontal="center" vertical="center"/>
    </xf>
    <xf numFmtId="0" fontId="3" fillId="17" borderId="1" xfId="10" applyFont="1" applyFill="1" applyAlignment="1">
      <alignment horizontal="center"/>
    </xf>
    <xf numFmtId="0" fontId="3" fillId="14" borderId="1" xfId="10" applyFont="1" applyFill="1" applyAlignment="1">
      <alignment horizontal="center"/>
    </xf>
    <xf numFmtId="0" fontId="4" fillId="15" borderId="4" xfId="10" applyFont="1" applyFill="1" applyBorder="1" applyAlignment="1">
      <alignment horizontal="center" vertical="center"/>
    </xf>
    <xf numFmtId="0" fontId="3" fillId="17" borderId="1" xfId="10" applyFont="1" applyFill="1" applyAlignment="1">
      <alignment horizontal="center" vertical="center"/>
    </xf>
    <xf numFmtId="0" fontId="3" fillId="17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4" fillId="15" borderId="3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41" fontId="4" fillId="0" borderId="3" xfId="1" applyFont="1" applyFill="1" applyBorder="1" applyAlignment="1">
      <alignment horizontal="center" vertical="center"/>
    </xf>
    <xf numFmtId="41" fontId="4" fillId="0" borderId="4" xfId="1" applyFont="1" applyFill="1" applyBorder="1" applyAlignment="1">
      <alignment horizontal="center" vertical="center"/>
    </xf>
    <xf numFmtId="41" fontId="4" fillId="15" borderId="3" xfId="1" applyFont="1" applyFill="1" applyBorder="1" applyAlignment="1">
      <alignment horizontal="center" vertical="center"/>
    </xf>
    <xf numFmtId="41" fontId="4" fillId="16" borderId="4" xfId="1" applyFont="1" applyFill="1" applyBorder="1" applyAlignment="1">
      <alignment horizontal="center" vertical="center"/>
    </xf>
    <xf numFmtId="0" fontId="4" fillId="6" borderId="1" xfId="10" applyFont="1" applyAlignment="1">
      <alignment horizontal="center"/>
    </xf>
    <xf numFmtId="41" fontId="4" fillId="0" borderId="3" xfId="11" applyFont="1" applyFill="1" applyBorder="1" applyAlignment="1">
      <alignment horizontal="center" vertical="center"/>
    </xf>
    <xf numFmtId="41" fontId="4" fillId="0" borderId="4" xfId="11" applyFont="1" applyFill="1" applyBorder="1" applyAlignment="1">
      <alignment horizontal="center" vertical="center"/>
    </xf>
    <xf numFmtId="0" fontId="4" fillId="0" borderId="1" xfId="10" applyFont="1" applyFill="1" applyAlignment="1">
      <alignment horizontal="center"/>
    </xf>
    <xf numFmtId="0" fontId="4" fillId="0" borderId="3" xfId="10" applyFont="1" applyFill="1" applyBorder="1" applyAlignment="1">
      <alignment horizontal="center" vertical="center"/>
    </xf>
    <xf numFmtId="0" fontId="4" fillId="0" borderId="4" xfId="10" applyFont="1" applyFill="1" applyBorder="1" applyAlignment="1">
      <alignment horizontal="center" vertical="center"/>
    </xf>
    <xf numFmtId="0" fontId="15" fillId="6" borderId="22" xfId="10" applyFont="1" applyBorder="1" applyAlignment="1">
      <alignment horizontal="center"/>
    </xf>
    <xf numFmtId="0" fontId="21" fillId="6" borderId="22" xfId="10" applyFont="1" applyBorder="1" applyAlignment="1">
      <alignment horizontal="center"/>
    </xf>
    <xf numFmtId="0" fontId="4" fillId="0" borderId="15" xfId="10" applyFont="1" applyFill="1" applyBorder="1" applyAlignment="1">
      <alignment horizontal="center" vertical="center"/>
    </xf>
    <xf numFmtId="0" fontId="4" fillId="0" borderId="16" xfId="10" applyFont="1" applyFill="1" applyBorder="1" applyAlignment="1">
      <alignment horizontal="center" vertical="center"/>
    </xf>
    <xf numFmtId="0" fontId="4" fillId="0" borderId="15" xfId="10" applyFont="1" applyFill="1" applyBorder="1" applyAlignment="1">
      <alignment horizontal="center" vertical="center" wrapText="1"/>
    </xf>
    <xf numFmtId="0" fontId="4" fillId="0" borderId="16" xfId="10" applyFont="1" applyFill="1" applyBorder="1" applyAlignment="1">
      <alignment horizontal="center" vertical="center" wrapText="1"/>
    </xf>
    <xf numFmtId="0" fontId="4" fillId="0" borderId="7" xfId="10" applyFont="1" applyFill="1" applyBorder="1" applyAlignment="1">
      <alignment horizontal="center" vertical="center" wrapText="1"/>
    </xf>
    <xf numFmtId="0" fontId="4" fillId="0" borderId="19" xfId="10" applyFont="1" applyFill="1" applyBorder="1" applyAlignment="1">
      <alignment horizontal="center" vertical="center" wrapText="1"/>
    </xf>
    <xf numFmtId="0" fontId="4" fillId="0" borderId="12" xfId="10" applyFont="1" applyFill="1" applyBorder="1" applyAlignment="1">
      <alignment horizontal="center" vertical="center" wrapText="1"/>
    </xf>
    <xf numFmtId="0" fontId="4" fillId="0" borderId="13" xfId="10" applyFont="1" applyFill="1" applyBorder="1" applyAlignment="1">
      <alignment horizontal="center" vertical="center" wrapText="1"/>
    </xf>
    <xf numFmtId="0" fontId="4" fillId="0" borderId="14" xfId="1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</cellXfs>
  <cellStyles count="24">
    <cellStyle name="Comma" xfId="14" builtinId="3"/>
    <cellStyle name="Comma [0]" xfId="1" builtinId="6"/>
    <cellStyle name="Comma [0] 2" xfId="3" xr:uid="{00000000-0005-0000-0000-000001000000}"/>
    <cellStyle name="Comma [0] 2 2" xfId="11" xr:uid="{0511DCDC-49AC-4AB1-874E-3E7077FE3980}"/>
    <cellStyle name="Comma [0] 2 2 2" xfId="13" xr:uid="{3B2B49E2-933D-4FF9-BC09-0A52D46DF60C}"/>
    <cellStyle name="Comma [0] 2 2 2 2" xfId="23" xr:uid="{5EAD6845-50CC-47BB-8CE7-C24D3BB7F8E9}"/>
    <cellStyle name="Comma [0] 2 2 3" xfId="22" xr:uid="{315FCE65-C961-4528-9267-AE6013BBF0C1}"/>
    <cellStyle name="Comma [0] 2 3" xfId="17" xr:uid="{E6DF525B-B748-4293-82EA-015759F7D756}"/>
    <cellStyle name="Comma [0] 3" xfId="8" xr:uid="{00000000-0005-0000-0000-000002000000}"/>
    <cellStyle name="Comma [0] 3 2" xfId="20" xr:uid="{0EC46E4C-1505-4A99-9DD0-6CD88DC6AD13}"/>
    <cellStyle name="Comma [0] 4" xfId="9" xr:uid="{00000000-0005-0000-0000-000003000000}"/>
    <cellStyle name="Comma [0] 4 2" xfId="21" xr:uid="{74AF459B-B08C-433C-B96E-A0F3EFE90B41}"/>
    <cellStyle name="Comma [0] 5" xfId="16" xr:uid="{1BD499A2-5FC7-43A8-9133-7DEA23C7503C}"/>
    <cellStyle name="Comma 2" xfId="5" xr:uid="{00000000-0005-0000-0000-000004000000}"/>
    <cellStyle name="Comma 2 2" xfId="18" xr:uid="{CEC374EE-E50F-47A7-8CE8-DE2059B445E8}"/>
    <cellStyle name="Comma 3" xfId="7" xr:uid="{00000000-0005-0000-0000-000005000000}"/>
    <cellStyle name="Comma 3 2" xfId="19" xr:uid="{621C5DDA-53F8-406D-81F9-724EE9AAA9F8}"/>
    <cellStyle name="Normal" xfId="0" builtinId="0"/>
    <cellStyle name="Normal 2" xfId="2" xr:uid="{00000000-0005-0000-0000-000007000000}"/>
    <cellStyle name="Normal 2 2" xfId="10" xr:uid="{901B04D6-56E0-4AFB-9B83-19D2E42EAC7E}"/>
    <cellStyle name="Normal 2 2 2" xfId="12" xr:uid="{74969EBA-21F6-41D9-9EBD-EA3D2C00E2C8}"/>
    <cellStyle name="Normal 3" xfId="4" xr:uid="{00000000-0005-0000-0000-000008000000}"/>
    <cellStyle name="Normal 4" xfId="15" xr:uid="{2DEC4CCB-C283-451E-91A4-D68259D2FBFC}"/>
    <cellStyle name="Normal 59" xfId="6" xr:uid="{00000000-0005-0000-0000-000009000000}"/>
  </cellStyles>
  <dxfs count="0"/>
  <tableStyles count="0" defaultTableStyle="TableStyleMedium9" defaultPivotStyle="PivotStyleLight16"/>
  <colors>
    <mruColors>
      <color rgb="FFFF00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309</xdr:row>
      <xdr:rowOff>161925</xdr:rowOff>
    </xdr:from>
    <xdr:to>
      <xdr:col>3</xdr:col>
      <xdr:colOff>337268</xdr:colOff>
      <xdr:row>314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1AA482-2755-963A-E133-43FF9F0E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61702950"/>
          <a:ext cx="823043" cy="9334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5724524</xdr:colOff>
      <xdr:row>76</xdr:row>
      <xdr:rowOff>100942</xdr:rowOff>
    </xdr:from>
    <xdr:to>
      <xdr:col>3</xdr:col>
      <xdr:colOff>152399</xdr:colOff>
      <xdr:row>81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5F77A-6FB8-4A19-B090-5CC7A90F6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7124" y="15312367"/>
          <a:ext cx="809625" cy="9182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274504</xdr:colOff>
      <xdr:row>211</xdr:row>
      <xdr:rowOff>56051</xdr:rowOff>
    </xdr:from>
    <xdr:to>
      <xdr:col>8</xdr:col>
      <xdr:colOff>216445</xdr:colOff>
      <xdr:row>216</xdr:row>
      <xdr:rowOff>140073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88B1B-B0B1-4A34-994E-9400FF704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51" b="97375" l="9762" r="93209">
                      <a14:foregroundMark x1="46631" y1="24969" x2="46774" y2="25776"/>
                      <a14:foregroundMark x1="44652" y1="13842" x2="44955" y2="15544"/>
                      <a14:foregroundMark x1="79716" y1="5661" x2="80136" y2="5251"/>
                      <a14:foregroundMark x1="71817" y1="13365" x2="73173" y2="12043"/>
                      <a14:foregroundMark x1="83938" y1="24786" x2="85059" y2="30549"/>
                      <a14:foregroundMark x1="80136" y1="5251" x2="80305" y2="6118"/>
                      <a14:foregroundMark x1="85059" y1="30549" x2="86418" y2="97852"/>
                      <a14:foregroundMark x1="61121" y1="5489" x2="61115" y2="7411"/>
                      <a14:foregroundMark x1="65476" y1="18611" x2="65959" y2="17184"/>
                      <a14:foregroundMark x1="65450" y1="24344" x2="65280" y2="32220"/>
                      <a14:foregroundMark x1="93209" y1="9785" x2="92699" y2="8592"/>
                      <a14:foregroundMark x1="60957" y1="22174" x2="60340" y2="37391"/>
                      <a14:backgroundMark x1="47963" y1="20525" x2="50255" y2="13365"/>
                      <a14:backgroundMark x1="47199" y1="16468" x2="45161" y2="21957"/>
                      <a14:backgroundMark x1="73090" y1="12411" x2="81834" y2="12172"/>
                      <a14:backgroundMark x1="81834" y1="12172" x2="83362" y2="25298"/>
                      <a14:backgroundMark x1="81070" y1="10501" x2="77080" y2="7399"/>
                      <a14:backgroundMark x1="64195" y1="32035" x2="64177" y2="32458"/>
                      <a14:backgroundMark x1="64771" y1="18377" x2="64526" y2="24186"/>
                      <a14:backgroundMark x1="62394" y1="7876" x2="61721" y2="22419"/>
                      <a14:backgroundMark x1="65620" y1="32220" x2="65874" y2="27208"/>
                      <a14:backgroundMark x1="62054" y1="40811" x2="62054" y2="408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5854" y="55853501"/>
          <a:ext cx="3094716" cy="10365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509273</xdr:colOff>
      <xdr:row>59</xdr:row>
      <xdr:rowOff>106558</xdr:rowOff>
    </xdr:from>
    <xdr:to>
      <xdr:col>7</xdr:col>
      <xdr:colOff>549250</xdr:colOff>
      <xdr:row>65</xdr:row>
      <xdr:rowOff>179295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D23551-0EBA-404A-B32E-B0273E111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51" b="97375" l="9762" r="93209">
                      <a14:foregroundMark x1="46631" y1="24969" x2="46774" y2="25776"/>
                      <a14:foregroundMark x1="44652" y1="13842" x2="44955" y2="15544"/>
                      <a14:foregroundMark x1="79716" y1="5661" x2="80136" y2="5251"/>
                      <a14:foregroundMark x1="71817" y1="13365" x2="73173" y2="12043"/>
                      <a14:foregroundMark x1="83938" y1="24786" x2="85059" y2="30549"/>
                      <a14:foregroundMark x1="80136" y1="5251" x2="80305" y2="6118"/>
                      <a14:foregroundMark x1="85059" y1="30549" x2="86418" y2="97852"/>
                      <a14:foregroundMark x1="61121" y1="5489" x2="61115" y2="7411"/>
                      <a14:foregroundMark x1="65476" y1="18611" x2="65959" y2="17184"/>
                      <a14:foregroundMark x1="65450" y1="24344" x2="65280" y2="32220"/>
                      <a14:foregroundMark x1="93209" y1="9785" x2="92699" y2="8592"/>
                      <a14:foregroundMark x1="60957" y1="22174" x2="60340" y2="37391"/>
                      <a14:backgroundMark x1="47963" y1="20525" x2="50255" y2="13365"/>
                      <a14:backgroundMark x1="47199" y1="16468" x2="45161" y2="21957"/>
                      <a14:backgroundMark x1="73090" y1="12411" x2="81834" y2="12172"/>
                      <a14:backgroundMark x1="81834" y1="12172" x2="83362" y2="25298"/>
                      <a14:backgroundMark x1="81070" y1="10501" x2="77080" y2="7399"/>
                      <a14:backgroundMark x1="64195" y1="32035" x2="64177" y2="32458"/>
                      <a14:backgroundMark x1="64771" y1="18377" x2="64526" y2="24186"/>
                      <a14:backgroundMark x1="62394" y1="7876" x2="61721" y2="22419"/>
                      <a14:backgroundMark x1="65620" y1="32220" x2="65874" y2="27208"/>
                      <a14:backgroundMark x1="62054" y1="40811" x2="62054" y2="408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8832" y="14046676"/>
          <a:ext cx="3267271" cy="10812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981074</xdr:colOff>
      <xdr:row>60</xdr:row>
      <xdr:rowOff>116114</xdr:rowOff>
    </xdr:from>
    <xdr:to>
      <xdr:col>7</xdr:col>
      <xdr:colOff>866774</xdr:colOff>
      <xdr:row>65</xdr:row>
      <xdr:rowOff>66554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F20FB5-B208-3838-32BC-34936DFCC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51" b="97375" l="9762" r="93209">
                      <a14:foregroundMark x1="46631" y1="24969" x2="46774" y2="25776"/>
                      <a14:foregroundMark x1="44652" y1="13842" x2="44955" y2="15544"/>
                      <a14:foregroundMark x1="79716" y1="5661" x2="80136" y2="5251"/>
                      <a14:foregroundMark x1="71817" y1="13365" x2="73173" y2="12043"/>
                      <a14:foregroundMark x1="83938" y1="24786" x2="85059" y2="30549"/>
                      <a14:foregroundMark x1="80136" y1="5251" x2="80305" y2="6118"/>
                      <a14:foregroundMark x1="85059" y1="30549" x2="86418" y2="97852"/>
                      <a14:foregroundMark x1="61121" y1="5489" x2="61115" y2="7411"/>
                      <a14:foregroundMark x1="65476" y1="18611" x2="65959" y2="17184"/>
                      <a14:foregroundMark x1="65450" y1="24344" x2="65280" y2="32220"/>
                      <a14:foregroundMark x1="93209" y1="9785" x2="92699" y2="8592"/>
                      <a14:foregroundMark x1="60957" y1="22174" x2="60340" y2="37391"/>
                      <a14:backgroundMark x1="47963" y1="20525" x2="50255" y2="13365"/>
                      <a14:backgroundMark x1="47199" y1="16468" x2="45161" y2="21957"/>
                      <a14:backgroundMark x1="73090" y1="12411" x2="81834" y2="12172"/>
                      <a14:backgroundMark x1="81834" y1="12172" x2="83362" y2="25298"/>
                      <a14:backgroundMark x1="81070" y1="10501" x2="77080" y2="7399"/>
                      <a14:backgroundMark x1="64195" y1="32035" x2="64177" y2="32458"/>
                      <a14:backgroundMark x1="64771" y1="18377" x2="64526" y2="24186"/>
                      <a14:backgroundMark x1="62394" y1="7876" x2="61721" y2="22419"/>
                      <a14:backgroundMark x1="65620" y1="32220" x2="65874" y2="27208"/>
                      <a14:backgroundMark x1="62054" y1="40811" x2="62054" y2="408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7860" y="11183257"/>
          <a:ext cx="2570843" cy="8031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24</xdr:row>
      <xdr:rowOff>19050</xdr:rowOff>
    </xdr:from>
    <xdr:to>
      <xdr:col>3</xdr:col>
      <xdr:colOff>409575</xdr:colOff>
      <xdr:row>28</xdr:row>
      <xdr:rowOff>137183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498C3-8A38-40EB-84E8-68498479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5076825"/>
          <a:ext cx="809625" cy="9182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77</xdr:row>
      <xdr:rowOff>123825</xdr:rowOff>
    </xdr:from>
    <xdr:to>
      <xdr:col>3</xdr:col>
      <xdr:colOff>466725</xdr:colOff>
      <xdr:row>82</xdr:row>
      <xdr:rowOff>51458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C17A7F-49D4-45DA-B915-1D3F634A8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50" y="19421475"/>
          <a:ext cx="809625" cy="9182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491218</xdr:colOff>
      <xdr:row>65</xdr:row>
      <xdr:rowOff>88901</xdr:rowOff>
    </xdr:from>
    <xdr:to>
      <xdr:col>8</xdr:col>
      <xdr:colOff>17796</xdr:colOff>
      <xdr:row>70</xdr:row>
      <xdr:rowOff>39338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5298C1-CC0E-4FF7-BA38-26BACD89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51" b="97375" l="9762" r="93209">
                      <a14:foregroundMark x1="46631" y1="24969" x2="46774" y2="25776"/>
                      <a14:foregroundMark x1="44652" y1="13842" x2="44955" y2="15544"/>
                      <a14:foregroundMark x1="79716" y1="5661" x2="80136" y2="5251"/>
                      <a14:foregroundMark x1="71817" y1="13365" x2="73173" y2="12043"/>
                      <a14:foregroundMark x1="83938" y1="24786" x2="85059" y2="30549"/>
                      <a14:foregroundMark x1="80136" y1="5251" x2="80305" y2="6118"/>
                      <a14:foregroundMark x1="85059" y1="30549" x2="86418" y2="97852"/>
                      <a14:foregroundMark x1="61121" y1="5489" x2="61115" y2="7411"/>
                      <a14:foregroundMark x1="65476" y1="18611" x2="65959" y2="17184"/>
                      <a14:foregroundMark x1="65450" y1="24344" x2="65280" y2="32220"/>
                      <a14:foregroundMark x1="93209" y1="9785" x2="92699" y2="8592"/>
                      <a14:foregroundMark x1="60957" y1="22174" x2="60340" y2="37391"/>
                      <a14:backgroundMark x1="47963" y1="20525" x2="50255" y2="13365"/>
                      <a14:backgroundMark x1="47199" y1="16468" x2="45161" y2="21957"/>
                      <a14:backgroundMark x1="73090" y1="12411" x2="81834" y2="12172"/>
                      <a14:backgroundMark x1="81834" y1="12172" x2="83362" y2="25298"/>
                      <a14:backgroundMark x1="81070" y1="10501" x2="77080" y2="7399"/>
                      <a14:backgroundMark x1="64195" y1="32035" x2="64177" y2="32458"/>
                      <a14:backgroundMark x1="64771" y1="18377" x2="64526" y2="24186"/>
                      <a14:backgroundMark x1="62394" y1="7876" x2="61721" y2="22419"/>
                      <a14:backgroundMark x1="65620" y1="32220" x2="65874" y2="27208"/>
                      <a14:backgroundMark x1="62054" y1="40811" x2="62054" y2="408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6504" y="15229115"/>
          <a:ext cx="2570843" cy="80315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450461</xdr:colOff>
      <xdr:row>171</xdr:row>
      <xdr:rowOff>60631</xdr:rowOff>
    </xdr:from>
    <xdr:to>
      <xdr:col>8</xdr:col>
      <xdr:colOff>829235</xdr:colOff>
      <xdr:row>176</xdr:row>
      <xdr:rowOff>189972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B8A604-E637-4BA8-A640-AB16D251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51" b="97375" l="9762" r="93209">
                      <a14:foregroundMark x1="46631" y1="24969" x2="46774" y2="25776"/>
                      <a14:foregroundMark x1="44652" y1="13842" x2="44955" y2="15544"/>
                      <a14:foregroundMark x1="79716" y1="5661" x2="80136" y2="5251"/>
                      <a14:foregroundMark x1="71817" y1="13365" x2="73173" y2="12043"/>
                      <a14:foregroundMark x1="83938" y1="24786" x2="85059" y2="30549"/>
                      <a14:foregroundMark x1="80136" y1="5251" x2="80305" y2="6118"/>
                      <a14:foregroundMark x1="85059" y1="30549" x2="86418" y2="97852"/>
                      <a14:foregroundMark x1="61121" y1="5489" x2="61115" y2="7411"/>
                      <a14:foregroundMark x1="65476" y1="18611" x2="65959" y2="17184"/>
                      <a14:foregroundMark x1="65450" y1="24344" x2="65280" y2="32220"/>
                      <a14:foregroundMark x1="93209" y1="9785" x2="92699" y2="8592"/>
                      <a14:foregroundMark x1="60957" y1="22174" x2="60340" y2="37391"/>
                      <a14:backgroundMark x1="47963" y1="20525" x2="50255" y2="13365"/>
                      <a14:backgroundMark x1="47199" y1="16468" x2="45161" y2="21957"/>
                      <a14:backgroundMark x1="73090" y1="12411" x2="81834" y2="12172"/>
                      <a14:backgroundMark x1="81834" y1="12172" x2="83362" y2="25298"/>
                      <a14:backgroundMark x1="81070" y1="10501" x2="77080" y2="7399"/>
                      <a14:backgroundMark x1="64195" y1="32035" x2="64177" y2="32458"/>
                      <a14:backgroundMark x1="64771" y1="18377" x2="64526" y2="24186"/>
                      <a14:backgroundMark x1="62394" y1="7876" x2="61721" y2="22419"/>
                      <a14:backgroundMark x1="65620" y1="32220" x2="65874" y2="27208"/>
                      <a14:backgroundMark x1="62054" y1="40811" x2="62054" y2="408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8079" y="43741160"/>
          <a:ext cx="3303509" cy="113787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259292</xdr:colOff>
      <xdr:row>31</xdr:row>
      <xdr:rowOff>35984</xdr:rowOff>
    </xdr:from>
    <xdr:to>
      <xdr:col>8</xdr:col>
      <xdr:colOff>375459</xdr:colOff>
      <xdr:row>35</xdr:row>
      <xdr:rowOff>173899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C8188-48B7-4773-A743-0CE24375F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51" b="97375" l="9762" r="93209">
                      <a14:foregroundMark x1="46631" y1="24969" x2="46774" y2="25776"/>
                      <a14:foregroundMark x1="44652" y1="13842" x2="44955" y2="15544"/>
                      <a14:foregroundMark x1="79716" y1="5661" x2="80136" y2="5251"/>
                      <a14:foregroundMark x1="71817" y1="13365" x2="73173" y2="12043"/>
                      <a14:foregroundMark x1="83938" y1="24786" x2="85059" y2="30549"/>
                      <a14:foregroundMark x1="80136" y1="5251" x2="80305" y2="6118"/>
                      <a14:foregroundMark x1="85059" y1="30549" x2="86418" y2="97852"/>
                      <a14:foregroundMark x1="61121" y1="5489" x2="61115" y2="7411"/>
                      <a14:foregroundMark x1="65476" y1="18611" x2="65959" y2="17184"/>
                      <a14:foregroundMark x1="65450" y1="24344" x2="65280" y2="32220"/>
                      <a14:foregroundMark x1="93209" y1="9785" x2="92699" y2="8592"/>
                      <a14:foregroundMark x1="60957" y1="22174" x2="60340" y2="37391"/>
                      <a14:backgroundMark x1="47963" y1="20525" x2="50255" y2="13365"/>
                      <a14:backgroundMark x1="47199" y1="16468" x2="45161" y2="21957"/>
                      <a14:backgroundMark x1="73090" y1="12411" x2="81834" y2="12172"/>
                      <a14:backgroundMark x1="81834" y1="12172" x2="83362" y2="25298"/>
                      <a14:backgroundMark x1="81070" y1="10501" x2="77080" y2="7399"/>
                      <a14:backgroundMark x1="64195" y1="32035" x2="64177" y2="32458"/>
                      <a14:backgroundMark x1="64771" y1="18377" x2="64526" y2="24186"/>
                      <a14:backgroundMark x1="62394" y1="7876" x2="61721" y2="22419"/>
                      <a14:backgroundMark x1="65620" y1="32220" x2="65874" y2="27208"/>
                      <a14:backgroundMark x1="62054" y1="40811" x2="62054" y2="408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5292" y="6068484"/>
          <a:ext cx="2569633" cy="82583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806902</xdr:colOff>
      <xdr:row>30</xdr:row>
      <xdr:rowOff>143330</xdr:rowOff>
    </xdr:from>
    <xdr:to>
      <xdr:col>7</xdr:col>
      <xdr:colOff>488495</xdr:colOff>
      <xdr:row>35</xdr:row>
      <xdr:rowOff>134589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A92BE1-065B-4640-ABC8-B23E0533C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51" b="97375" l="9762" r="93209">
                      <a14:foregroundMark x1="46631" y1="24969" x2="46774" y2="25776"/>
                      <a14:foregroundMark x1="44652" y1="13842" x2="44955" y2="15544"/>
                      <a14:foregroundMark x1="79716" y1="5661" x2="80136" y2="5251"/>
                      <a14:foregroundMark x1="71817" y1="13365" x2="73173" y2="12043"/>
                      <a14:foregroundMark x1="83938" y1="24786" x2="85059" y2="30549"/>
                      <a14:foregroundMark x1="80136" y1="5251" x2="80305" y2="6118"/>
                      <a14:foregroundMark x1="85059" y1="30549" x2="86418" y2="97852"/>
                      <a14:foregroundMark x1="61121" y1="5489" x2="61115" y2="7411"/>
                      <a14:foregroundMark x1="65476" y1="18611" x2="65959" y2="17184"/>
                      <a14:foregroundMark x1="65450" y1="24344" x2="65280" y2="32220"/>
                      <a14:foregroundMark x1="93209" y1="9785" x2="92699" y2="8592"/>
                      <a14:foregroundMark x1="60957" y1="22174" x2="60340" y2="37391"/>
                      <a14:backgroundMark x1="47963" y1="20525" x2="50255" y2="13365"/>
                      <a14:backgroundMark x1="47199" y1="16468" x2="45161" y2="21957"/>
                      <a14:backgroundMark x1="73090" y1="12411" x2="81834" y2="12172"/>
                      <a14:backgroundMark x1="81834" y1="12172" x2="83362" y2="25298"/>
                      <a14:backgroundMark x1="81070" y1="10501" x2="77080" y2="7399"/>
                      <a14:backgroundMark x1="64195" y1="32035" x2="64177" y2="32458"/>
                      <a14:backgroundMark x1="64771" y1="18377" x2="64526" y2="24186"/>
                      <a14:backgroundMark x1="62394" y1="7876" x2="61721" y2="22419"/>
                      <a14:backgroundMark x1="65620" y1="32220" x2="65874" y2="27208"/>
                      <a14:backgroundMark x1="62054" y1="40811" x2="62054" y2="408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1402" y="6375401"/>
          <a:ext cx="2443843" cy="8485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vaga-dni-pc3\c\windows\TEMP\UAI-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0.79.99\@Kantor\My%20Document%20Rusdi\SUBSIDI%20LISTRIK\SUBSIDI%202007\ESTIMASI%20SUBSIDI%202007%20DEPKEU%2017%20MEI%2006-O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s\PLN\PLN%20Budget\PLN%20budget%20forms\Lk200312-02-03-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0.154.21\Damayanti%20File%20Bekup\PLN%20-%20Data%20File\SKI%20AT\DATA%20SKI%20AT\perhitungan%20dan%20data\PIKITRING%20&amp;%20UP%20FAST%20TRACK\Data%20RKAP2009\unzipped\RKAP%20Laba_Rugi%201\LKTW101\LAPORAN\CashFlow012001Anggar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0.154.21\Damayanti%20File%20Bekup\PLN%20-%20Data%20File\SKI%20AT\DATA%20SKI%20AT\perhitungan%20dan%20data\PIKITRING%20&amp;%20UP%20FAST%20TRACK\unzipped\RKAP%20Laba_Rugi%201\LKTW101\LAPORAN\CashFlow012001Anggar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0.154.21\04.%20SEKSI%20BELANJA%20PRIORITAS%20DAN%20KONSOLIDASI%20BPP\Kerjaan%2003\BPP\MTEF\2014-2015\Documents%20and%20Settings\naturi\Local%20Settings\Temporary%20Internet%20Files\OLK5D\IPP%20(version%20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0.154.21\LK%202009-TW%20IV\AUDIT%202009\KK-MRA\Long-term%20investment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0.154.21\LK%202010-TW%20III\KK-MRA\TAXES\6431%20Deferred%20tax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1"/>
      <sheetName val="REKAP2"/>
      <sheetName val="TRANS-A"/>
      <sheetName val="TRNS-C1"/>
      <sheetName val="TRANS-C2"/>
      <sheetName val="TRANS-C3"/>
      <sheetName val="TRANS-C4"/>
      <sheetName val="TEL"/>
      <sheetName val="FAS"/>
      <sheetName val="FORM-B ( Uai Per BL ) (1)"/>
      <sheetName val="FORM-B ( Uai Per BL ) (2)"/>
      <sheetName val="M"/>
      <sheetName val="C"/>
      <sheetName val="Losses (2)"/>
      <sheetName val="REKAP-MEI"/>
      <sheetName val="⼅킴`଀　ମ_x0000_ᰳ蠀ᰫ관킱쁠壢耄䢿਀_x0002_＀_xffff_ヿ଱ꠀᰳ耀ଘ਀_x0002_"/>
      <sheetName val="HARGA SATUAN"/>
      <sheetName val="TRNS_C1"/>
      <sheetName val="⼅킴`଀　ମ?ᰳ蠀ᰫ관킱쁠壢耄䢿਀_x0002_＀_xffff_ヿ଱ꠀᰳ耀ଘ਀_x0002_"/>
      <sheetName val="FORM-B_(_Uai_Per_BL_)_(1)"/>
      <sheetName val="FORM-B_(_Uai_Per_BL_)_(2)"/>
      <sheetName val="⼅킴`଀　ମ"/>
      <sheetName val="⼅킴`଀　ମ_ᰳ蠀ᰫ관킱쁠壢耄䢿਀_x0002_＀_xffff_ヿ଱ꠀᰳ耀ଘ਀_x0002_"/>
      <sheetName val="DATA-BASE SUTT"/>
      <sheetName val="石炭性状"/>
      <sheetName val="RPP 12 SEPT"/>
      <sheetName val="ca"/>
      <sheetName val="Testing"/>
      <sheetName val="12CGOU"/>
      <sheetName val="ME-KDS"/>
      <sheetName val="ME-BANTL"/>
      <sheetName val="ME-BTNG"/>
      <sheetName val="Parameter"/>
      <sheetName val="TRANS"/>
      <sheetName val="Inv_NAD"/>
      <sheetName val="Inv_RIAU"/>
      <sheetName val="PERHITUNGAN"/>
      <sheetName val="Sheet3"/>
      <sheetName val="M-PEG"/>
      <sheetName val="Analisa"/>
      <sheetName val="basic-price"/>
      <sheetName val="⼅킴`଀　ମ_x005f_x0000_ᰳ蠀ᰫ관킱쁠壢耄䢿਀_x005f_x0002_＀"/>
      <sheetName val="⼅킴`଀　ମ?ᰳ蠀ᰫ관킱쁠壢耄䢿਀_x005f_x0002_＀_xffff"/>
      <sheetName val="⼅킴`଀　ମ_ᰳ蠀ᰫ관킱쁠壢耄䢿਀_x005f_x0002_＀_xffff"/>
      <sheetName val="UshDeb00"/>
      <sheetName val="W-NAD"/>
      <sheetName val="Sudah Berjalan"/>
      <sheetName val="Wil-2"/>
      <sheetName val="2008"/>
      <sheetName val="tabel-JHT"/>
      <sheetName val="01 A"/>
      <sheetName val="Rekap Kinerja"/>
      <sheetName val="KMS-DIS5"/>
      <sheetName val="Inv_SUMUT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Asumsi"/>
      <sheetName val="LabaRugi"/>
      <sheetName val="LOGRESUME"/>
      <sheetName val="Target Produksi"/>
      <sheetName val="REKAP PROD"/>
      <sheetName val="KINERJA"/>
      <sheetName val="R-SM-KIN"/>
      <sheetName val="Submission Form"/>
      <sheetName val="FLI - Sec.1"/>
      <sheetName val="Menu"/>
      <sheetName val="Reference"/>
      <sheetName val="matr aux"/>
      <sheetName val="matr engine"/>
      <sheetName val="⼅킴`଀　ମ_x0000_ᰳ蠀ᰫ관킱쁠壢耄䢿਀_x0002_＀"/>
      <sheetName val="⼅킴`଀　ମ_ᰳ蠀ᰫ관킱쁠壢耄䢿਀_x0002_＀_xffff"/>
      <sheetName val="Location"/>
      <sheetName val="UAI-2000"/>
      <sheetName val="Produksi"/>
      <sheetName val="⼅킴`଀　ମ_x005f_x005f_x005f_x0000_ᰳ蠀ᰫ관킱쁠壢耄䢿਀_x"/>
      <sheetName val="⼅킴`଀　ମ_ᰳ蠀ᰫ관킱쁠壢耄䢿਀_x005f_x005f_x005f_x0002_＀"/>
      <sheetName val="⼅킴`଀　ମ?ᰳ蠀ᰫ관킱쁠壢耄䢿਀_x005f_x005f_x005f_x0002_＀"/>
      <sheetName val="Resume"/>
      <sheetName val="SUTT"/>
      <sheetName val="DivVII"/>
      <sheetName val="Bipeg-U(12D2)"/>
      <sheetName val="NRCPTK01"/>
      <sheetName val="Sheet6"/>
      <sheetName val="⼅킴`଀　ମ_x005f_x005f_x005f_x005f_x005f_x005f_x005f_x0000_"/>
      <sheetName val="⼅킴`଀　ମ_ᰳ蠀ᰫ관킱쁠壢耄䢿਀_x005f_x005f_x005f_x005f_x"/>
      <sheetName val="⼅킴`଀　ମ_x005f_x0000_ᰳ蠀ᰫ관킱쁠壢耄䢿਀_x"/>
      <sheetName val="⼅킴`଀　ମ_ᰳ蠀ᰫ관킱쁠壢耄䢿਀_x005f_x0002_＀"/>
      <sheetName val="⼅킴`଀　ମ?ᰳ蠀ᰫ관킱쁠壢耄䢿਀_x005f_x005f_x005f_x005f_x"/>
      <sheetName val="⼅킴`଀　ମ_x005f_x005f_x005f_x005f_x005f_x005f_x005f_x005f_"/>
      <sheetName val="LAMPIRAN"/>
      <sheetName val="13.REFERENSI"/>
      <sheetName val="SOURCE"/>
      <sheetName val="B"/>
      <sheetName val="A"/>
      <sheetName val="MASTER"/>
      <sheetName val="LR"/>
      <sheetName val="Laba Rugi"/>
      <sheetName val="AO 2017"/>
      <sheetName val="⼅킴`଀　ମ_x005f_x005f_x005f_x0000_"/>
      <sheetName val="⼅킴`଀　ମ_ᰳ蠀ᰫ관킱쁠壢耄䢿਀_x005f_x005f_x"/>
      <sheetName val=""/>
      <sheetName val="app madiun"/>
      <sheetName val="app bali"/>
      <sheetName val="L20Keu"/>
      <sheetName val="Kamus"/>
      <sheetName val="GABLUARJAWA1 (2)"/>
      <sheetName val="rekap"/>
      <sheetName val="⼅킴`଀　ମ_x005f_x005f_x005f_x005f_"/>
      <sheetName val="⼅킴`଀　ମ_x0000_ᰳ蠀ᰫ관킱쁠壢耄䢿਀_x"/>
      <sheetName val="⼅킴`଀　ମ_ᰳ蠀ᰫ관킱쁠壢耄䢿਀_x0002_＀"/>
      <sheetName val="⼅킴`଀　ମ_x005f_x0000_"/>
      <sheetName val="⼅킴`଀　ମ_x005f_x005f_"/>
      <sheetName val="⼅킴`଀　ମ_ᰳ蠀ᰫ관킱쁠壢耄䢿਀_x"/>
      <sheetName val="Sheet2"/>
      <sheetName val="PRK-PAKET"/>
      <sheetName val="Pilihan"/>
      <sheetName val="REGION"/>
      <sheetName val="OFFGRID"/>
      <sheetName val="Hps"/>
      <sheetName val="PRK"/>
      <sheetName val="Rekapitulasi"/>
      <sheetName val="LK 2006"/>
      <sheetName val="Uraian"/>
      <sheetName val="A.Alat"/>
      <sheetName val="REKAP Prbndingn"/>
      <sheetName val="INLAND FACTOR DISTANCE"/>
      <sheetName val="PkRp"/>
      <sheetName val="Twr (15)"/>
      <sheetName val="DES2003"/>
      <sheetName val="L_23"/>
      <sheetName val="hal 14b"/>
      <sheetName val="ACUAN"/>
      <sheetName val="Peralatan"/>
      <sheetName val="Master Edit"/>
      <sheetName val="Basic Price"/>
      <sheetName val="NP-7"/>
      <sheetName val="HSLAIN-LAIN"/>
      <sheetName val="Form-B-R1"/>
      <sheetName val="Preisbildungsblatt"/>
      <sheetName val="CiMaPlbStd"/>
      <sheetName val="rkap2008"/>
      <sheetName val="List"/>
      <sheetName val="Kuantitas &amp; Harga"/>
      <sheetName val="Des"/>
      <sheetName val="Beltra  (7)"/>
      <sheetName val="Catatan"/>
      <sheetName val="sept"/>
      <sheetName val="REFERENSI"/>
      <sheetName val="THN-6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Assumptions"/>
      <sheetName val="Construction Period Costs"/>
      <sheetName val="Plant Characteristics"/>
      <sheetName val="Jakban"/>
      <sheetName val="HPE"/>
      <sheetName val="Database"/>
      <sheetName val="MS scc"/>
      <sheetName val="SEX"/>
      <sheetName val="RAB"/>
      <sheetName val="struktur tdk dipakai"/>
      <sheetName val="JSiar"/>
      <sheetName val="Instalasi"/>
      <sheetName val="LOADDAT"/>
      <sheetName val="PNT-QUOT-#3"/>
      <sheetName val="COAT&amp;WRAP-QIOT-#3"/>
      <sheetName val="⼅킴`଀　ମ_x0000_"/>
      <sheetName val="⼅킴`଀　ମ_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⼅킴`଀　ମ?ᰳ蠀ᰫ관킱쁠壢耄䢿਀_x0002_＀"/>
      <sheetName val="⼅킴`଀　ମ?ᰳ蠀ᰫ관킱쁠壢耄䢿਀_x"/>
      <sheetName val="AN-MAJOR"/>
      <sheetName val="CashFlow"/>
      <sheetName val="Analisa (Okey)"/>
      <sheetName val="Sch-5"/>
      <sheetName val="CALC"/>
      <sheetName val="Cover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XREF"/>
      <sheetName val="61005"/>
      <sheetName val="61007"/>
      <sheetName val="MAP"/>
      <sheetName val="H.Dasar"/>
      <sheetName val="GAB"/>
      <sheetName val="TABEL"/>
      <sheetName val="Assumptions (2)"/>
      <sheetName val="FORM 12-RB"/>
      <sheetName val="Auditor"/>
      <sheetName val="Isian PKA"/>
      <sheetName val="DivVI"/>
      <sheetName val="bahan"/>
      <sheetName val="Mobilisasi div-1"/>
      <sheetName val="Sheet1"/>
      <sheetName val="⼅킴`଀　ମ?ᰳ蠀ᰫ관킱쁠壢耄䢿਀_x005f_x0002_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C"/>
      <sheetName val="I"/>
      <sheetName val="LR"/>
      <sheetName val="RL-BPP"/>
      <sheetName val="Asumsi "/>
      <sheetName val="BPP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L"/>
      <sheetName val="M"/>
      <sheetName val="By Non BPP-06"/>
      <sheetName val="LRAnak"/>
      <sheetName val="KWHJUAL"/>
      <sheetName val="Indk"/>
      <sheetName val="Debcap"/>
      <sheetName val="asumsi-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Asumsi"/>
      <sheetName val="NERACA DAYA"/>
      <sheetName val="M"/>
      <sheetName val="C"/>
      <sheetName val="TRNS-C1"/>
      <sheetName val="DJBB PNYL"/>
      <sheetName val="Chart gang BOGOR"/>
      <sheetName val="MESIN_KIT"/>
      <sheetName val="B.P-C.P 2006"/>
      <sheetName val="Kode"/>
      <sheetName val="DJBB_PNYL"/>
      <sheetName val="Chart_gang_BOGOR"/>
      <sheetName val="NERACA_DAYA"/>
      <sheetName val="B_P-C_P_2006"/>
      <sheetName val="Data"/>
      <sheetName val="Resource_Plan_(2)"/>
      <sheetName val="Kontrol"/>
      <sheetName val="Cover"/>
      <sheetName val="LabaRugi"/>
      <sheetName val="GABLUARJAWA1_(2)"/>
      <sheetName val="Kamus"/>
      <sheetName val="HARGA SATUAN"/>
      <sheetName val="R-SM-KIN"/>
      <sheetName val="List"/>
      <sheetName val="FORM REN RUTIN KIT"/>
      <sheetName val="REKAP"/>
      <sheetName val="Layout-UNIT1"/>
      <sheetName val="Location"/>
      <sheetName val="Submission Form"/>
      <sheetName val="Produksi"/>
      <sheetName val="BRUT0-1"/>
      <sheetName val="Lk200312-02-03-04"/>
      <sheetName val="Prod.Harian"/>
      <sheetName val="Usia"/>
      <sheetName val="ca"/>
      <sheetName val="PERIODIK"/>
      <sheetName val="pddk"/>
      <sheetName val="UshDeb00"/>
      <sheetName val="W-NAD"/>
      <sheetName val="M-PEG"/>
      <sheetName val="Sudah Berjalan"/>
      <sheetName val="Wil-2"/>
      <sheetName val="tabel JHT"/>
      <sheetName val="NRCPTK01"/>
      <sheetName val="L-rok"/>
      <sheetName val="sk17-76-78"/>
      <sheetName val="Listrik Mati 05"/>
      <sheetName val="Listrik Mati 06"/>
      <sheetName val="Tabel Kode"/>
      <sheetName val="Code"/>
      <sheetName val="THN-7"/>
      <sheetName val="Da AN BRAT TWR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L-PENGUS-24.00"/>
      <sheetName val="KINERJA"/>
      <sheetName val="Eval.bln.Okt'15"/>
      <sheetName val="ROH PBS"/>
      <sheetName val="PBS"/>
      <sheetName val="ROH JAM 07-14"/>
      <sheetName val="JLK"/>
      <sheetName val="ROH JAM 15-21"/>
      <sheetName val="ROH JAM 00-06"/>
      <sheetName val="TIMO"/>
      <sheetName val="GRG"/>
      <sheetName val="KTG"/>
      <sheetName val="WDL"/>
      <sheetName val="PJKL"/>
      <sheetName val="KDO"/>
      <sheetName val="KLB"/>
      <sheetName val="SMPR"/>
      <sheetName val="SDRJ"/>
      <sheetName val="WNG"/>
      <sheetName val="Input T&amp;R Prod"/>
      <sheetName val="Instalasi"/>
      <sheetName val="ACUAN"/>
      <sheetName val="GABLUARJAWA1 (2)"/>
      <sheetName val="THN-6"/>
      <sheetName val="Form-B-R1"/>
      <sheetName val="Twr (15)"/>
      <sheetName val="WAN"/>
      <sheetName val="INLAND FACTOR DISTANCE"/>
      <sheetName val="tabel-JHT"/>
      <sheetName val="Uraian"/>
      <sheetName val="Catatan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L_23"/>
      <sheetName val="ANALISA"/>
      <sheetName val="AN-MAJOR"/>
      <sheetName val="DivVI"/>
      <sheetName val="bahan"/>
      <sheetName val="Pareto_SKR#2"/>
      <sheetName val="Pareto_SKR#3"/>
      <sheetName val="Kuantitas &amp; Harga"/>
      <sheetName val="D-2"/>
      <sheetName val="Sheet3"/>
      <sheetName val="Sheet6"/>
      <sheetName val="Jenis Pelatihan"/>
      <sheetName val="prod03"/>
      <sheetName val="Sheet5"/>
      <sheetName val="scada 2001"/>
      <sheetName val="A"/>
      <sheetName val="WORKPLAN GROWS R KARANGNUNGGAL"/>
      <sheetName val="KUMULATIP"/>
      <sheetName val="F-1"/>
      <sheetName val="MENU"/>
      <sheetName val="PARAMETER"/>
      <sheetName val="analis"/>
      <sheetName val="DGGKIT+ Derating"/>
      <sheetName val="KMS-DIS5"/>
      <sheetName val="TRANS"/>
      <sheetName val="PTG"/>
      <sheetName val="Daftar"/>
      <sheetName val="MST"/>
      <sheetName val="B"/>
      <sheetName val="FLI - Sec.1"/>
      <sheetName val="Transfer"/>
      <sheetName val="SewaBeli"/>
      <sheetName val="Sheet1"/>
      <sheetName val="REK-PEG"/>
      <sheetName val="CMK"/>
      <sheetName val="JTM"/>
      <sheetName val="TUL III-09"/>
      <sheetName val="REFERENSI"/>
      <sheetName val="Sch-5"/>
      <sheetName val="Harga BBM Indonesia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Electrical "/>
      <sheetName val="SCADA ENG"/>
      <sheetName val="Supervisory Control System"/>
      <sheetName val="NERACA_DAYA1"/>
      <sheetName val="DJBB_PNYL1"/>
      <sheetName val="Chart_gang_BOGOR1"/>
      <sheetName val="B_P-C_P_20061"/>
      <sheetName val="HARGA_SATUAN"/>
      <sheetName val="FORM_REN_RUTIN_KIT"/>
      <sheetName val="Submission_Form"/>
      <sheetName val="Prod_Harian"/>
      <sheetName val="Sudah_Berjalan"/>
      <sheetName val="tabel_JHT"/>
      <sheetName val="Listrik_Mati_05"/>
      <sheetName val="Listrik_Mati_06"/>
      <sheetName val="Tabel_Kode"/>
      <sheetName val="L-PENGUS-24_00"/>
      <sheetName val="Eval_bln_Okt'15"/>
      <sheetName val="ROH_PBS"/>
      <sheetName val="ROH_JAM_07-14"/>
      <sheetName val="ROH_JAM_15-21"/>
      <sheetName val="ROH_JAM_00-06"/>
      <sheetName val="Input_T&amp;R_Prod"/>
      <sheetName val="Da_AN_BRAT_TWR"/>
      <sheetName val="Twr_(15)"/>
      <sheetName val="GABLUARJAWA1_(2)1"/>
      <sheetName val="INLAND_FACTOR_DISTANCE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Kuantitas_&amp;_Harga"/>
      <sheetName val="scada_2001"/>
      <sheetName val="Jenis_Pelatihan"/>
      <sheetName val="FailureMode_PLTU"/>
      <sheetName val="FailureMode_PLTG"/>
      <sheetName val="Resume"/>
      <sheetName val="Summary"/>
      <sheetName val="RAB"/>
      <sheetName val="rekmodiPtk (MAP)"/>
      <sheetName val="FUNGSI"/>
      <sheetName val="W1"/>
      <sheetName val="DATA-BASE SUTT"/>
      <sheetName val="analhps Pasng"/>
      <sheetName val="REF"/>
      <sheetName val="TAHAP 5"/>
      <sheetName val="graf2"/>
      <sheetName val="Pareto_SKR#4"/>
      <sheetName val="DivVII"/>
      <sheetName val="2008"/>
      <sheetName val="RATE TENAGA KERJA"/>
      <sheetName val="FDR"/>
      <sheetName val="beban"/>
      <sheetName val="FORM-B"/>
      <sheetName val="SAA"/>
      <sheetName val="A1 pri123"/>
      <sheetName val="A1 PRY"/>
      <sheetName val="ACUANBARU"/>
      <sheetName val="Div2"/>
      <sheetName val="Div3"/>
      <sheetName val="Daftar Harga"/>
      <sheetName val="Kuantitas"/>
      <sheetName val="Beltra  (7)"/>
      <sheetName val="Peralatan"/>
      <sheetName val="Basic Price"/>
      <sheetName val="NP-7"/>
      <sheetName val="HSLAIN-LAIN"/>
      <sheetName val="Master Edit"/>
      <sheetName val="AC"/>
      <sheetName val="DAFGED"/>
      <sheetName val="Prog Desc"/>
      <sheetName val="Grafik Wil"/>
      <sheetName val="Bipeg-U(12D2)"/>
      <sheetName val="Peralatan (2)"/>
      <sheetName val="se006t"/>
      <sheetName val="4.2-BPP"/>
      <sheetName val="4.3-HargaJual"/>
      <sheetName val="Assumptions (2)"/>
      <sheetName val="CashFlow"/>
      <sheetName val="PANDUAN"/>
      <sheetName val="HIDE"/>
      <sheetName val="HPE"/>
      <sheetName val="gvl"/>
      <sheetName val="HARDIBLD"/>
      <sheetName val="bayar_per_02082018"/>
      <sheetName val="bbtest2"/>
      <sheetName val="Perm. Test"/>
      <sheetName val="master rab"/>
      <sheetName val="TRIP TRAFO APR"/>
      <sheetName val="METER"/>
      <sheetName val="HAR APR"/>
      <sheetName val="GRAFIK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2"/>
      <sheetName val="1"/>
      <sheetName val="Calc Inst"/>
      <sheetName val="AHS-JTR"/>
      <sheetName val="UPAH DAN BAHAN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ect-1a"/>
      <sheetName val="Cover_sheet"/>
      <sheetName val="matr aux"/>
      <sheetName val="matr engine"/>
      <sheetName val="jasa rehab"/>
      <sheetName val="jasa pondasi"/>
      <sheetName val="jasa rekon material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Balance Sheet"/>
      <sheetName val="Income Statement"/>
      <sheetName val="db"/>
      <sheetName val="MC_Qty"/>
      <sheetName val="FORM BQ TL PRATU 4cct"/>
      <sheetName val="RAB GI"/>
      <sheetName val="GAB"/>
      <sheetName val="SATPAM"/>
      <sheetName val="sept"/>
      <sheetName val="CiMaPlbStd"/>
      <sheetName val="Beli"/>
      <sheetName val="Sewa"/>
      <sheetName val="BBkr"/>
      <sheetName val="NerSubsis"/>
      <sheetName val="Jual"/>
      <sheetName val="Prod2"/>
      <sheetName val="RKAP"/>
      <sheetName val="kCal"/>
      <sheetName val="Vendor UJH"/>
      <sheetName val="02"/>
      <sheetName val="06"/>
      <sheetName val="66"/>
      <sheetName val="PUNCAK-89"/>
      <sheetName val="DGGKIT+_Derating"/>
      <sheetName val="WORKPLAN_GROWS_R_KARANGNUNGGAL"/>
      <sheetName val="FLI_-_Sec_1"/>
      <sheetName val="TUL_III-09"/>
      <sheetName val="RAP"/>
      <sheetName val="H MAT"/>
      <sheetName val="Analisa 600"/>
      <sheetName val="Pk"/>
      <sheetName val="Sheet2"/>
      <sheetName val="JAN"/>
      <sheetName val="BOQ"/>
      <sheetName val="4-Basic Price"/>
      <sheetName val="5-ALAT(1)"/>
      <sheetName val="Mobilisasi"/>
      <sheetName val="vendor"/>
      <sheetName val="total"/>
      <sheetName val="form KD"/>
      <sheetName val="VM OKT"/>
      <sheetName val="SPK GABUNG"/>
      <sheetName val="SPB"/>
      <sheetName val="SPJ"/>
      <sheetName val="JASA AI"/>
      <sheetName val="JASA AO"/>
      <sheetName val="BARANG AI"/>
      <sheetName val="BARANG AO"/>
      <sheetName val="NPWP"/>
      <sheetName val="Sheet4"/>
      <sheetName val="SPB BELUM KEMBALI"/>
      <sheetName val="SISA KUOTA KHS JASA"/>
      <sheetName val="Sheet7"/>
      <sheetName val="Cover1"/>
      <sheetName val="mu"/>
      <sheetName val="DAF-1"/>
      <sheetName val="Pt"/>
      <sheetName val="F1771-2"/>
      <sheetName val="LAIN2"/>
      <sheetName val="Keterangan"/>
      <sheetName val="LABA RUGI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hal 14b"/>
      <sheetName val="REKAP KINERJA"/>
      <sheetName val="summary-1"/>
      <sheetName val="Dasar Pemadaman"/>
      <sheetName val="COP"/>
      <sheetName val="ATTB-AKTV"/>
      <sheetName val="Ref Additional Payment"/>
      <sheetName val="PENYEBAB"/>
      <sheetName val="E7"/>
      <sheetName val="L-R"/>
      <sheetName val="K_TAM_SPK032"/>
      <sheetName val="12.REFERENSI"/>
      <sheetName val="A u g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 u l"/>
      <sheetName val="FJ per BLN"/>
      <sheetName val="DC REAL PER TW"/>
      <sheetName val="laporan pemakaian blangko"/>
      <sheetName val="terbilang"/>
      <sheetName val="H.BAHAN"/>
      <sheetName val="Assumptions"/>
      <sheetName val="Construction Period Costs"/>
      <sheetName val="Plant Characteristics"/>
      <sheetName val="HPP"/>
      <sheetName val="uts"/>
      <sheetName val="Preventif"/>
      <sheetName val="SCH2"/>
      <sheetName val="kumpulan"/>
      <sheetName val="Basic"/>
      <sheetName val="Alat"/>
      <sheetName val="STRUKTUR"/>
      <sheetName val="DATA ACUAN"/>
      <sheetName val="10"/>
      <sheetName val="GGN_PENY_FEB2009 &gt; 5"/>
      <sheetName val="NERACA_DAYA2"/>
      <sheetName val="DJBB_PNYL2"/>
      <sheetName val="Chart_gang_BOGOR2"/>
      <sheetName val="B_P-C_P_20062"/>
      <sheetName val="HARGA_SATUAN1"/>
      <sheetName val="FORM_REN_RUTIN_KIT1"/>
      <sheetName val="Submission_Form1"/>
      <sheetName val="Prod_Harian1"/>
      <sheetName val="Sudah_Berjalan1"/>
      <sheetName val="tabel_JHT1"/>
      <sheetName val="Listrik_Mati_051"/>
      <sheetName val="Listrik_Mati_061"/>
      <sheetName val="Tabel_Kode1"/>
      <sheetName val="Da_AN_BRAT_TWR1"/>
      <sheetName val="L-PENGUS-24_001"/>
      <sheetName val="Eval_bln_Okt'151"/>
      <sheetName val="ROH_PBS1"/>
      <sheetName val="ROH_JAM_07-141"/>
      <sheetName val="ROH_JAM_15-211"/>
      <sheetName val="ROH_JAM_00-061"/>
      <sheetName val="Input_T&amp;R_Prod1"/>
      <sheetName val="Twr_(15)1"/>
      <sheetName val="GABLUARJAWA1_(2)2"/>
      <sheetName val="WORKPLAN_GROWS_R_KARANGNUNGGAL1"/>
      <sheetName val="INLAND_FACTOR_DISTANCE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Kuantitas_&amp;_Harga1"/>
      <sheetName val="scada_20011"/>
      <sheetName val="Jenis_Pelatihan1"/>
      <sheetName val="DGGKIT+_Derating1"/>
      <sheetName val="FLI_-_Sec_11"/>
      <sheetName val="Harga_BBM_Indonesia"/>
      <sheetName val="Inv_KITLUR_SUMBAGUT"/>
      <sheetName val="Inv_KITLUR_SUMBAGSEL"/>
      <sheetName val="Electrical_"/>
      <sheetName val="SCADA_ENG"/>
      <sheetName val="Supervisory_Control_System"/>
      <sheetName val="BIODATA"/>
      <sheetName val="KARYAWAN"/>
      <sheetName val="database"/>
      <sheetName val="master"/>
      <sheetName val="masteradm"/>
      <sheetName val="master_fln"/>
      <sheetName val="master_opt"/>
      <sheetName val="master_pgd"/>
      <sheetName val="master_pmd"/>
      <sheetName val="master_pmd_new"/>
      <sheetName val="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APP CAWANG"/>
      <sheetName val="Agregat Halus &amp; Kasar"/>
      <sheetName val="TITIK KOORDINAT 1"/>
      <sheetName val="TRAFO 2"/>
      <sheetName val="FJ KSKT"/>
      <sheetName val="FJ KSKT EMIN"/>
      <sheetName val="FJ per BLN EMIN"/>
      <sheetName val="ASSET SE-060"/>
      <sheetName val="DATA LF"/>
      <sheetName val="KWH E MIN"/>
      <sheetName val="HITUNG LF TR,TRFO,SR"/>
      <sheetName val="KONDUKTOR"/>
      <sheetName val="GARDU"/>
      <sheetName val="TRAFO"/>
      <sheetName val="FAS"/>
      <sheetName val="BA_Rapen"/>
      <sheetName val="GI"/>
      <sheetName val="LOAD2010"/>
      <sheetName val="JAN09"/>
      <sheetName val="BHN"/>
      <sheetName val="DFTR GARDIST"/>
      <sheetName val="Jenis Pemeliharaan"/>
      <sheetName val="Kode User"/>
      <sheetName val="RekapLEP"/>
      <sheetName val="Project Data"/>
      <sheetName val="Confidential PAS HMI"/>
      <sheetName val="P-SA"/>
      <sheetName val="CH"/>
      <sheetName val="HARGA"/>
      <sheetName val="SATUAN"/>
      <sheetName val="PRK"/>
      <sheetName val="LOGRESUME"/>
      <sheetName val="List of Inventory"/>
      <sheetName val="61005"/>
      <sheetName val="61007"/>
      <sheetName val="MAP"/>
      <sheetName val="H.Dasar"/>
      <sheetName val="Currency Rate"/>
      <sheetName val="SEX"/>
      <sheetName val="ATRIBUT"/>
      <sheetName val="APBN"/>
      <sheetName val="JARAK TEMPUH PERGESERAN TRAFO"/>
      <sheetName val="Lembar1"/>
      <sheetName val="Lembar2"/>
      <sheetName val="JARAK PEMBONGKARAN &amp; RELOKASI N"/>
      <sheetName val="DAFTAR PEKERJAAN PONDASI &amp; PEMA"/>
      <sheetName val="DAFTAR PENGADAAN PEMASANGAN NCT"/>
      <sheetName val="Section 2 MastlisteRev02"/>
      <sheetName val="TAP"/>
      <sheetName val="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hDeb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hDeb00"/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3001"/>
      <sheetName val="GABUNGA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dah Berjalan"/>
      <sheetName val="Rencana Penambahan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"/>
      <sheetName val="Geo Dipa"/>
      <sheetName val="Unelec"/>
      <sheetName val="Banko Tengah"/>
      <sheetName val="Jurnal Koreksi "/>
      <sheetName val="Tickmarks"/>
      <sheetName val="Jurnal Koreksi 2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jak kini"/>
      <sheetName val="Deferred TAX"/>
      <sheetName val="Unrecognized DT"/>
      <sheetName val="DPP &amp; proyeksi"/>
      <sheetName val="Pajak penghasilan"/>
      <sheetName val="Perbedaan Temporer"/>
      <sheetName val="AT"/>
      <sheetName val="BP"/>
      <sheetName val="Allowance"/>
      <sheetName val="REFF WP"/>
      <sheetName val="Lampiran 19"/>
      <sheetName val="Lampiran 1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25"/>
  <sheetViews>
    <sheetView zoomScaleNormal="100" workbookViewId="0">
      <pane xSplit="2" ySplit="4" topLeftCell="C389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defaultColWidth="9.140625" defaultRowHeight="15" x14ac:dyDescent="0.25"/>
  <cols>
    <col min="1" max="1" width="13" style="36" customWidth="1"/>
    <col min="2" max="2" width="58.5703125" style="36" customWidth="1"/>
    <col min="3" max="4" width="9.85546875" style="114" customWidth="1"/>
    <col min="5" max="5" width="14.85546875" style="36" customWidth="1"/>
    <col min="6" max="6" width="17.85546875" style="36" customWidth="1"/>
    <col min="7" max="16384" width="9.140625" style="36"/>
  </cols>
  <sheetData>
    <row r="1" spans="1:6" x14ac:dyDescent="0.25">
      <c r="C1" s="385" t="s">
        <v>326</v>
      </c>
      <c r="D1" s="385"/>
      <c r="E1" s="385"/>
      <c r="F1" s="385"/>
    </row>
    <row r="2" spans="1:6" x14ac:dyDescent="0.25">
      <c r="A2" s="386" t="s">
        <v>317</v>
      </c>
      <c r="B2" s="386"/>
      <c r="C2" s="44"/>
      <c r="D2" s="44"/>
      <c r="E2" s="44"/>
      <c r="F2" s="45">
        <f>F5+F253</f>
        <v>464536956000</v>
      </c>
    </row>
    <row r="3" spans="1:6" s="35" customFormat="1" ht="33" customHeight="1" x14ac:dyDescent="0.25">
      <c r="A3" s="387" t="s">
        <v>318</v>
      </c>
      <c r="B3" s="387" t="s">
        <v>319</v>
      </c>
      <c r="C3" s="387" t="s">
        <v>320</v>
      </c>
      <c r="D3" s="387" t="s">
        <v>321</v>
      </c>
      <c r="E3" s="390" t="s">
        <v>322</v>
      </c>
      <c r="F3" s="390" t="s">
        <v>323</v>
      </c>
    </row>
    <row r="4" spans="1:6" s="35" customFormat="1" x14ac:dyDescent="0.25">
      <c r="A4" s="388"/>
      <c r="B4" s="388"/>
      <c r="C4" s="389"/>
      <c r="D4" s="388"/>
      <c r="E4" s="391"/>
      <c r="F4" s="391"/>
    </row>
    <row r="5" spans="1:6" x14ac:dyDescent="0.25">
      <c r="A5" s="46" t="s">
        <v>0</v>
      </c>
      <c r="B5" s="46" t="s">
        <v>1</v>
      </c>
      <c r="C5" s="47"/>
      <c r="D5" s="47"/>
      <c r="E5" s="48"/>
      <c r="F5" s="49">
        <f>F6</f>
        <v>378437225000</v>
      </c>
    </row>
    <row r="6" spans="1:6" x14ac:dyDescent="0.25">
      <c r="A6" s="50" t="s">
        <v>2</v>
      </c>
      <c r="B6" s="50" t="s">
        <v>3</v>
      </c>
      <c r="C6" s="51"/>
      <c r="D6" s="51"/>
      <c r="E6" s="52"/>
      <c r="F6" s="53">
        <f>F7+F211</f>
        <v>378437225000</v>
      </c>
    </row>
    <row r="7" spans="1:6" x14ac:dyDescent="0.25">
      <c r="A7" s="54" t="s">
        <v>4</v>
      </c>
      <c r="B7" s="54" t="s">
        <v>5</v>
      </c>
      <c r="C7" s="55"/>
      <c r="D7" s="55"/>
      <c r="E7" s="56"/>
      <c r="F7" s="57">
        <f>F8+F175</f>
        <v>7180935000</v>
      </c>
    </row>
    <row r="8" spans="1:6" ht="30" x14ac:dyDescent="0.25">
      <c r="A8" s="58" t="s">
        <v>7</v>
      </c>
      <c r="B8" s="58" t="s">
        <v>8</v>
      </c>
      <c r="C8" s="59"/>
      <c r="D8" s="59"/>
      <c r="E8" s="60"/>
      <c r="F8" s="61">
        <f>F9+F19+F133+F154</f>
        <v>6630583000</v>
      </c>
    </row>
    <row r="9" spans="1:6" ht="30" x14ac:dyDescent="0.25">
      <c r="A9" s="62" t="s">
        <v>9</v>
      </c>
      <c r="B9" s="62" t="s">
        <v>10</v>
      </c>
      <c r="C9" s="63" t="s">
        <v>11</v>
      </c>
      <c r="D9" s="63"/>
      <c r="E9" s="64"/>
      <c r="F9" s="65">
        <f>F10</f>
        <v>515996000</v>
      </c>
    </row>
    <row r="10" spans="1:6" x14ac:dyDescent="0.25">
      <c r="A10" s="66" t="s">
        <v>12</v>
      </c>
      <c r="B10" s="66" t="s">
        <v>13</v>
      </c>
      <c r="C10" s="67"/>
      <c r="D10" s="67"/>
      <c r="E10" s="68"/>
      <c r="F10" s="69">
        <f>F11+F13+F15+F17</f>
        <v>515996000</v>
      </c>
    </row>
    <row r="11" spans="1:6" x14ac:dyDescent="0.25">
      <c r="A11" s="70" t="s">
        <v>22</v>
      </c>
      <c r="B11" s="70" t="s">
        <v>23</v>
      </c>
      <c r="C11" s="71"/>
      <c r="D11" s="71"/>
      <c r="E11" s="72"/>
      <c r="F11" s="73">
        <f>F12</f>
        <v>789000</v>
      </c>
    </row>
    <row r="12" spans="1:6" ht="30" x14ac:dyDescent="0.25">
      <c r="A12" s="74"/>
      <c r="B12" s="75" t="s">
        <v>154</v>
      </c>
      <c r="C12" s="76">
        <v>1</v>
      </c>
      <c r="D12" s="76" t="s">
        <v>298</v>
      </c>
      <c r="E12" s="77">
        <v>789000</v>
      </c>
      <c r="F12" s="77">
        <f>C12*E12</f>
        <v>789000</v>
      </c>
    </row>
    <row r="13" spans="1:6" x14ac:dyDescent="0.25">
      <c r="A13" s="70" t="s">
        <v>14</v>
      </c>
      <c r="B13" s="70" t="s">
        <v>15</v>
      </c>
      <c r="C13" s="71"/>
      <c r="D13" s="71"/>
      <c r="E13" s="72"/>
      <c r="F13" s="73">
        <f>F14</f>
        <v>6707000</v>
      </c>
    </row>
    <row r="14" spans="1:6" x14ac:dyDescent="0.25">
      <c r="A14" s="74"/>
      <c r="B14" s="78" t="s">
        <v>155</v>
      </c>
      <c r="C14" s="76">
        <v>19</v>
      </c>
      <c r="D14" s="76" t="s">
        <v>296</v>
      </c>
      <c r="E14" s="77">
        <v>353000</v>
      </c>
      <c r="F14" s="77">
        <f>C14*E14</f>
        <v>6707000</v>
      </c>
    </row>
    <row r="15" spans="1:6" x14ac:dyDescent="0.25">
      <c r="A15" s="70" t="s">
        <v>16</v>
      </c>
      <c r="B15" s="70" t="s">
        <v>17</v>
      </c>
      <c r="C15" s="71"/>
      <c r="D15" s="71"/>
      <c r="E15" s="72"/>
      <c r="F15" s="73">
        <f>F16</f>
        <v>1000000</v>
      </c>
    </row>
    <row r="16" spans="1:6" x14ac:dyDescent="0.25">
      <c r="A16" s="74"/>
      <c r="B16" s="75" t="s">
        <v>156</v>
      </c>
      <c r="C16" s="76">
        <v>1</v>
      </c>
      <c r="D16" s="76" t="s">
        <v>297</v>
      </c>
      <c r="E16" s="77">
        <v>1000000</v>
      </c>
      <c r="F16" s="77">
        <f>C16*E16</f>
        <v>1000000</v>
      </c>
    </row>
    <row r="17" spans="1:6" x14ac:dyDescent="0.25">
      <c r="A17" s="70" t="s">
        <v>18</v>
      </c>
      <c r="B17" s="70" t="s">
        <v>19</v>
      </c>
      <c r="C17" s="71"/>
      <c r="D17" s="71"/>
      <c r="E17" s="72"/>
      <c r="F17" s="73">
        <f>F18</f>
        <v>507500000</v>
      </c>
    </row>
    <row r="18" spans="1:6" x14ac:dyDescent="0.25">
      <c r="A18" s="74"/>
      <c r="B18" s="75" t="s">
        <v>157</v>
      </c>
      <c r="C18" s="76">
        <v>1450</v>
      </c>
      <c r="D18" s="76" t="s">
        <v>296</v>
      </c>
      <c r="E18" s="77">
        <v>350000</v>
      </c>
      <c r="F18" s="77">
        <f>C18*E18</f>
        <v>507500000</v>
      </c>
    </row>
    <row r="19" spans="1:6" ht="30" x14ac:dyDescent="0.25">
      <c r="A19" s="62" t="s">
        <v>20</v>
      </c>
      <c r="B19" s="62" t="s">
        <v>21</v>
      </c>
      <c r="C19" s="63" t="s">
        <v>11</v>
      </c>
      <c r="D19" s="63"/>
      <c r="E19" s="64"/>
      <c r="F19" s="65">
        <f>F20+F32+F38+F55+F71+F89+F105+F118</f>
        <v>3272979000</v>
      </c>
    </row>
    <row r="20" spans="1:6" ht="30" x14ac:dyDescent="0.25">
      <c r="A20" s="66" t="s">
        <v>12</v>
      </c>
      <c r="B20" s="66" t="s">
        <v>21</v>
      </c>
      <c r="C20" s="67"/>
      <c r="D20" s="67"/>
      <c r="E20" s="68"/>
      <c r="F20" s="69">
        <f>F21+F24+F26+F28+F30</f>
        <v>42582000</v>
      </c>
    </row>
    <row r="21" spans="1:6" x14ac:dyDescent="0.25">
      <c r="A21" s="70" t="s">
        <v>22</v>
      </c>
      <c r="B21" s="70" t="s">
        <v>23</v>
      </c>
      <c r="C21" s="71"/>
      <c r="D21" s="71"/>
      <c r="E21" s="72"/>
      <c r="F21" s="73">
        <f>SUM(F22:F23)</f>
        <v>26712000</v>
      </c>
    </row>
    <row r="22" spans="1:6" ht="30" x14ac:dyDescent="0.25">
      <c r="A22" s="74"/>
      <c r="B22" s="75" t="s">
        <v>154</v>
      </c>
      <c r="C22" s="76">
        <v>1</v>
      </c>
      <c r="D22" s="76" t="s">
        <v>298</v>
      </c>
      <c r="E22" s="77">
        <v>21360000</v>
      </c>
      <c r="F22" s="77">
        <f>C22*E22</f>
        <v>21360000</v>
      </c>
    </row>
    <row r="23" spans="1:6" x14ac:dyDescent="0.25">
      <c r="A23" s="74"/>
      <c r="B23" s="75" t="s">
        <v>158</v>
      </c>
      <c r="C23" s="76">
        <v>223</v>
      </c>
      <c r="D23" s="76" t="s">
        <v>296</v>
      </c>
      <c r="E23" s="77">
        <v>24000</v>
      </c>
      <c r="F23" s="77">
        <f>C23*E23</f>
        <v>5352000</v>
      </c>
    </row>
    <row r="24" spans="1:6" x14ac:dyDescent="0.25">
      <c r="A24" s="70" t="s">
        <v>14</v>
      </c>
      <c r="B24" s="70" t="s">
        <v>15</v>
      </c>
      <c r="C24" s="71"/>
      <c r="D24" s="71"/>
      <c r="E24" s="72"/>
      <c r="F24" s="73">
        <f>F25</f>
        <v>3850000</v>
      </c>
    </row>
    <row r="25" spans="1:6" x14ac:dyDescent="0.25">
      <c r="A25" s="74"/>
      <c r="B25" s="79" t="s">
        <v>155</v>
      </c>
      <c r="C25" s="76">
        <v>10</v>
      </c>
      <c r="D25" s="76" t="s">
        <v>299</v>
      </c>
      <c r="E25" s="77">
        <v>385000</v>
      </c>
      <c r="F25" s="77">
        <f>C25*E25</f>
        <v>3850000</v>
      </c>
    </row>
    <row r="26" spans="1:6" x14ac:dyDescent="0.25">
      <c r="A26" s="70" t="s">
        <v>90</v>
      </c>
      <c r="B26" s="70" t="s">
        <v>91</v>
      </c>
      <c r="C26" s="71"/>
      <c r="D26" s="71"/>
      <c r="E26" s="72"/>
      <c r="F26" s="73">
        <f>F27</f>
        <v>2000000</v>
      </c>
    </row>
    <row r="27" spans="1:6" x14ac:dyDescent="0.25">
      <c r="A27" s="74"/>
      <c r="B27" s="80" t="s">
        <v>159</v>
      </c>
      <c r="C27" s="76">
        <v>1</v>
      </c>
      <c r="D27" s="76" t="s">
        <v>298</v>
      </c>
      <c r="E27" s="77">
        <v>2000000</v>
      </c>
      <c r="F27" s="77">
        <f>C27*E27</f>
        <v>2000000</v>
      </c>
    </row>
    <row r="28" spans="1:6" x14ac:dyDescent="0.25">
      <c r="A28" s="70" t="s">
        <v>16</v>
      </c>
      <c r="B28" s="70" t="s">
        <v>17</v>
      </c>
      <c r="C28" s="71"/>
      <c r="D28" s="71"/>
      <c r="E28" s="72"/>
      <c r="F28" s="73">
        <f>F29</f>
        <v>3600000</v>
      </c>
    </row>
    <row r="29" spans="1:6" x14ac:dyDescent="0.25">
      <c r="A29" s="74"/>
      <c r="B29" s="79" t="s">
        <v>156</v>
      </c>
      <c r="C29" s="76">
        <v>4</v>
      </c>
      <c r="D29" s="76" t="s">
        <v>297</v>
      </c>
      <c r="E29" s="77">
        <v>900000</v>
      </c>
      <c r="F29" s="77">
        <f>C29*E29</f>
        <v>3600000</v>
      </c>
    </row>
    <row r="30" spans="1:6" x14ac:dyDescent="0.25">
      <c r="A30" s="70" t="s">
        <v>18</v>
      </c>
      <c r="B30" s="70" t="s">
        <v>19</v>
      </c>
      <c r="C30" s="71"/>
      <c r="D30" s="71"/>
      <c r="E30" s="72"/>
      <c r="F30" s="73">
        <f>F31</f>
        <v>6420000</v>
      </c>
    </row>
    <row r="31" spans="1:6" x14ac:dyDescent="0.25">
      <c r="A31" s="74"/>
      <c r="B31" s="80" t="s">
        <v>157</v>
      </c>
      <c r="C31" s="76">
        <v>20</v>
      </c>
      <c r="D31" s="76" t="s">
        <v>296</v>
      </c>
      <c r="E31" s="37">
        <v>321000</v>
      </c>
      <c r="F31" s="77">
        <f>C31*E31</f>
        <v>6420000</v>
      </c>
    </row>
    <row r="32" spans="1:6" ht="30" x14ac:dyDescent="0.25">
      <c r="A32" s="66" t="s">
        <v>26</v>
      </c>
      <c r="B32" s="66" t="s">
        <v>27</v>
      </c>
      <c r="C32" s="67"/>
      <c r="D32" s="67"/>
      <c r="E32" s="68"/>
      <c r="F32" s="69">
        <f>F33+F35</f>
        <v>570668000</v>
      </c>
    </row>
    <row r="33" spans="1:6" x14ac:dyDescent="0.25">
      <c r="A33" s="70" t="s">
        <v>22</v>
      </c>
      <c r="B33" s="70" t="s">
        <v>23</v>
      </c>
      <c r="C33" s="71"/>
      <c r="D33" s="71"/>
      <c r="E33" s="72"/>
      <c r="F33" s="73">
        <f>SUM(F34:F34)</f>
        <v>668000</v>
      </c>
    </row>
    <row r="34" spans="1:6" ht="30" x14ac:dyDescent="0.25">
      <c r="A34" s="74"/>
      <c r="B34" s="75" t="s">
        <v>332</v>
      </c>
      <c r="C34" s="76">
        <v>1</v>
      </c>
      <c r="D34" s="76" t="s">
        <v>298</v>
      </c>
      <c r="E34" s="77">
        <v>668000</v>
      </c>
      <c r="F34" s="77">
        <f>C34*E34</f>
        <v>668000</v>
      </c>
    </row>
    <row r="35" spans="1:6" x14ac:dyDescent="0.25">
      <c r="A35" s="70" t="s">
        <v>16</v>
      </c>
      <c r="B35" s="70" t="s">
        <v>17</v>
      </c>
      <c r="C35" s="71"/>
      <c r="D35" s="71"/>
      <c r="E35" s="72"/>
      <c r="F35" s="73">
        <f>SUM(F36:F37)</f>
        <v>570000000</v>
      </c>
    </row>
    <row r="36" spans="1:6" x14ac:dyDescent="0.25">
      <c r="A36" s="74"/>
      <c r="B36" s="78" t="s">
        <v>324</v>
      </c>
      <c r="C36" s="76">
        <v>1080</v>
      </c>
      <c r="D36" s="76" t="s">
        <v>297</v>
      </c>
      <c r="E36" s="77">
        <v>250000</v>
      </c>
      <c r="F36" s="77">
        <f>C36*E36</f>
        <v>270000000</v>
      </c>
    </row>
    <row r="37" spans="1:6" x14ac:dyDescent="0.25">
      <c r="A37" s="74"/>
      <c r="B37" s="78" t="s">
        <v>325</v>
      </c>
      <c r="C37" s="76">
        <v>600</v>
      </c>
      <c r="D37" s="76" t="s">
        <v>297</v>
      </c>
      <c r="E37" s="77">
        <v>500000</v>
      </c>
      <c r="F37" s="77">
        <f>C37*E37</f>
        <v>300000000</v>
      </c>
    </row>
    <row r="38" spans="1:6" x14ac:dyDescent="0.25">
      <c r="A38" s="66" t="s">
        <v>32</v>
      </c>
      <c r="B38" s="66" t="s">
        <v>328</v>
      </c>
      <c r="C38" s="67"/>
      <c r="D38" s="67"/>
      <c r="E38" s="68"/>
      <c r="F38" s="69">
        <f>F39+F42+F44+F47+F49+F51+F53</f>
        <v>873613000</v>
      </c>
    </row>
    <row r="39" spans="1:6" x14ac:dyDescent="0.25">
      <c r="A39" s="70" t="s">
        <v>22</v>
      </c>
      <c r="B39" s="70" t="s">
        <v>23</v>
      </c>
      <c r="C39" s="71"/>
      <c r="D39" s="71"/>
      <c r="E39" s="72"/>
      <c r="F39" s="73">
        <f>SUM(F40:F41)</f>
        <v>255442000</v>
      </c>
    </row>
    <row r="40" spans="1:6" ht="30" x14ac:dyDescent="0.25">
      <c r="A40" s="74"/>
      <c r="B40" s="80" t="s">
        <v>154</v>
      </c>
      <c r="C40" s="76">
        <v>6</v>
      </c>
      <c r="D40" s="76" t="s">
        <v>298</v>
      </c>
      <c r="E40" s="77">
        <v>42265000</v>
      </c>
      <c r="F40" s="77">
        <f t="shared" ref="F40:F41" si="0">C40*E40</f>
        <v>253590000</v>
      </c>
    </row>
    <row r="41" spans="1:6" x14ac:dyDescent="0.25">
      <c r="A41" s="74"/>
      <c r="B41" s="80" t="s">
        <v>160</v>
      </c>
      <c r="C41" s="76">
        <v>1</v>
      </c>
      <c r="D41" s="76" t="s">
        <v>303</v>
      </c>
      <c r="E41" s="77">
        <v>1852000</v>
      </c>
      <c r="F41" s="77">
        <f t="shared" si="0"/>
        <v>1852000</v>
      </c>
    </row>
    <row r="42" spans="1:6" x14ac:dyDescent="0.25">
      <c r="A42" s="70" t="s">
        <v>14</v>
      </c>
      <c r="B42" s="70" t="s">
        <v>15</v>
      </c>
      <c r="C42" s="71"/>
      <c r="D42" s="71"/>
      <c r="E42" s="72"/>
      <c r="F42" s="73">
        <f>F43</f>
        <v>8350000</v>
      </c>
    </row>
    <row r="43" spans="1:6" x14ac:dyDescent="0.25">
      <c r="A43" s="74"/>
      <c r="B43" s="80" t="s">
        <v>155</v>
      </c>
      <c r="C43" s="76">
        <v>25</v>
      </c>
      <c r="D43" s="76" t="s">
        <v>296</v>
      </c>
      <c r="E43" s="77">
        <v>334000</v>
      </c>
      <c r="F43" s="77">
        <f>C43*E43</f>
        <v>8350000</v>
      </c>
    </row>
    <row r="44" spans="1:6" x14ac:dyDescent="0.25">
      <c r="A44" s="70" t="s">
        <v>90</v>
      </c>
      <c r="B44" s="70" t="s">
        <v>91</v>
      </c>
      <c r="C44" s="71"/>
      <c r="D44" s="71"/>
      <c r="E44" s="72"/>
      <c r="F44" s="73">
        <f>F45+F46</f>
        <v>11512000</v>
      </c>
    </row>
    <row r="45" spans="1:6" x14ac:dyDescent="0.25">
      <c r="A45" s="74"/>
      <c r="B45" s="80" t="s">
        <v>159</v>
      </c>
      <c r="C45" s="76">
        <v>3</v>
      </c>
      <c r="D45" s="76" t="s">
        <v>298</v>
      </c>
      <c r="E45" s="77">
        <v>2000000</v>
      </c>
      <c r="F45" s="77">
        <f>C45*E45</f>
        <v>6000000</v>
      </c>
    </row>
    <row r="46" spans="1:6" x14ac:dyDescent="0.25">
      <c r="A46" s="74"/>
      <c r="B46" s="75" t="s">
        <v>329</v>
      </c>
      <c r="C46" s="76">
        <v>1</v>
      </c>
      <c r="D46" s="76" t="s">
        <v>303</v>
      </c>
      <c r="E46" s="77">
        <v>5512000</v>
      </c>
      <c r="F46" s="77">
        <f>C46*E46</f>
        <v>5512000</v>
      </c>
    </row>
    <row r="47" spans="1:6" x14ac:dyDescent="0.25">
      <c r="A47" s="70" t="s">
        <v>16</v>
      </c>
      <c r="B47" s="70" t="s">
        <v>17</v>
      </c>
      <c r="C47" s="71"/>
      <c r="D47" s="71"/>
      <c r="E47" s="72"/>
      <c r="F47" s="73">
        <f>F48</f>
        <v>287360000</v>
      </c>
    </row>
    <row r="48" spans="1:6" x14ac:dyDescent="0.25">
      <c r="A48" s="74"/>
      <c r="B48" s="80" t="s">
        <v>156</v>
      </c>
      <c r="C48" s="76">
        <v>320</v>
      </c>
      <c r="D48" s="76" t="s">
        <v>297</v>
      </c>
      <c r="E48" s="77">
        <v>898000</v>
      </c>
      <c r="F48" s="77">
        <f>C48*E48</f>
        <v>287360000</v>
      </c>
    </row>
    <row r="49" spans="1:6" x14ac:dyDescent="0.25">
      <c r="A49" s="70" t="s">
        <v>28</v>
      </c>
      <c r="B49" s="70" t="s">
        <v>29</v>
      </c>
      <c r="C49" s="71"/>
      <c r="D49" s="71"/>
      <c r="E49" s="72"/>
      <c r="F49" s="73">
        <f>F50</f>
        <v>55200000</v>
      </c>
    </row>
    <row r="50" spans="1:6" x14ac:dyDescent="0.25">
      <c r="A50" s="74"/>
      <c r="B50" s="80" t="s">
        <v>161</v>
      </c>
      <c r="C50" s="76">
        <v>138</v>
      </c>
      <c r="D50" s="76" t="s">
        <v>296</v>
      </c>
      <c r="E50" s="77">
        <v>400000</v>
      </c>
      <c r="F50" s="77">
        <f>C50*E50</f>
        <v>55200000</v>
      </c>
    </row>
    <row r="51" spans="1:6" x14ac:dyDescent="0.25">
      <c r="A51" s="70" t="s">
        <v>18</v>
      </c>
      <c r="B51" s="70" t="s">
        <v>19</v>
      </c>
      <c r="C51" s="71"/>
      <c r="D51" s="71"/>
      <c r="E51" s="72"/>
      <c r="F51" s="73">
        <f>F52</f>
        <v>115236000</v>
      </c>
    </row>
    <row r="52" spans="1:6" x14ac:dyDescent="0.25">
      <c r="A52" s="74"/>
      <c r="B52" s="80" t="s">
        <v>157</v>
      </c>
      <c r="C52" s="76">
        <v>297</v>
      </c>
      <c r="D52" s="76" t="s">
        <v>296</v>
      </c>
      <c r="E52" s="77">
        <v>388000</v>
      </c>
      <c r="F52" s="77">
        <f>C52*E52</f>
        <v>115236000</v>
      </c>
    </row>
    <row r="53" spans="1:6" x14ac:dyDescent="0.25">
      <c r="A53" s="70" t="s">
        <v>33</v>
      </c>
      <c r="B53" s="70" t="s">
        <v>34</v>
      </c>
      <c r="C53" s="71"/>
      <c r="D53" s="71"/>
      <c r="E53" s="72"/>
      <c r="F53" s="73">
        <f>F54</f>
        <v>140513000</v>
      </c>
    </row>
    <row r="54" spans="1:6" x14ac:dyDescent="0.25">
      <c r="A54" s="74"/>
      <c r="B54" s="80" t="s">
        <v>162</v>
      </c>
      <c r="C54" s="76">
        <v>227</v>
      </c>
      <c r="D54" s="76" t="s">
        <v>296</v>
      </c>
      <c r="E54" s="77">
        <v>619000</v>
      </c>
      <c r="F54" s="77">
        <f>C54*E54</f>
        <v>140513000</v>
      </c>
    </row>
    <row r="55" spans="1:6" x14ac:dyDescent="0.25">
      <c r="A55" s="66" t="s">
        <v>35</v>
      </c>
      <c r="B55" s="66" t="s">
        <v>337</v>
      </c>
      <c r="C55" s="67"/>
      <c r="D55" s="67"/>
      <c r="E55" s="68"/>
      <c r="F55" s="69">
        <f>F56+F58+F60+F62+F64+F67+F69</f>
        <v>323925000</v>
      </c>
    </row>
    <row r="56" spans="1:6" x14ac:dyDescent="0.25">
      <c r="A56" s="70" t="s">
        <v>22</v>
      </c>
      <c r="B56" s="70" t="s">
        <v>23</v>
      </c>
      <c r="C56" s="71"/>
      <c r="D56" s="71"/>
      <c r="E56" s="72"/>
      <c r="F56" s="73">
        <f>F57</f>
        <v>81575000</v>
      </c>
    </row>
    <row r="57" spans="1:6" ht="30" x14ac:dyDescent="0.25">
      <c r="A57" s="74"/>
      <c r="B57" s="75" t="s">
        <v>154</v>
      </c>
      <c r="C57" s="76">
        <v>5</v>
      </c>
      <c r="D57" s="76" t="s">
        <v>298</v>
      </c>
      <c r="E57" s="77">
        <v>16315000</v>
      </c>
      <c r="F57" s="77">
        <f>C57*E57</f>
        <v>81575000</v>
      </c>
    </row>
    <row r="58" spans="1:6" x14ac:dyDescent="0.25">
      <c r="A58" s="70" t="s">
        <v>14</v>
      </c>
      <c r="B58" s="70" t="s">
        <v>15</v>
      </c>
      <c r="C58" s="71"/>
      <c r="D58" s="71"/>
      <c r="E58" s="72"/>
      <c r="F58" s="73">
        <f>F59</f>
        <v>14350000</v>
      </c>
    </row>
    <row r="59" spans="1:6" x14ac:dyDescent="0.25">
      <c r="A59" s="74"/>
      <c r="B59" s="80" t="s">
        <v>155</v>
      </c>
      <c r="C59" s="76">
        <v>41</v>
      </c>
      <c r="D59" s="76" t="s">
        <v>296</v>
      </c>
      <c r="E59" s="77">
        <v>350000</v>
      </c>
      <c r="F59" s="77">
        <f>C59*E59</f>
        <v>14350000</v>
      </c>
    </row>
    <row r="60" spans="1:6" x14ac:dyDescent="0.25">
      <c r="A60" s="70" t="s">
        <v>36</v>
      </c>
      <c r="B60" s="70" t="s">
        <v>37</v>
      </c>
      <c r="C60" s="71"/>
      <c r="D60" s="71"/>
      <c r="E60" s="72"/>
      <c r="F60" s="73">
        <f>F61</f>
        <v>10000000</v>
      </c>
    </row>
    <row r="61" spans="1:6" x14ac:dyDescent="0.25">
      <c r="A61" s="74"/>
      <c r="B61" s="80" t="s">
        <v>164</v>
      </c>
      <c r="C61" s="76">
        <v>5</v>
      </c>
      <c r="D61" s="76" t="s">
        <v>296</v>
      </c>
      <c r="E61" s="77">
        <v>2000000</v>
      </c>
      <c r="F61" s="77">
        <f>C61*E61</f>
        <v>10000000</v>
      </c>
    </row>
    <row r="62" spans="1:6" x14ac:dyDescent="0.25">
      <c r="A62" s="70" t="s">
        <v>90</v>
      </c>
      <c r="B62" s="70" t="s">
        <v>91</v>
      </c>
      <c r="C62" s="71"/>
      <c r="D62" s="71"/>
      <c r="E62" s="72"/>
      <c r="F62" s="73">
        <f>F63</f>
        <v>10000000</v>
      </c>
    </row>
    <row r="63" spans="1:6" x14ac:dyDescent="0.25">
      <c r="A63" s="74"/>
      <c r="B63" s="80" t="s">
        <v>159</v>
      </c>
      <c r="C63" s="76">
        <v>5</v>
      </c>
      <c r="D63" s="76" t="s">
        <v>298</v>
      </c>
      <c r="E63" s="77">
        <v>2000000</v>
      </c>
      <c r="F63" s="77">
        <f>C63*E63</f>
        <v>10000000</v>
      </c>
    </row>
    <row r="64" spans="1:6" x14ac:dyDescent="0.25">
      <c r="A64" s="70" t="s">
        <v>16</v>
      </c>
      <c r="B64" s="70" t="s">
        <v>17</v>
      </c>
      <c r="C64" s="71"/>
      <c r="D64" s="71"/>
      <c r="E64" s="72"/>
      <c r="F64" s="73">
        <f>SUM(F65:F66)</f>
        <v>92100000</v>
      </c>
    </row>
    <row r="65" spans="1:6" ht="17.25" customHeight="1" x14ac:dyDescent="0.25">
      <c r="A65" s="74"/>
      <c r="B65" s="80" t="s">
        <v>156</v>
      </c>
      <c r="C65" s="76">
        <v>75</v>
      </c>
      <c r="D65" s="76" t="s">
        <v>297</v>
      </c>
      <c r="E65" s="77">
        <v>808000</v>
      </c>
      <c r="F65" s="77">
        <f>C65*E65</f>
        <v>60600000</v>
      </c>
    </row>
    <row r="66" spans="1:6" ht="30" x14ac:dyDescent="0.25">
      <c r="A66" s="74"/>
      <c r="B66" s="80" t="s">
        <v>165</v>
      </c>
      <c r="C66" s="76">
        <v>210</v>
      </c>
      <c r="D66" s="76" t="s">
        <v>304</v>
      </c>
      <c r="E66" s="77">
        <v>150000</v>
      </c>
      <c r="F66" s="77">
        <f>C66*E66</f>
        <v>31500000</v>
      </c>
    </row>
    <row r="67" spans="1:6" x14ac:dyDescent="0.25">
      <c r="A67" s="70" t="s">
        <v>28</v>
      </c>
      <c r="B67" s="70" t="s">
        <v>29</v>
      </c>
      <c r="C67" s="71"/>
      <c r="D67" s="71"/>
      <c r="E67" s="72"/>
      <c r="F67" s="73">
        <f>F68</f>
        <v>30100000</v>
      </c>
    </row>
    <row r="68" spans="1:6" x14ac:dyDescent="0.25">
      <c r="A68" s="74"/>
      <c r="B68" s="80" t="s">
        <v>161</v>
      </c>
      <c r="C68" s="76">
        <v>43</v>
      </c>
      <c r="D68" s="76" t="s">
        <v>296</v>
      </c>
      <c r="E68" s="77">
        <v>700000</v>
      </c>
      <c r="F68" s="77">
        <f>C68*E68</f>
        <v>30100000</v>
      </c>
    </row>
    <row r="69" spans="1:6" x14ac:dyDescent="0.25">
      <c r="A69" s="70" t="s">
        <v>18</v>
      </c>
      <c r="B69" s="70" t="s">
        <v>19</v>
      </c>
      <c r="C69" s="71"/>
      <c r="D69" s="71"/>
      <c r="E69" s="72"/>
      <c r="F69" s="73">
        <f>F70</f>
        <v>85800000</v>
      </c>
    </row>
    <row r="70" spans="1:6" x14ac:dyDescent="0.25">
      <c r="A70" s="74"/>
      <c r="B70" s="80" t="s">
        <v>157</v>
      </c>
      <c r="C70" s="76">
        <v>260</v>
      </c>
      <c r="D70" s="76" t="s">
        <v>296</v>
      </c>
      <c r="E70" s="77">
        <v>330000</v>
      </c>
      <c r="F70" s="77">
        <f>C70*E70</f>
        <v>85800000</v>
      </c>
    </row>
    <row r="71" spans="1:6" x14ac:dyDescent="0.25">
      <c r="A71" s="66" t="s">
        <v>38</v>
      </c>
      <c r="B71" s="66" t="s">
        <v>39</v>
      </c>
      <c r="C71" s="67"/>
      <c r="D71" s="67"/>
      <c r="E71" s="68"/>
      <c r="F71" s="69">
        <f>F72+F74+F76+F78+F81+F83+F85+F87</f>
        <v>512494000</v>
      </c>
    </row>
    <row r="72" spans="1:6" x14ac:dyDescent="0.25">
      <c r="A72" s="70" t="s">
        <v>22</v>
      </c>
      <c r="B72" s="70" t="s">
        <v>23</v>
      </c>
      <c r="C72" s="71"/>
      <c r="D72" s="71"/>
      <c r="E72" s="72"/>
      <c r="F72" s="73">
        <f>F73</f>
        <v>89175000</v>
      </c>
    </row>
    <row r="73" spans="1:6" ht="30" x14ac:dyDescent="0.25">
      <c r="A73" s="74"/>
      <c r="B73" s="80" t="s">
        <v>154</v>
      </c>
      <c r="C73" s="76">
        <v>5</v>
      </c>
      <c r="D73" s="76" t="s">
        <v>298</v>
      </c>
      <c r="E73" s="77">
        <v>17835000</v>
      </c>
      <c r="F73" s="77">
        <f>C73*E73</f>
        <v>89175000</v>
      </c>
    </row>
    <row r="74" spans="1:6" x14ac:dyDescent="0.25">
      <c r="A74" s="70" t="s">
        <v>14</v>
      </c>
      <c r="B74" s="70" t="s">
        <v>15</v>
      </c>
      <c r="C74" s="71"/>
      <c r="D74" s="71"/>
      <c r="E74" s="72"/>
      <c r="F74" s="73">
        <f>F75</f>
        <v>8750000</v>
      </c>
    </row>
    <row r="75" spans="1:6" x14ac:dyDescent="0.25">
      <c r="A75" s="74"/>
      <c r="B75" s="80" t="s">
        <v>157</v>
      </c>
      <c r="C75" s="76">
        <v>25</v>
      </c>
      <c r="D75" s="76" t="s">
        <v>296</v>
      </c>
      <c r="E75" s="77">
        <v>350000</v>
      </c>
      <c r="F75" s="77">
        <f>C75*E75</f>
        <v>8750000</v>
      </c>
    </row>
    <row r="76" spans="1:6" x14ac:dyDescent="0.25">
      <c r="A76" s="70" t="s">
        <v>90</v>
      </c>
      <c r="B76" s="70" t="s">
        <v>91</v>
      </c>
      <c r="C76" s="71"/>
      <c r="D76" s="71"/>
      <c r="E76" s="72"/>
      <c r="F76" s="73">
        <f>F77</f>
        <v>4000000</v>
      </c>
    </row>
    <row r="77" spans="1:6" x14ac:dyDescent="0.25">
      <c r="A77" s="74"/>
      <c r="B77" s="80" t="s">
        <v>159</v>
      </c>
      <c r="C77" s="76">
        <v>2</v>
      </c>
      <c r="D77" s="76" t="s">
        <v>298</v>
      </c>
      <c r="E77" s="77">
        <v>2000000</v>
      </c>
      <c r="F77" s="77">
        <f>C77*E77</f>
        <v>4000000</v>
      </c>
    </row>
    <row r="78" spans="1:6" x14ac:dyDescent="0.25">
      <c r="A78" s="70" t="s">
        <v>16</v>
      </c>
      <c r="B78" s="70" t="s">
        <v>17</v>
      </c>
      <c r="C78" s="71"/>
      <c r="D78" s="71"/>
      <c r="E78" s="72"/>
      <c r="F78" s="73">
        <f>F79+F80</f>
        <v>195525000</v>
      </c>
    </row>
    <row r="79" spans="1:6" x14ac:dyDescent="0.25">
      <c r="A79" s="74"/>
      <c r="B79" s="80" t="s">
        <v>156</v>
      </c>
      <c r="C79" s="76">
        <v>225</v>
      </c>
      <c r="D79" s="76" t="s">
        <v>297</v>
      </c>
      <c r="E79" s="77">
        <v>845000</v>
      </c>
      <c r="F79" s="77">
        <f>C79*E79</f>
        <v>190125000</v>
      </c>
    </row>
    <row r="80" spans="1:6" x14ac:dyDescent="0.25">
      <c r="A80" s="74"/>
      <c r="B80" s="75" t="s">
        <v>333</v>
      </c>
      <c r="C80" s="76">
        <v>36</v>
      </c>
      <c r="D80" s="76" t="s">
        <v>297</v>
      </c>
      <c r="E80" s="77">
        <v>150000</v>
      </c>
      <c r="F80" s="77">
        <f>C80*E80</f>
        <v>5400000</v>
      </c>
    </row>
    <row r="81" spans="1:6" x14ac:dyDescent="0.25">
      <c r="A81" s="81">
        <v>524111</v>
      </c>
      <c r="B81" s="82" t="s">
        <v>29</v>
      </c>
      <c r="C81" s="71"/>
      <c r="D81" s="71"/>
      <c r="E81" s="72"/>
      <c r="F81" s="73">
        <f>F82</f>
        <v>14245000</v>
      </c>
    </row>
    <row r="82" spans="1:6" x14ac:dyDescent="0.25">
      <c r="A82" s="74"/>
      <c r="B82" s="75" t="s">
        <v>338</v>
      </c>
      <c r="C82" s="76">
        <v>35</v>
      </c>
      <c r="D82" s="76" t="s">
        <v>296</v>
      </c>
      <c r="E82" s="77">
        <v>407000</v>
      </c>
      <c r="F82" s="77">
        <f>C82*E82</f>
        <v>14245000</v>
      </c>
    </row>
    <row r="83" spans="1:6" x14ac:dyDescent="0.25">
      <c r="A83" s="81">
        <v>524114</v>
      </c>
      <c r="B83" s="82" t="s">
        <v>34</v>
      </c>
      <c r="C83" s="71"/>
      <c r="D83" s="71"/>
      <c r="E83" s="72"/>
      <c r="F83" s="73">
        <f>F84</f>
        <v>56112000</v>
      </c>
    </row>
    <row r="84" spans="1:6" x14ac:dyDescent="0.25">
      <c r="A84" s="74"/>
      <c r="B84" s="75" t="s">
        <v>162</v>
      </c>
      <c r="C84" s="76">
        <v>112</v>
      </c>
      <c r="D84" s="76" t="s">
        <v>296</v>
      </c>
      <c r="E84" s="77">
        <v>501000</v>
      </c>
      <c r="F84" s="77">
        <f>C84*E84</f>
        <v>56112000</v>
      </c>
    </row>
    <row r="85" spans="1:6" x14ac:dyDescent="0.25">
      <c r="A85" s="70" t="s">
        <v>18</v>
      </c>
      <c r="B85" s="70" t="s">
        <v>19</v>
      </c>
      <c r="C85" s="71"/>
      <c r="D85" s="71"/>
      <c r="E85" s="72"/>
      <c r="F85" s="73">
        <f>F86</f>
        <v>22857000</v>
      </c>
    </row>
    <row r="86" spans="1:6" x14ac:dyDescent="0.25">
      <c r="A86" s="74"/>
      <c r="B86" s="80" t="s">
        <v>157</v>
      </c>
      <c r="C86" s="76">
        <v>57</v>
      </c>
      <c r="D86" s="76" t="s">
        <v>296</v>
      </c>
      <c r="E86" s="77">
        <v>401000</v>
      </c>
      <c r="F86" s="77">
        <f>C86*E86</f>
        <v>22857000</v>
      </c>
    </row>
    <row r="87" spans="1:6" x14ac:dyDescent="0.25">
      <c r="A87" s="81">
        <v>524119</v>
      </c>
      <c r="B87" s="82" t="s">
        <v>31</v>
      </c>
      <c r="C87" s="71"/>
      <c r="D87" s="71"/>
      <c r="E87" s="72"/>
      <c r="F87" s="73">
        <f>F88</f>
        <v>121830000</v>
      </c>
    </row>
    <row r="88" spans="1:6" x14ac:dyDescent="0.25">
      <c r="A88" s="74"/>
      <c r="B88" s="75" t="s">
        <v>163</v>
      </c>
      <c r="C88" s="76">
        <v>186</v>
      </c>
      <c r="D88" s="76" t="s">
        <v>296</v>
      </c>
      <c r="E88" s="77">
        <v>655000</v>
      </c>
      <c r="F88" s="77">
        <f>C88*E88</f>
        <v>121830000</v>
      </c>
    </row>
    <row r="89" spans="1:6" ht="30" x14ac:dyDescent="0.25">
      <c r="A89" s="66" t="s">
        <v>40</v>
      </c>
      <c r="B89" s="66" t="s">
        <v>41</v>
      </c>
      <c r="C89" s="67"/>
      <c r="D89" s="67"/>
      <c r="E89" s="68"/>
      <c r="F89" s="69">
        <f>F90+F93+F95+F98+F101+F103</f>
        <v>320702000</v>
      </c>
    </row>
    <row r="90" spans="1:6" x14ac:dyDescent="0.25">
      <c r="A90" s="70" t="s">
        <v>22</v>
      </c>
      <c r="B90" s="70" t="s">
        <v>23</v>
      </c>
      <c r="C90" s="71"/>
      <c r="D90" s="71"/>
      <c r="E90" s="72"/>
      <c r="F90" s="73">
        <f>F91+F92</f>
        <v>95035000</v>
      </c>
    </row>
    <row r="91" spans="1:6" ht="30" x14ac:dyDescent="0.25">
      <c r="A91" s="74"/>
      <c r="B91" s="80" t="s">
        <v>154</v>
      </c>
      <c r="C91" s="83">
        <v>8</v>
      </c>
      <c r="D91" s="83" t="s">
        <v>298</v>
      </c>
      <c r="E91" s="84">
        <v>11535000</v>
      </c>
      <c r="F91" s="77">
        <f>C91*E91</f>
        <v>92280000</v>
      </c>
    </row>
    <row r="92" spans="1:6" x14ac:dyDescent="0.25">
      <c r="A92" s="74"/>
      <c r="B92" s="75" t="s">
        <v>335</v>
      </c>
      <c r="C92" s="38">
        <v>1</v>
      </c>
      <c r="D92" s="76" t="s">
        <v>298</v>
      </c>
      <c r="E92" s="39">
        <v>2755000</v>
      </c>
      <c r="F92" s="77">
        <f>C92*E92</f>
        <v>2755000</v>
      </c>
    </row>
    <row r="93" spans="1:6" x14ac:dyDescent="0.25">
      <c r="A93" s="70" t="s">
        <v>14</v>
      </c>
      <c r="B93" s="70" t="s">
        <v>15</v>
      </c>
      <c r="C93" s="85"/>
      <c r="D93" s="85"/>
      <c r="E93" s="86"/>
      <c r="F93" s="73">
        <f>F94</f>
        <v>15975000</v>
      </c>
    </row>
    <row r="94" spans="1:6" x14ac:dyDescent="0.25">
      <c r="A94" s="74"/>
      <c r="B94" s="80" t="s">
        <v>155</v>
      </c>
      <c r="C94" s="76">
        <v>45</v>
      </c>
      <c r="D94" s="76" t="s">
        <v>296</v>
      </c>
      <c r="E94" s="77">
        <v>355000</v>
      </c>
      <c r="F94" s="77">
        <f>C94*E94</f>
        <v>15975000</v>
      </c>
    </row>
    <row r="95" spans="1:6" x14ac:dyDescent="0.25">
      <c r="A95" s="70" t="s">
        <v>90</v>
      </c>
      <c r="B95" s="70" t="s">
        <v>91</v>
      </c>
      <c r="C95" s="71"/>
      <c r="D95" s="71"/>
      <c r="E95" s="72"/>
      <c r="F95" s="73">
        <f>F96+F97</f>
        <v>24200000</v>
      </c>
    </row>
    <row r="96" spans="1:6" x14ac:dyDescent="0.25">
      <c r="A96" s="74"/>
      <c r="B96" s="80" t="s">
        <v>159</v>
      </c>
      <c r="C96" s="76">
        <v>3</v>
      </c>
      <c r="D96" s="76" t="s">
        <v>298</v>
      </c>
      <c r="E96" s="77">
        <v>2000000</v>
      </c>
      <c r="F96" s="77">
        <f>C96*E96</f>
        <v>6000000</v>
      </c>
    </row>
    <row r="97" spans="1:6" ht="30" x14ac:dyDescent="0.25">
      <c r="A97" s="74"/>
      <c r="B97" s="75" t="s">
        <v>336</v>
      </c>
      <c r="C97" s="76">
        <v>4</v>
      </c>
      <c r="D97" s="76" t="s">
        <v>298</v>
      </c>
      <c r="E97" s="77">
        <v>4550000</v>
      </c>
      <c r="F97" s="77">
        <f>C97*E97</f>
        <v>18200000</v>
      </c>
    </row>
    <row r="98" spans="1:6" x14ac:dyDescent="0.25">
      <c r="A98" s="70" t="s">
        <v>16</v>
      </c>
      <c r="B98" s="70" t="s">
        <v>17</v>
      </c>
      <c r="C98" s="71"/>
      <c r="D98" s="71"/>
      <c r="E98" s="72"/>
      <c r="F98" s="73">
        <f>SUM(F99:F100)</f>
        <v>107568000</v>
      </c>
    </row>
    <row r="99" spans="1:6" x14ac:dyDescent="0.25">
      <c r="A99" s="74"/>
      <c r="B99" s="80" t="s">
        <v>156</v>
      </c>
      <c r="C99" s="76">
        <v>91</v>
      </c>
      <c r="D99" s="76" t="s">
        <v>297</v>
      </c>
      <c r="E99" s="77">
        <v>848000</v>
      </c>
      <c r="F99" s="77">
        <f t="shared" ref="F99:F100" si="1">C99*E99</f>
        <v>77168000</v>
      </c>
    </row>
    <row r="100" spans="1:6" ht="30" x14ac:dyDescent="0.25">
      <c r="A100" s="74"/>
      <c r="B100" s="80" t="s">
        <v>166</v>
      </c>
      <c r="C100" s="76">
        <v>76</v>
      </c>
      <c r="D100" s="76" t="s">
        <v>296</v>
      </c>
      <c r="E100" s="77">
        <v>400000</v>
      </c>
      <c r="F100" s="77">
        <f t="shared" si="1"/>
        <v>30400000</v>
      </c>
    </row>
    <row r="101" spans="1:6" x14ac:dyDescent="0.25">
      <c r="A101" s="70" t="s">
        <v>28</v>
      </c>
      <c r="B101" s="70" t="s">
        <v>29</v>
      </c>
      <c r="C101" s="71"/>
      <c r="D101" s="71"/>
      <c r="E101" s="72"/>
      <c r="F101" s="73">
        <f>F102</f>
        <v>19272000</v>
      </c>
    </row>
    <row r="102" spans="1:6" x14ac:dyDescent="0.25">
      <c r="A102" s="74"/>
      <c r="B102" s="80" t="s">
        <v>161</v>
      </c>
      <c r="C102" s="76">
        <v>24</v>
      </c>
      <c r="D102" s="76" t="s">
        <v>296</v>
      </c>
      <c r="E102" s="77">
        <v>803000</v>
      </c>
      <c r="F102" s="77">
        <f>C102*E102</f>
        <v>19272000</v>
      </c>
    </row>
    <row r="103" spans="1:6" x14ac:dyDescent="0.25">
      <c r="A103" s="70" t="s">
        <v>18</v>
      </c>
      <c r="B103" s="70" t="s">
        <v>19</v>
      </c>
      <c r="C103" s="71"/>
      <c r="D103" s="71"/>
      <c r="E103" s="72"/>
      <c r="F103" s="73">
        <f>F104</f>
        <v>58652000</v>
      </c>
    </row>
    <row r="104" spans="1:6" x14ac:dyDescent="0.25">
      <c r="A104" s="74"/>
      <c r="B104" s="80" t="s">
        <v>157</v>
      </c>
      <c r="C104" s="76">
        <v>172</v>
      </c>
      <c r="D104" s="76" t="s">
        <v>296</v>
      </c>
      <c r="E104" s="77">
        <v>341000</v>
      </c>
      <c r="F104" s="77">
        <f>C104*E104</f>
        <v>58652000</v>
      </c>
    </row>
    <row r="105" spans="1:6" x14ac:dyDescent="0.25">
      <c r="A105" s="66" t="s">
        <v>42</v>
      </c>
      <c r="B105" s="66" t="s">
        <v>43</v>
      </c>
      <c r="C105" s="67"/>
      <c r="D105" s="67"/>
      <c r="E105" s="68"/>
      <c r="F105" s="69">
        <f>F106+F108+F110+F112+F114+F116</f>
        <v>194497000</v>
      </c>
    </row>
    <row r="106" spans="1:6" x14ac:dyDescent="0.25">
      <c r="A106" s="70" t="s">
        <v>22</v>
      </c>
      <c r="B106" s="70" t="s">
        <v>23</v>
      </c>
      <c r="C106" s="71"/>
      <c r="D106" s="71"/>
      <c r="E106" s="72"/>
      <c r="F106" s="73">
        <f>F107</f>
        <v>48983000</v>
      </c>
    </row>
    <row r="107" spans="1:6" ht="30" x14ac:dyDescent="0.25">
      <c r="A107" s="74"/>
      <c r="B107" s="80" t="s">
        <v>154</v>
      </c>
      <c r="C107" s="76">
        <v>1</v>
      </c>
      <c r="D107" s="76" t="s">
        <v>298</v>
      </c>
      <c r="E107" s="37">
        <v>48983000</v>
      </c>
      <c r="F107" s="77">
        <f>C107*E107</f>
        <v>48983000</v>
      </c>
    </row>
    <row r="108" spans="1:6" x14ac:dyDescent="0.25">
      <c r="A108" s="70" t="s">
        <v>14</v>
      </c>
      <c r="B108" s="70" t="s">
        <v>15</v>
      </c>
      <c r="C108" s="71"/>
      <c r="D108" s="71"/>
      <c r="E108" s="72"/>
      <c r="F108" s="73">
        <f>F109</f>
        <v>10000000</v>
      </c>
    </row>
    <row r="109" spans="1:6" x14ac:dyDescent="0.25">
      <c r="A109" s="74"/>
      <c r="B109" s="80" t="s">
        <v>155</v>
      </c>
      <c r="C109" s="76">
        <v>25</v>
      </c>
      <c r="D109" s="76" t="s">
        <v>296</v>
      </c>
      <c r="E109" s="77">
        <v>400000</v>
      </c>
      <c r="F109" s="77">
        <f>C109*E109</f>
        <v>10000000</v>
      </c>
    </row>
    <row r="110" spans="1:6" x14ac:dyDescent="0.25">
      <c r="A110" s="70" t="s">
        <v>90</v>
      </c>
      <c r="B110" s="70" t="s">
        <v>91</v>
      </c>
      <c r="C110" s="71"/>
      <c r="D110" s="71"/>
      <c r="E110" s="72"/>
      <c r="F110" s="73">
        <f>F111</f>
        <v>6000000</v>
      </c>
    </row>
    <row r="111" spans="1:6" x14ac:dyDescent="0.25">
      <c r="A111" s="74"/>
      <c r="B111" s="80" t="s">
        <v>159</v>
      </c>
      <c r="C111" s="76">
        <v>3</v>
      </c>
      <c r="D111" s="76" t="s">
        <v>298</v>
      </c>
      <c r="E111" s="77">
        <v>2000000</v>
      </c>
      <c r="F111" s="77">
        <f>C111*E111</f>
        <v>6000000</v>
      </c>
    </row>
    <row r="112" spans="1:6" x14ac:dyDescent="0.25">
      <c r="A112" s="70" t="s">
        <v>16</v>
      </c>
      <c r="B112" s="70" t="s">
        <v>17</v>
      </c>
      <c r="C112" s="71"/>
      <c r="D112" s="71"/>
      <c r="E112" s="72"/>
      <c r="F112" s="73">
        <f>F113</f>
        <v>33300000</v>
      </c>
    </row>
    <row r="113" spans="1:6" x14ac:dyDescent="0.25">
      <c r="A113" s="74"/>
      <c r="B113" s="80" t="s">
        <v>156</v>
      </c>
      <c r="C113" s="76">
        <v>37</v>
      </c>
      <c r="D113" s="76" t="s">
        <v>297</v>
      </c>
      <c r="E113" s="37">
        <v>900000</v>
      </c>
      <c r="F113" s="77">
        <f>C113*E113</f>
        <v>33300000</v>
      </c>
    </row>
    <row r="114" spans="1:6" x14ac:dyDescent="0.25">
      <c r="A114" s="70" t="s">
        <v>28</v>
      </c>
      <c r="B114" s="70" t="s">
        <v>29</v>
      </c>
      <c r="C114" s="71"/>
      <c r="D114" s="71"/>
      <c r="E114" s="72"/>
      <c r="F114" s="73">
        <f>F115</f>
        <v>44548000</v>
      </c>
    </row>
    <row r="115" spans="1:6" x14ac:dyDescent="0.25">
      <c r="A115" s="74"/>
      <c r="B115" s="75" t="s">
        <v>334</v>
      </c>
      <c r="C115" s="76">
        <v>148</v>
      </c>
      <c r="D115" s="76" t="s">
        <v>296</v>
      </c>
      <c r="E115" s="37">
        <v>301000</v>
      </c>
      <c r="F115" s="77">
        <f>C115*E115</f>
        <v>44548000</v>
      </c>
    </row>
    <row r="116" spans="1:6" x14ac:dyDescent="0.25">
      <c r="A116" s="70" t="s">
        <v>18</v>
      </c>
      <c r="B116" s="70" t="s">
        <v>19</v>
      </c>
      <c r="C116" s="71"/>
      <c r="D116" s="71"/>
      <c r="E116" s="72"/>
      <c r="F116" s="73">
        <f>F117</f>
        <v>51666000</v>
      </c>
    </row>
    <row r="117" spans="1:6" x14ac:dyDescent="0.25">
      <c r="A117" s="74"/>
      <c r="B117" s="80" t="s">
        <v>157</v>
      </c>
      <c r="C117" s="76">
        <v>79</v>
      </c>
      <c r="D117" s="76" t="s">
        <v>296</v>
      </c>
      <c r="E117" s="37">
        <v>654000</v>
      </c>
      <c r="F117" s="77">
        <f>C117*E117</f>
        <v>51666000</v>
      </c>
    </row>
    <row r="118" spans="1:6" x14ac:dyDescent="0.25">
      <c r="A118" s="66" t="s">
        <v>44</v>
      </c>
      <c r="B118" s="66" t="s">
        <v>45</v>
      </c>
      <c r="C118" s="67"/>
      <c r="D118" s="67"/>
      <c r="E118" s="68"/>
      <c r="F118" s="69">
        <f>F119+F121+F123+F125+F127+F129+F131</f>
        <v>434498000</v>
      </c>
    </row>
    <row r="119" spans="1:6" x14ac:dyDescent="0.25">
      <c r="A119" s="70" t="s">
        <v>22</v>
      </c>
      <c r="B119" s="70" t="s">
        <v>23</v>
      </c>
      <c r="C119" s="71"/>
      <c r="D119" s="71"/>
      <c r="E119" s="72"/>
      <c r="F119" s="73">
        <f>F120</f>
        <v>157470000</v>
      </c>
    </row>
    <row r="120" spans="1:6" ht="30" x14ac:dyDescent="0.25">
      <c r="A120" s="74"/>
      <c r="B120" s="80" t="s">
        <v>154</v>
      </c>
      <c r="C120" s="76">
        <v>6</v>
      </c>
      <c r="D120" s="76" t="s">
        <v>298</v>
      </c>
      <c r="E120" s="77">
        <v>26245000</v>
      </c>
      <c r="F120" s="77">
        <f>C120*E120</f>
        <v>157470000</v>
      </c>
    </row>
    <row r="121" spans="1:6" x14ac:dyDescent="0.25">
      <c r="A121" s="70" t="s">
        <v>14</v>
      </c>
      <c r="B121" s="70" t="s">
        <v>15</v>
      </c>
      <c r="C121" s="71"/>
      <c r="D121" s="71"/>
      <c r="E121" s="72"/>
      <c r="F121" s="73">
        <f>F122</f>
        <v>18095000</v>
      </c>
    </row>
    <row r="122" spans="1:6" x14ac:dyDescent="0.25">
      <c r="A122" s="74"/>
      <c r="B122" s="80" t="s">
        <v>155</v>
      </c>
      <c r="C122" s="76">
        <v>55</v>
      </c>
      <c r="D122" s="76" t="s">
        <v>296</v>
      </c>
      <c r="E122" s="77">
        <v>329000</v>
      </c>
      <c r="F122" s="77">
        <f>C122*E122</f>
        <v>18095000</v>
      </c>
    </row>
    <row r="123" spans="1:6" x14ac:dyDescent="0.25">
      <c r="A123" s="70" t="s">
        <v>90</v>
      </c>
      <c r="B123" s="70" t="s">
        <v>91</v>
      </c>
      <c r="C123" s="71"/>
      <c r="D123" s="71"/>
      <c r="E123" s="72"/>
      <c r="F123" s="73">
        <f>F124</f>
        <v>2000000</v>
      </c>
    </row>
    <row r="124" spans="1:6" x14ac:dyDescent="0.25">
      <c r="A124" s="74"/>
      <c r="B124" s="80" t="s">
        <v>159</v>
      </c>
      <c r="C124" s="76">
        <v>1</v>
      </c>
      <c r="D124" s="76" t="s">
        <v>298</v>
      </c>
      <c r="E124" s="77">
        <v>2000000</v>
      </c>
      <c r="F124" s="77">
        <f>C124*E124</f>
        <v>2000000</v>
      </c>
    </row>
    <row r="125" spans="1:6" x14ac:dyDescent="0.25">
      <c r="A125" s="70" t="s">
        <v>24</v>
      </c>
      <c r="B125" s="70" t="s">
        <v>25</v>
      </c>
      <c r="C125" s="71"/>
      <c r="D125" s="71"/>
      <c r="E125" s="72"/>
      <c r="F125" s="73">
        <f>F126</f>
        <v>2000000</v>
      </c>
    </row>
    <row r="126" spans="1:6" x14ac:dyDescent="0.25">
      <c r="A126" s="74"/>
      <c r="B126" s="80" t="s">
        <v>159</v>
      </c>
      <c r="C126" s="76">
        <v>1</v>
      </c>
      <c r="D126" s="76" t="s">
        <v>298</v>
      </c>
      <c r="E126" s="77">
        <v>2000000</v>
      </c>
      <c r="F126" s="77">
        <f>C126*E126</f>
        <v>2000000</v>
      </c>
    </row>
    <row r="127" spans="1:6" x14ac:dyDescent="0.25">
      <c r="A127" s="70" t="s">
        <v>16</v>
      </c>
      <c r="B127" s="70" t="s">
        <v>17</v>
      </c>
      <c r="C127" s="71"/>
      <c r="D127" s="71"/>
      <c r="E127" s="72"/>
      <c r="F127" s="73">
        <f>F128</f>
        <v>136800000</v>
      </c>
    </row>
    <row r="128" spans="1:6" x14ac:dyDescent="0.25">
      <c r="A128" s="74"/>
      <c r="B128" s="80" t="s">
        <v>156</v>
      </c>
      <c r="C128" s="76">
        <v>152</v>
      </c>
      <c r="D128" s="76" t="s">
        <v>297</v>
      </c>
      <c r="E128" s="77">
        <v>900000</v>
      </c>
      <c r="F128" s="77">
        <f>C128*E128</f>
        <v>136800000</v>
      </c>
    </row>
    <row r="129" spans="1:6" x14ac:dyDescent="0.25">
      <c r="A129" s="70" t="s">
        <v>18</v>
      </c>
      <c r="B129" s="70" t="s">
        <v>19</v>
      </c>
      <c r="C129" s="71"/>
      <c r="D129" s="71"/>
      <c r="E129" s="72"/>
      <c r="F129" s="73">
        <f>F130</f>
        <v>71060000</v>
      </c>
    </row>
    <row r="130" spans="1:6" x14ac:dyDescent="0.25">
      <c r="A130" s="74"/>
      <c r="B130" s="80" t="s">
        <v>157</v>
      </c>
      <c r="C130" s="76">
        <v>220</v>
      </c>
      <c r="D130" s="76" t="s">
        <v>296</v>
      </c>
      <c r="E130" s="77">
        <v>323000</v>
      </c>
      <c r="F130" s="77">
        <f>C130*E130</f>
        <v>71060000</v>
      </c>
    </row>
    <row r="131" spans="1:6" x14ac:dyDescent="0.25">
      <c r="A131" s="70" t="s">
        <v>33</v>
      </c>
      <c r="B131" s="70" t="s">
        <v>34</v>
      </c>
      <c r="C131" s="71"/>
      <c r="D131" s="71"/>
      <c r="E131" s="72"/>
      <c r="F131" s="73">
        <f>F132</f>
        <v>47073000</v>
      </c>
    </row>
    <row r="132" spans="1:6" x14ac:dyDescent="0.25">
      <c r="A132" s="74"/>
      <c r="B132" s="80" t="s">
        <v>162</v>
      </c>
      <c r="C132" s="76">
        <v>71</v>
      </c>
      <c r="D132" s="76" t="s">
        <v>296</v>
      </c>
      <c r="E132" s="77">
        <v>663000</v>
      </c>
      <c r="F132" s="77">
        <f>C132*E132</f>
        <v>47073000</v>
      </c>
    </row>
    <row r="133" spans="1:6" x14ac:dyDescent="0.25">
      <c r="A133" s="62" t="s">
        <v>46</v>
      </c>
      <c r="B133" s="62" t="s">
        <v>47</v>
      </c>
      <c r="C133" s="63" t="s">
        <v>11</v>
      </c>
      <c r="D133" s="63"/>
      <c r="E133" s="64"/>
      <c r="F133" s="65">
        <f>F134+F143</f>
        <v>557785000</v>
      </c>
    </row>
    <row r="134" spans="1:6" x14ac:dyDescent="0.25">
      <c r="A134" s="66" t="s">
        <v>12</v>
      </c>
      <c r="B134" s="66" t="s">
        <v>48</v>
      </c>
      <c r="C134" s="67"/>
      <c r="D134" s="67"/>
      <c r="E134" s="68"/>
      <c r="F134" s="69">
        <f>F135+F137+F139+F141</f>
        <v>86893000</v>
      </c>
    </row>
    <row r="135" spans="1:6" x14ac:dyDescent="0.25">
      <c r="A135" s="70" t="s">
        <v>22</v>
      </c>
      <c r="B135" s="70" t="s">
        <v>23</v>
      </c>
      <c r="C135" s="71"/>
      <c r="D135" s="71"/>
      <c r="E135" s="72"/>
      <c r="F135" s="73">
        <f>SUM(F136:F136)</f>
        <v>29750000</v>
      </c>
    </row>
    <row r="136" spans="1:6" ht="30" x14ac:dyDescent="0.25">
      <c r="A136" s="74"/>
      <c r="B136" s="80" t="s">
        <v>154</v>
      </c>
      <c r="C136" s="76">
        <v>5</v>
      </c>
      <c r="D136" s="76" t="s">
        <v>298</v>
      </c>
      <c r="E136" s="77">
        <v>5950000</v>
      </c>
      <c r="F136" s="77">
        <f t="shared" ref="F136" si="2">C136*E136</f>
        <v>29750000</v>
      </c>
    </row>
    <row r="137" spans="1:6" x14ac:dyDescent="0.25">
      <c r="A137" s="70" t="s">
        <v>14</v>
      </c>
      <c r="B137" s="70" t="s">
        <v>15</v>
      </c>
      <c r="C137" s="71"/>
      <c r="D137" s="71"/>
      <c r="E137" s="72"/>
      <c r="F137" s="73">
        <f>F138</f>
        <v>10650000</v>
      </c>
    </row>
    <row r="138" spans="1:6" x14ac:dyDescent="0.25">
      <c r="A138" s="74"/>
      <c r="B138" s="80" t="s">
        <v>155</v>
      </c>
      <c r="C138" s="76">
        <v>30</v>
      </c>
      <c r="D138" s="76" t="s">
        <v>296</v>
      </c>
      <c r="E138" s="77">
        <v>355000</v>
      </c>
      <c r="F138" s="77">
        <f>C138*E138</f>
        <v>10650000</v>
      </c>
    </row>
    <row r="139" spans="1:6" x14ac:dyDescent="0.25">
      <c r="A139" s="70" t="s">
        <v>16</v>
      </c>
      <c r="B139" s="70" t="s">
        <v>17</v>
      </c>
      <c r="C139" s="71"/>
      <c r="D139" s="71"/>
      <c r="E139" s="72"/>
      <c r="F139" s="73">
        <f>F140</f>
        <v>21600000</v>
      </c>
    </row>
    <row r="140" spans="1:6" x14ac:dyDescent="0.25">
      <c r="A140" s="74"/>
      <c r="B140" s="80" t="s">
        <v>156</v>
      </c>
      <c r="C140" s="76">
        <v>24</v>
      </c>
      <c r="D140" s="76" t="s">
        <v>297</v>
      </c>
      <c r="E140" s="77">
        <v>900000</v>
      </c>
      <c r="F140" s="77">
        <f>C140*E140</f>
        <v>21600000</v>
      </c>
    </row>
    <row r="141" spans="1:6" x14ac:dyDescent="0.25">
      <c r="A141" s="70" t="s">
        <v>18</v>
      </c>
      <c r="B141" s="70" t="s">
        <v>19</v>
      </c>
      <c r="C141" s="71"/>
      <c r="D141" s="71"/>
      <c r="E141" s="72"/>
      <c r="F141" s="73">
        <f>F142</f>
        <v>24893000</v>
      </c>
    </row>
    <row r="142" spans="1:6" x14ac:dyDescent="0.25">
      <c r="A142" s="74"/>
      <c r="B142" s="80" t="s">
        <v>157</v>
      </c>
      <c r="C142" s="76">
        <v>73</v>
      </c>
      <c r="D142" s="76" t="s">
        <v>296</v>
      </c>
      <c r="E142" s="77">
        <v>341000</v>
      </c>
      <c r="F142" s="77">
        <f>C142*E142</f>
        <v>24893000</v>
      </c>
    </row>
    <row r="143" spans="1:6" x14ac:dyDescent="0.25">
      <c r="A143" s="66" t="s">
        <v>26</v>
      </c>
      <c r="B143" s="66" t="s">
        <v>49</v>
      </c>
      <c r="C143" s="67"/>
      <c r="D143" s="67"/>
      <c r="E143" s="68"/>
      <c r="F143" s="69">
        <f>F144+F146+F148+F150+F152</f>
        <v>470892000</v>
      </c>
    </row>
    <row r="144" spans="1:6" x14ac:dyDescent="0.25">
      <c r="A144" s="70" t="s">
        <v>22</v>
      </c>
      <c r="B144" s="70" t="s">
        <v>23</v>
      </c>
      <c r="C144" s="71"/>
      <c r="D144" s="71"/>
      <c r="E144" s="72"/>
      <c r="F144" s="73">
        <f>F145</f>
        <v>327192000</v>
      </c>
    </row>
    <row r="145" spans="1:6" ht="30" x14ac:dyDescent="0.25">
      <c r="A145" s="74"/>
      <c r="B145" s="80" t="s">
        <v>167</v>
      </c>
      <c r="C145" s="76">
        <v>1</v>
      </c>
      <c r="D145" s="76" t="s">
        <v>298</v>
      </c>
      <c r="E145" s="77">
        <v>327192000</v>
      </c>
      <c r="F145" s="77">
        <f>C145*E145</f>
        <v>327192000</v>
      </c>
    </row>
    <row r="146" spans="1:6" x14ac:dyDescent="0.25">
      <c r="A146" s="70" t="s">
        <v>14</v>
      </c>
      <c r="B146" s="70" t="s">
        <v>15</v>
      </c>
      <c r="C146" s="71"/>
      <c r="D146" s="71"/>
      <c r="E146" s="72"/>
      <c r="F146" s="73">
        <f>F147</f>
        <v>12800000</v>
      </c>
    </row>
    <row r="147" spans="1:6" x14ac:dyDescent="0.25">
      <c r="A147" s="74"/>
      <c r="B147" s="80" t="s">
        <v>155</v>
      </c>
      <c r="C147" s="76">
        <v>32</v>
      </c>
      <c r="D147" s="76" t="s">
        <v>296</v>
      </c>
      <c r="E147" s="77">
        <v>400000</v>
      </c>
      <c r="F147" s="77">
        <f>C147*E147</f>
        <v>12800000</v>
      </c>
    </row>
    <row r="148" spans="1:6" x14ac:dyDescent="0.25">
      <c r="A148" s="70" t="s">
        <v>24</v>
      </c>
      <c r="B148" s="70" t="s">
        <v>25</v>
      </c>
      <c r="C148" s="71"/>
      <c r="D148" s="71"/>
      <c r="E148" s="72"/>
      <c r="F148" s="73">
        <f>F149</f>
        <v>75400000</v>
      </c>
    </row>
    <row r="149" spans="1:6" x14ac:dyDescent="0.25">
      <c r="A149" s="74"/>
      <c r="B149" s="80" t="s">
        <v>168</v>
      </c>
      <c r="C149" s="76">
        <v>2</v>
      </c>
      <c r="D149" s="76" t="s">
        <v>303</v>
      </c>
      <c r="E149" s="77">
        <v>37700000</v>
      </c>
      <c r="F149" s="77">
        <f>C149*E149</f>
        <v>75400000</v>
      </c>
    </row>
    <row r="150" spans="1:6" x14ac:dyDescent="0.25">
      <c r="A150" s="70" t="s">
        <v>16</v>
      </c>
      <c r="B150" s="70" t="s">
        <v>17</v>
      </c>
      <c r="C150" s="71"/>
      <c r="D150" s="71"/>
      <c r="E150" s="72"/>
      <c r="F150" s="73">
        <f>F151</f>
        <v>24000000</v>
      </c>
    </row>
    <row r="151" spans="1:6" x14ac:dyDescent="0.25">
      <c r="A151" s="74"/>
      <c r="B151" s="80" t="s">
        <v>156</v>
      </c>
      <c r="C151" s="76">
        <v>30</v>
      </c>
      <c r="D151" s="76" t="s">
        <v>297</v>
      </c>
      <c r="E151" s="77">
        <v>800000</v>
      </c>
      <c r="F151" s="77">
        <f>C151*E151</f>
        <v>24000000</v>
      </c>
    </row>
    <row r="152" spans="1:6" x14ac:dyDescent="0.25">
      <c r="A152" s="70" t="s">
        <v>28</v>
      </c>
      <c r="B152" s="70" t="s">
        <v>29</v>
      </c>
      <c r="C152" s="71"/>
      <c r="D152" s="71"/>
      <c r="E152" s="72"/>
      <c r="F152" s="73">
        <f>F153</f>
        <v>31500000</v>
      </c>
    </row>
    <row r="153" spans="1:6" x14ac:dyDescent="0.25">
      <c r="A153" s="74"/>
      <c r="B153" s="80" t="s">
        <v>161</v>
      </c>
      <c r="C153" s="76">
        <v>42</v>
      </c>
      <c r="D153" s="76" t="s">
        <v>296</v>
      </c>
      <c r="E153" s="77">
        <v>750000</v>
      </c>
      <c r="F153" s="77">
        <f>C153*E153</f>
        <v>31500000</v>
      </c>
    </row>
    <row r="154" spans="1:6" x14ac:dyDescent="0.25">
      <c r="A154" s="62" t="s">
        <v>50</v>
      </c>
      <c r="B154" s="62" t="s">
        <v>51</v>
      </c>
      <c r="C154" s="63" t="s">
        <v>11</v>
      </c>
      <c r="D154" s="63"/>
      <c r="E154" s="64"/>
      <c r="F154" s="65">
        <f>F155+F164</f>
        <v>2283823000</v>
      </c>
    </row>
    <row r="155" spans="1:6" x14ac:dyDescent="0.25">
      <c r="A155" s="66" t="s">
        <v>12</v>
      </c>
      <c r="B155" s="66" t="s">
        <v>52</v>
      </c>
      <c r="C155" s="67"/>
      <c r="D155" s="67"/>
      <c r="E155" s="68"/>
      <c r="F155" s="69">
        <f>F156+F158+F160+F162</f>
        <v>1952865000</v>
      </c>
    </row>
    <row r="156" spans="1:6" x14ac:dyDescent="0.25">
      <c r="A156" s="70" t="s">
        <v>22</v>
      </c>
      <c r="B156" s="70" t="s">
        <v>23</v>
      </c>
      <c r="C156" s="71"/>
      <c r="D156" s="71"/>
      <c r="E156" s="72"/>
      <c r="F156" s="73">
        <f>SUM(F157:F157)</f>
        <v>271800000</v>
      </c>
    </row>
    <row r="157" spans="1:6" ht="45" x14ac:dyDescent="0.25">
      <c r="A157" s="74"/>
      <c r="B157" s="75" t="s">
        <v>331</v>
      </c>
      <c r="C157" s="76">
        <v>1812</v>
      </c>
      <c r="D157" s="76" t="s">
        <v>296</v>
      </c>
      <c r="E157" s="77">
        <v>150000</v>
      </c>
      <c r="F157" s="77">
        <f>C157*E157</f>
        <v>271800000</v>
      </c>
    </row>
    <row r="158" spans="1:6" x14ac:dyDescent="0.25">
      <c r="A158" s="70" t="s">
        <v>16</v>
      </c>
      <c r="B158" s="70" t="s">
        <v>17</v>
      </c>
      <c r="C158" s="71"/>
      <c r="D158" s="71"/>
      <c r="E158" s="72"/>
      <c r="F158" s="73">
        <f>F159</f>
        <v>90000000</v>
      </c>
    </row>
    <row r="159" spans="1:6" x14ac:dyDescent="0.25">
      <c r="A159" s="74"/>
      <c r="B159" s="80" t="s">
        <v>156</v>
      </c>
      <c r="C159" s="76">
        <v>100</v>
      </c>
      <c r="D159" s="76" t="s">
        <v>297</v>
      </c>
      <c r="E159" s="77">
        <v>900000</v>
      </c>
      <c r="F159" s="77">
        <f>C159*E159</f>
        <v>90000000</v>
      </c>
    </row>
    <row r="160" spans="1:6" x14ac:dyDescent="0.25">
      <c r="A160" s="70" t="s">
        <v>28</v>
      </c>
      <c r="B160" s="70" t="s">
        <v>29</v>
      </c>
      <c r="C160" s="71"/>
      <c r="D160" s="71"/>
      <c r="E160" s="72"/>
      <c r="F160" s="73">
        <f>F161</f>
        <v>1260000000</v>
      </c>
    </row>
    <row r="161" spans="1:6" x14ac:dyDescent="0.25">
      <c r="A161" s="74"/>
      <c r="B161" s="80" t="s">
        <v>161</v>
      </c>
      <c r="C161" s="76">
        <v>1400</v>
      </c>
      <c r="D161" s="76" t="s">
        <v>305</v>
      </c>
      <c r="E161" s="77">
        <v>900000</v>
      </c>
      <c r="F161" s="77">
        <f>C161*E161</f>
        <v>1260000000</v>
      </c>
    </row>
    <row r="162" spans="1:6" x14ac:dyDescent="0.25">
      <c r="A162" s="70" t="s">
        <v>18</v>
      </c>
      <c r="B162" s="70" t="s">
        <v>19</v>
      </c>
      <c r="C162" s="71"/>
      <c r="D162" s="71"/>
      <c r="E162" s="72"/>
      <c r="F162" s="73">
        <f>F163</f>
        <v>331065000</v>
      </c>
    </row>
    <row r="163" spans="1:6" x14ac:dyDescent="0.25">
      <c r="A163" s="74"/>
      <c r="B163" s="80" t="s">
        <v>157</v>
      </c>
      <c r="C163" s="76">
        <v>1051</v>
      </c>
      <c r="D163" s="76" t="s">
        <v>296</v>
      </c>
      <c r="E163" s="77">
        <v>315000</v>
      </c>
      <c r="F163" s="77">
        <f>C163*E163</f>
        <v>331065000</v>
      </c>
    </row>
    <row r="164" spans="1:6" x14ac:dyDescent="0.25">
      <c r="A164" s="66" t="s">
        <v>26</v>
      </c>
      <c r="B164" s="66" t="s">
        <v>53</v>
      </c>
      <c r="C164" s="67"/>
      <c r="D164" s="67"/>
      <c r="E164" s="68"/>
      <c r="F164" s="69">
        <f>F165+F167+F169+F171+F173</f>
        <v>330958000</v>
      </c>
    </row>
    <row r="165" spans="1:6" x14ac:dyDescent="0.25">
      <c r="A165" s="70" t="s">
        <v>22</v>
      </c>
      <c r="B165" s="70" t="s">
        <v>23</v>
      </c>
      <c r="C165" s="71"/>
      <c r="D165" s="71"/>
      <c r="E165" s="72"/>
      <c r="F165" s="73">
        <f>F166</f>
        <v>53918000</v>
      </c>
    </row>
    <row r="166" spans="1:6" ht="30" x14ac:dyDescent="0.25">
      <c r="A166" s="74"/>
      <c r="B166" s="80" t="s">
        <v>154</v>
      </c>
      <c r="C166" s="76">
        <v>1</v>
      </c>
      <c r="D166" s="76" t="s">
        <v>303</v>
      </c>
      <c r="E166" s="77">
        <v>53918000</v>
      </c>
      <c r="F166" s="77">
        <f>C166*E166</f>
        <v>53918000</v>
      </c>
    </row>
    <row r="167" spans="1:6" x14ac:dyDescent="0.25">
      <c r="A167" s="70" t="s">
        <v>14</v>
      </c>
      <c r="B167" s="70" t="s">
        <v>15</v>
      </c>
      <c r="C167" s="71"/>
      <c r="D167" s="71"/>
      <c r="E167" s="72"/>
      <c r="F167" s="73">
        <f>F168</f>
        <v>4355000</v>
      </c>
    </row>
    <row r="168" spans="1:6" x14ac:dyDescent="0.25">
      <c r="A168" s="74"/>
      <c r="B168" s="80" t="s">
        <v>155</v>
      </c>
      <c r="C168" s="76">
        <v>13</v>
      </c>
      <c r="D168" s="76" t="s">
        <v>296</v>
      </c>
      <c r="E168" s="77">
        <v>335000</v>
      </c>
      <c r="F168" s="77">
        <f>C168*E168</f>
        <v>4355000</v>
      </c>
    </row>
    <row r="169" spans="1:6" x14ac:dyDescent="0.25">
      <c r="A169" s="70" t="s">
        <v>90</v>
      </c>
      <c r="B169" s="70" t="s">
        <v>91</v>
      </c>
      <c r="C169" s="71"/>
      <c r="D169" s="71"/>
      <c r="E169" s="72"/>
      <c r="F169" s="73">
        <f>F170</f>
        <v>6000000</v>
      </c>
    </row>
    <row r="170" spans="1:6" x14ac:dyDescent="0.25">
      <c r="A170" s="74"/>
      <c r="B170" s="80" t="s">
        <v>159</v>
      </c>
      <c r="C170" s="76">
        <v>3</v>
      </c>
      <c r="D170" s="76" t="s">
        <v>298</v>
      </c>
      <c r="E170" s="77">
        <v>2000000</v>
      </c>
      <c r="F170" s="77">
        <f>C170*E170</f>
        <v>6000000</v>
      </c>
    </row>
    <row r="171" spans="1:6" x14ac:dyDescent="0.25">
      <c r="A171" s="70" t="s">
        <v>16</v>
      </c>
      <c r="B171" s="70" t="s">
        <v>17</v>
      </c>
      <c r="C171" s="71"/>
      <c r="D171" s="71"/>
      <c r="E171" s="72"/>
      <c r="F171" s="73">
        <f>F172</f>
        <v>205485000</v>
      </c>
    </row>
    <row r="172" spans="1:6" ht="30" x14ac:dyDescent="0.25">
      <c r="A172" s="74"/>
      <c r="B172" s="80" t="s">
        <v>170</v>
      </c>
      <c r="C172" s="76">
        <v>285</v>
      </c>
      <c r="D172" s="76" t="s">
        <v>297</v>
      </c>
      <c r="E172" s="77">
        <v>721000</v>
      </c>
      <c r="F172" s="77">
        <f>C172*E172</f>
        <v>205485000</v>
      </c>
    </row>
    <row r="173" spans="1:6" x14ac:dyDescent="0.25">
      <c r="A173" s="70" t="s">
        <v>18</v>
      </c>
      <c r="B173" s="70" t="s">
        <v>19</v>
      </c>
      <c r="C173" s="71"/>
      <c r="D173" s="71"/>
      <c r="E173" s="72"/>
      <c r="F173" s="73">
        <f>F174</f>
        <v>61200000</v>
      </c>
    </row>
    <row r="174" spans="1:6" x14ac:dyDescent="0.25">
      <c r="A174" s="74"/>
      <c r="B174" s="80" t="s">
        <v>157</v>
      </c>
      <c r="C174" s="76">
        <v>180</v>
      </c>
      <c r="D174" s="76" t="s">
        <v>296</v>
      </c>
      <c r="E174" s="77">
        <v>340000</v>
      </c>
      <c r="F174" s="77">
        <f>C174*E174</f>
        <v>61200000</v>
      </c>
    </row>
    <row r="175" spans="1:6" ht="30" x14ac:dyDescent="0.25">
      <c r="A175" s="58" t="s">
        <v>54</v>
      </c>
      <c r="B175" s="58" t="s">
        <v>55</v>
      </c>
      <c r="C175" s="59" t="s">
        <v>56</v>
      </c>
      <c r="D175" s="59" t="s">
        <v>295</v>
      </c>
      <c r="E175" s="60"/>
      <c r="F175" s="61">
        <f>F176+F184+F203</f>
        <v>550352000</v>
      </c>
    </row>
    <row r="176" spans="1:6" x14ac:dyDescent="0.25">
      <c r="A176" s="62" t="s">
        <v>9</v>
      </c>
      <c r="B176" s="62" t="s">
        <v>57</v>
      </c>
      <c r="C176" s="63" t="s">
        <v>11</v>
      </c>
      <c r="D176" s="63"/>
      <c r="E176" s="64"/>
      <c r="F176" s="65">
        <f>F177</f>
        <v>83990000</v>
      </c>
    </row>
    <row r="177" spans="1:6" ht="30" x14ac:dyDescent="0.25">
      <c r="A177" s="66" t="s">
        <v>12</v>
      </c>
      <c r="B177" s="66" t="s">
        <v>58</v>
      </c>
      <c r="C177" s="67"/>
      <c r="D177" s="67"/>
      <c r="E177" s="68"/>
      <c r="F177" s="69">
        <f>F178+F180+F182</f>
        <v>83990000</v>
      </c>
    </row>
    <row r="178" spans="1:6" x14ac:dyDescent="0.25">
      <c r="A178" s="70" t="s">
        <v>22</v>
      </c>
      <c r="B178" s="70" t="s">
        <v>23</v>
      </c>
      <c r="C178" s="71"/>
      <c r="D178" s="71"/>
      <c r="E178" s="72"/>
      <c r="F178" s="73">
        <f>F179</f>
        <v>80850000</v>
      </c>
    </row>
    <row r="179" spans="1:6" ht="30" x14ac:dyDescent="0.25">
      <c r="A179" s="74"/>
      <c r="B179" s="80" t="s">
        <v>154</v>
      </c>
      <c r="C179" s="76">
        <v>1</v>
      </c>
      <c r="D179" s="76" t="s">
        <v>298</v>
      </c>
      <c r="E179" s="77">
        <v>80850000</v>
      </c>
      <c r="F179" s="77">
        <f>C179*E179</f>
        <v>80850000</v>
      </c>
    </row>
    <row r="180" spans="1:6" x14ac:dyDescent="0.25">
      <c r="A180" s="70" t="s">
        <v>16</v>
      </c>
      <c r="B180" s="70" t="s">
        <v>17</v>
      </c>
      <c r="C180" s="71"/>
      <c r="D180" s="71"/>
      <c r="E180" s="72"/>
      <c r="F180" s="73">
        <f>F181</f>
        <v>2000000</v>
      </c>
    </row>
    <row r="181" spans="1:6" x14ac:dyDescent="0.25">
      <c r="A181" s="74"/>
      <c r="B181" s="80" t="s">
        <v>156</v>
      </c>
      <c r="C181" s="76">
        <v>2</v>
      </c>
      <c r="D181" s="76" t="s">
        <v>297</v>
      </c>
      <c r="E181" s="77">
        <v>1000000</v>
      </c>
      <c r="F181" s="77">
        <f>C181*E181</f>
        <v>2000000</v>
      </c>
    </row>
    <row r="182" spans="1:6" x14ac:dyDescent="0.25">
      <c r="A182" s="70" t="s">
        <v>18</v>
      </c>
      <c r="B182" s="70" t="s">
        <v>19</v>
      </c>
      <c r="C182" s="71"/>
      <c r="D182" s="71"/>
      <c r="E182" s="72"/>
      <c r="F182" s="73">
        <f>F183</f>
        <v>1140000</v>
      </c>
    </row>
    <row r="183" spans="1:6" x14ac:dyDescent="0.25">
      <c r="A183" s="74"/>
      <c r="B183" s="80" t="s">
        <v>157</v>
      </c>
      <c r="C183" s="76">
        <v>5</v>
      </c>
      <c r="D183" s="76" t="s">
        <v>296</v>
      </c>
      <c r="E183" s="77">
        <v>228000</v>
      </c>
      <c r="F183" s="77">
        <f>C183*E183</f>
        <v>1140000</v>
      </c>
    </row>
    <row r="184" spans="1:6" x14ac:dyDescent="0.25">
      <c r="A184" s="62" t="s">
        <v>20</v>
      </c>
      <c r="B184" s="62" t="s">
        <v>59</v>
      </c>
      <c r="C184" s="63" t="s">
        <v>11</v>
      </c>
      <c r="D184" s="63"/>
      <c r="E184" s="64"/>
      <c r="F184" s="65">
        <f>F185</f>
        <v>396698000</v>
      </c>
    </row>
    <row r="185" spans="1:6" x14ac:dyDescent="0.25">
      <c r="A185" s="66" t="s">
        <v>12</v>
      </c>
      <c r="B185" s="66" t="s">
        <v>60</v>
      </c>
      <c r="C185" s="67"/>
      <c r="D185" s="67"/>
      <c r="E185" s="68"/>
      <c r="F185" s="69">
        <f>F186+F189+F191+F193+F195+F197+F199+F201</f>
        <v>396698000</v>
      </c>
    </row>
    <row r="186" spans="1:6" x14ac:dyDescent="0.25">
      <c r="A186" s="70" t="s">
        <v>22</v>
      </c>
      <c r="B186" s="70" t="s">
        <v>23</v>
      </c>
      <c r="C186" s="71"/>
      <c r="D186" s="71"/>
      <c r="E186" s="72"/>
      <c r="F186" s="73">
        <f>SUM(F187:F188)</f>
        <v>21111000</v>
      </c>
    </row>
    <row r="187" spans="1:6" ht="30" x14ac:dyDescent="0.25">
      <c r="A187" s="74"/>
      <c r="B187" s="80" t="s">
        <v>154</v>
      </c>
      <c r="C187" s="76">
        <v>3</v>
      </c>
      <c r="D187" s="76" t="s">
        <v>298</v>
      </c>
      <c r="E187" s="77">
        <v>6700000</v>
      </c>
      <c r="F187" s="77">
        <f t="shared" ref="F187:F188" si="3">C187*E187</f>
        <v>20100000</v>
      </c>
    </row>
    <row r="188" spans="1:6" x14ac:dyDescent="0.25">
      <c r="A188" s="74"/>
      <c r="B188" s="80" t="s">
        <v>171</v>
      </c>
      <c r="C188" s="76">
        <v>1</v>
      </c>
      <c r="D188" s="76" t="s">
        <v>303</v>
      </c>
      <c r="E188" s="77">
        <v>1011000</v>
      </c>
      <c r="F188" s="77">
        <f t="shared" si="3"/>
        <v>1011000</v>
      </c>
    </row>
    <row r="189" spans="1:6" x14ac:dyDescent="0.25">
      <c r="A189" s="70" t="s">
        <v>14</v>
      </c>
      <c r="B189" s="70" t="s">
        <v>15</v>
      </c>
      <c r="C189" s="71"/>
      <c r="D189" s="71"/>
      <c r="E189" s="72"/>
      <c r="F189" s="73">
        <f>F190</f>
        <v>3200000</v>
      </c>
    </row>
    <row r="190" spans="1:6" x14ac:dyDescent="0.25">
      <c r="A190" s="74"/>
      <c r="B190" s="80" t="s">
        <v>155</v>
      </c>
      <c r="C190" s="76">
        <v>10</v>
      </c>
      <c r="D190" s="76" t="s">
        <v>296</v>
      </c>
      <c r="E190" s="77">
        <v>320000</v>
      </c>
      <c r="F190" s="77">
        <f>C190*E190</f>
        <v>3200000</v>
      </c>
    </row>
    <row r="191" spans="1:6" x14ac:dyDescent="0.25">
      <c r="A191" s="70" t="s">
        <v>90</v>
      </c>
      <c r="B191" s="70" t="s">
        <v>91</v>
      </c>
      <c r="C191" s="71"/>
      <c r="D191" s="71"/>
      <c r="E191" s="72"/>
      <c r="F191" s="73">
        <f>F192</f>
        <v>4000000</v>
      </c>
    </row>
    <row r="192" spans="1:6" x14ac:dyDescent="0.25">
      <c r="A192" s="74"/>
      <c r="B192" s="80" t="s">
        <v>159</v>
      </c>
      <c r="C192" s="76">
        <v>2</v>
      </c>
      <c r="D192" s="76" t="s">
        <v>298</v>
      </c>
      <c r="E192" s="77">
        <v>2000000</v>
      </c>
      <c r="F192" s="77">
        <f>C192*E192</f>
        <v>4000000</v>
      </c>
    </row>
    <row r="193" spans="1:6" x14ac:dyDescent="0.25">
      <c r="A193" s="70" t="s">
        <v>16</v>
      </c>
      <c r="B193" s="70" t="s">
        <v>17</v>
      </c>
      <c r="C193" s="71"/>
      <c r="D193" s="71"/>
      <c r="E193" s="72"/>
      <c r="F193" s="73">
        <f>F194</f>
        <v>27125000</v>
      </c>
    </row>
    <row r="194" spans="1:6" x14ac:dyDescent="0.25">
      <c r="A194" s="74"/>
      <c r="B194" s="80" t="s">
        <v>156</v>
      </c>
      <c r="C194" s="76">
        <v>31</v>
      </c>
      <c r="D194" s="76" t="s">
        <v>297</v>
      </c>
      <c r="E194" s="77">
        <v>875000</v>
      </c>
      <c r="F194" s="77">
        <f>C194*E194</f>
        <v>27125000</v>
      </c>
    </row>
    <row r="195" spans="1:6" x14ac:dyDescent="0.25">
      <c r="A195" s="81">
        <v>524111</v>
      </c>
      <c r="B195" s="70" t="s">
        <v>29</v>
      </c>
      <c r="C195" s="71"/>
      <c r="D195" s="71"/>
      <c r="E195" s="72"/>
      <c r="F195" s="73">
        <f>F196</f>
        <v>5832000</v>
      </c>
    </row>
    <row r="196" spans="1:6" x14ac:dyDescent="0.25">
      <c r="A196" s="74"/>
      <c r="B196" s="75" t="s">
        <v>334</v>
      </c>
      <c r="C196" s="76">
        <v>8</v>
      </c>
      <c r="D196" s="76" t="s">
        <v>296</v>
      </c>
      <c r="E196" s="77">
        <v>729000</v>
      </c>
      <c r="F196" s="77">
        <f>C196*E196</f>
        <v>5832000</v>
      </c>
    </row>
    <row r="197" spans="1:6" x14ac:dyDescent="0.25">
      <c r="A197" s="70" t="s">
        <v>18</v>
      </c>
      <c r="B197" s="70" t="s">
        <v>19</v>
      </c>
      <c r="C197" s="71"/>
      <c r="D197" s="71"/>
      <c r="E197" s="72"/>
      <c r="F197" s="73">
        <f>F198</f>
        <v>25730000</v>
      </c>
    </row>
    <row r="198" spans="1:6" x14ac:dyDescent="0.25">
      <c r="A198" s="74"/>
      <c r="B198" s="80" t="s">
        <v>157</v>
      </c>
      <c r="C198" s="76">
        <v>83</v>
      </c>
      <c r="D198" s="76" t="s">
        <v>296</v>
      </c>
      <c r="E198" s="77">
        <v>310000</v>
      </c>
      <c r="F198" s="77">
        <f>C198*E198</f>
        <v>25730000</v>
      </c>
    </row>
    <row r="199" spans="1:6" x14ac:dyDescent="0.25">
      <c r="A199" s="70" t="s">
        <v>33</v>
      </c>
      <c r="B199" s="70" t="s">
        <v>34</v>
      </c>
      <c r="C199" s="71"/>
      <c r="D199" s="71"/>
      <c r="E199" s="72"/>
      <c r="F199" s="73">
        <f>F200</f>
        <v>62560000</v>
      </c>
    </row>
    <row r="200" spans="1:6" x14ac:dyDescent="0.25">
      <c r="A200" s="74"/>
      <c r="B200" s="80" t="s">
        <v>162</v>
      </c>
      <c r="C200" s="76">
        <v>80</v>
      </c>
      <c r="D200" s="76" t="s">
        <v>296</v>
      </c>
      <c r="E200" s="77">
        <v>782000</v>
      </c>
      <c r="F200" s="77">
        <f>C200*E200</f>
        <v>62560000</v>
      </c>
    </row>
    <row r="201" spans="1:6" x14ac:dyDescent="0.25">
      <c r="A201" s="70" t="s">
        <v>61</v>
      </c>
      <c r="B201" s="70" t="s">
        <v>62</v>
      </c>
      <c r="C201" s="71"/>
      <c r="D201" s="71"/>
      <c r="E201" s="72"/>
      <c r="F201" s="73">
        <f>F202</f>
        <v>247140000</v>
      </c>
    </row>
    <row r="202" spans="1:6" x14ac:dyDescent="0.25">
      <c r="A202" s="74"/>
      <c r="B202" s="80" t="s">
        <v>172</v>
      </c>
      <c r="C202" s="76">
        <v>3</v>
      </c>
      <c r="D202" s="76" t="s">
        <v>296</v>
      </c>
      <c r="E202" s="77">
        <v>82380000</v>
      </c>
      <c r="F202" s="77">
        <f>C202*E202</f>
        <v>247140000</v>
      </c>
    </row>
    <row r="203" spans="1:6" x14ac:dyDescent="0.25">
      <c r="A203" s="62" t="s">
        <v>46</v>
      </c>
      <c r="B203" s="62" t="s">
        <v>63</v>
      </c>
      <c r="C203" s="63" t="s">
        <v>11</v>
      </c>
      <c r="D203" s="63"/>
      <c r="E203" s="64"/>
      <c r="F203" s="65">
        <f>F204</f>
        <v>69664000</v>
      </c>
    </row>
    <row r="204" spans="1:6" x14ac:dyDescent="0.25">
      <c r="A204" s="66" t="s">
        <v>12</v>
      </c>
      <c r="B204" s="66" t="s">
        <v>64</v>
      </c>
      <c r="C204" s="67"/>
      <c r="D204" s="67"/>
      <c r="E204" s="68"/>
      <c r="F204" s="69">
        <f>F205+F207+F209</f>
        <v>69664000</v>
      </c>
    </row>
    <row r="205" spans="1:6" x14ac:dyDescent="0.25">
      <c r="A205" s="70" t="s">
        <v>22</v>
      </c>
      <c r="B205" s="70" t="s">
        <v>23</v>
      </c>
      <c r="C205" s="71"/>
      <c r="D205" s="71"/>
      <c r="E205" s="72"/>
      <c r="F205" s="73">
        <f>F206</f>
        <v>484000</v>
      </c>
    </row>
    <row r="206" spans="1:6" ht="30" x14ac:dyDescent="0.25">
      <c r="A206" s="74"/>
      <c r="B206" s="80" t="s">
        <v>154</v>
      </c>
      <c r="C206" s="76">
        <v>1</v>
      </c>
      <c r="D206" s="76" t="s">
        <v>298</v>
      </c>
      <c r="E206" s="77">
        <v>484000</v>
      </c>
      <c r="F206" s="77">
        <f>C206*E206</f>
        <v>484000</v>
      </c>
    </row>
    <row r="207" spans="1:6" x14ac:dyDescent="0.25">
      <c r="A207" s="70" t="s">
        <v>28</v>
      </c>
      <c r="B207" s="70" t="s">
        <v>29</v>
      </c>
      <c r="C207" s="71"/>
      <c r="D207" s="71"/>
      <c r="E207" s="72"/>
      <c r="F207" s="73">
        <f>F208</f>
        <v>27950000</v>
      </c>
    </row>
    <row r="208" spans="1:6" x14ac:dyDescent="0.25">
      <c r="A208" s="74"/>
      <c r="B208" s="80" t="s">
        <v>161</v>
      </c>
      <c r="C208" s="76">
        <v>43</v>
      </c>
      <c r="D208" s="76" t="s">
        <v>296</v>
      </c>
      <c r="E208" s="77">
        <v>650000</v>
      </c>
      <c r="F208" s="77">
        <f>C208*E208</f>
        <v>27950000</v>
      </c>
    </row>
    <row r="209" spans="1:6" x14ac:dyDescent="0.25">
      <c r="A209" s="70" t="s">
        <v>18</v>
      </c>
      <c r="B209" s="70" t="s">
        <v>19</v>
      </c>
      <c r="C209" s="71"/>
      <c r="D209" s="71"/>
      <c r="E209" s="72"/>
      <c r="F209" s="73">
        <f>F210</f>
        <v>41230000</v>
      </c>
    </row>
    <row r="210" spans="1:6" x14ac:dyDescent="0.25">
      <c r="A210" s="74"/>
      <c r="B210" s="80" t="s">
        <v>157</v>
      </c>
      <c r="C210" s="76">
        <v>133</v>
      </c>
      <c r="D210" s="76" t="s">
        <v>296</v>
      </c>
      <c r="E210" s="77">
        <v>310000</v>
      </c>
      <c r="F210" s="77">
        <f>C210*E210</f>
        <v>41230000</v>
      </c>
    </row>
    <row r="211" spans="1:6" ht="30" x14ac:dyDescent="0.25">
      <c r="A211" s="87" t="s">
        <v>65</v>
      </c>
      <c r="B211" s="87" t="s">
        <v>66</v>
      </c>
      <c r="C211" s="55" t="s">
        <v>67</v>
      </c>
      <c r="D211" s="55" t="s">
        <v>306</v>
      </c>
      <c r="E211" s="56"/>
      <c r="F211" s="57">
        <f>F213</f>
        <v>371256290000</v>
      </c>
    </row>
    <row r="212" spans="1:6" x14ac:dyDescent="0.25">
      <c r="A212" s="74"/>
      <c r="B212" s="79" t="s">
        <v>68</v>
      </c>
      <c r="C212" s="76"/>
      <c r="D212" s="76"/>
      <c r="E212" s="74"/>
      <c r="F212" s="74"/>
    </row>
    <row r="213" spans="1:6" ht="30" x14ac:dyDescent="0.25">
      <c r="A213" s="58" t="s">
        <v>69</v>
      </c>
      <c r="B213" s="58" t="s">
        <v>70</v>
      </c>
      <c r="C213" s="59" t="s">
        <v>67</v>
      </c>
      <c r="D213" s="59" t="s">
        <v>306</v>
      </c>
      <c r="E213" s="60"/>
      <c r="F213" s="61">
        <f>F214</f>
        <v>371256290000</v>
      </c>
    </row>
    <row r="214" spans="1:6" x14ac:dyDescent="0.25">
      <c r="A214" s="62" t="s">
        <v>71</v>
      </c>
      <c r="B214" s="62" t="s">
        <v>72</v>
      </c>
      <c r="C214" s="63" t="s">
        <v>11</v>
      </c>
      <c r="D214" s="63"/>
      <c r="E214" s="64"/>
      <c r="F214" s="65">
        <f>F215</f>
        <v>371256290000</v>
      </c>
    </row>
    <row r="215" spans="1:6" x14ac:dyDescent="0.25">
      <c r="A215" s="66" t="s">
        <v>12</v>
      </c>
      <c r="B215" s="66" t="s">
        <v>73</v>
      </c>
      <c r="C215" s="67"/>
      <c r="D215" s="67"/>
      <c r="E215" s="68"/>
      <c r="F215" s="69">
        <f>F216</f>
        <v>371256290000</v>
      </c>
    </row>
    <row r="216" spans="1:6" x14ac:dyDescent="0.25">
      <c r="A216" s="70" t="s">
        <v>74</v>
      </c>
      <c r="B216" s="70" t="s">
        <v>75</v>
      </c>
      <c r="C216" s="71"/>
      <c r="D216" s="71"/>
      <c r="E216" s="72"/>
      <c r="F216" s="73">
        <f>SUM(F217:F252)</f>
        <v>371256290000</v>
      </c>
    </row>
    <row r="217" spans="1:6" ht="30" x14ac:dyDescent="0.25">
      <c r="A217" s="74"/>
      <c r="B217" s="80" t="s">
        <v>173</v>
      </c>
      <c r="C217" s="76">
        <v>4320</v>
      </c>
      <c r="D217" s="76" t="s">
        <v>299</v>
      </c>
      <c r="E217" s="77">
        <v>3200000</v>
      </c>
      <c r="F217" s="77">
        <f t="shared" ref="F217:F252" si="4">C217*E217</f>
        <v>13824000000</v>
      </c>
    </row>
    <row r="218" spans="1:6" x14ac:dyDescent="0.25">
      <c r="A218" s="74"/>
      <c r="B218" s="80" t="s">
        <v>174</v>
      </c>
      <c r="C218" s="76">
        <v>4488</v>
      </c>
      <c r="D218" s="76" t="s">
        <v>299</v>
      </c>
      <c r="E218" s="77">
        <v>3200000</v>
      </c>
      <c r="F218" s="77">
        <f t="shared" si="4"/>
        <v>14361600000</v>
      </c>
    </row>
    <row r="219" spans="1:6" x14ac:dyDescent="0.25">
      <c r="A219" s="74"/>
      <c r="B219" s="80" t="s">
        <v>175</v>
      </c>
      <c r="C219" s="76">
        <v>2796</v>
      </c>
      <c r="D219" s="76" t="s">
        <v>299</v>
      </c>
      <c r="E219" s="77">
        <v>3100000</v>
      </c>
      <c r="F219" s="77">
        <f t="shared" si="4"/>
        <v>8667600000</v>
      </c>
    </row>
    <row r="220" spans="1:6" x14ac:dyDescent="0.25">
      <c r="A220" s="74"/>
      <c r="B220" s="80" t="s">
        <v>176</v>
      </c>
      <c r="C220" s="76">
        <v>8964</v>
      </c>
      <c r="D220" s="76" t="s">
        <v>299</v>
      </c>
      <c r="E220" s="77">
        <v>3200000</v>
      </c>
      <c r="F220" s="77">
        <f t="shared" si="4"/>
        <v>28684800000</v>
      </c>
    </row>
    <row r="221" spans="1:6" x14ac:dyDescent="0.25">
      <c r="A221" s="74"/>
      <c r="B221" s="80" t="s">
        <v>177</v>
      </c>
      <c r="C221" s="76">
        <v>7284</v>
      </c>
      <c r="D221" s="76" t="s">
        <v>299</v>
      </c>
      <c r="E221" s="77">
        <v>3400000</v>
      </c>
      <c r="F221" s="77">
        <f t="shared" si="4"/>
        <v>24765600000</v>
      </c>
    </row>
    <row r="222" spans="1:6" x14ac:dyDescent="0.25">
      <c r="A222" s="74"/>
      <c r="B222" s="80" t="s">
        <v>178</v>
      </c>
      <c r="C222" s="76">
        <v>6048</v>
      </c>
      <c r="D222" s="76" t="s">
        <v>299</v>
      </c>
      <c r="E222" s="77">
        <v>3500000</v>
      </c>
      <c r="F222" s="77">
        <f t="shared" si="4"/>
        <v>21168000000</v>
      </c>
    </row>
    <row r="223" spans="1:6" x14ac:dyDescent="0.25">
      <c r="A223" s="74"/>
      <c r="B223" s="80" t="s">
        <v>179</v>
      </c>
      <c r="C223" s="76">
        <v>5088</v>
      </c>
      <c r="D223" s="76" t="s">
        <v>299</v>
      </c>
      <c r="E223" s="77">
        <v>3500000</v>
      </c>
      <c r="F223" s="77">
        <f t="shared" si="4"/>
        <v>17808000000</v>
      </c>
    </row>
    <row r="224" spans="1:6" x14ac:dyDescent="0.25">
      <c r="A224" s="74"/>
      <c r="B224" s="80" t="s">
        <v>180</v>
      </c>
      <c r="C224" s="76">
        <v>7404</v>
      </c>
      <c r="D224" s="76" t="s">
        <v>299</v>
      </c>
      <c r="E224" s="77">
        <v>3500000</v>
      </c>
      <c r="F224" s="77">
        <f t="shared" si="4"/>
        <v>25914000000</v>
      </c>
    </row>
    <row r="225" spans="1:6" x14ac:dyDescent="0.25">
      <c r="A225" s="74"/>
      <c r="B225" s="80" t="s">
        <v>181</v>
      </c>
      <c r="C225" s="76">
        <v>6420</v>
      </c>
      <c r="D225" s="76" t="s">
        <v>299</v>
      </c>
      <c r="E225" s="77">
        <v>3500000</v>
      </c>
      <c r="F225" s="77">
        <f t="shared" si="4"/>
        <v>22470000000</v>
      </c>
    </row>
    <row r="226" spans="1:6" x14ac:dyDescent="0.25">
      <c r="A226" s="74"/>
      <c r="B226" s="80" t="s">
        <v>182</v>
      </c>
      <c r="C226" s="76">
        <v>10032</v>
      </c>
      <c r="D226" s="76" t="s">
        <v>299</v>
      </c>
      <c r="E226" s="77">
        <v>3500000</v>
      </c>
      <c r="F226" s="77">
        <f t="shared" si="4"/>
        <v>35112000000</v>
      </c>
    </row>
    <row r="227" spans="1:6" x14ac:dyDescent="0.25">
      <c r="A227" s="74"/>
      <c r="B227" s="80" t="s">
        <v>183</v>
      </c>
      <c r="C227" s="76">
        <v>9984</v>
      </c>
      <c r="D227" s="76" t="s">
        <v>299</v>
      </c>
      <c r="E227" s="77">
        <v>3500000</v>
      </c>
      <c r="F227" s="77">
        <f t="shared" si="4"/>
        <v>34944000000</v>
      </c>
    </row>
    <row r="228" spans="1:6" x14ac:dyDescent="0.25">
      <c r="A228" s="74"/>
      <c r="B228" s="80" t="s">
        <v>184</v>
      </c>
      <c r="C228" s="76">
        <v>11064</v>
      </c>
      <c r="D228" s="76" t="s">
        <v>299</v>
      </c>
      <c r="E228" s="77">
        <v>3500000</v>
      </c>
      <c r="F228" s="77">
        <f t="shared" si="4"/>
        <v>38724000000</v>
      </c>
    </row>
    <row r="229" spans="1:6" x14ac:dyDescent="0.25">
      <c r="A229" s="74"/>
      <c r="B229" s="80" t="s">
        <v>185</v>
      </c>
      <c r="C229" s="76">
        <v>8544</v>
      </c>
      <c r="D229" s="76" t="s">
        <v>299</v>
      </c>
      <c r="E229" s="77">
        <v>3350000</v>
      </c>
      <c r="F229" s="77">
        <f t="shared" si="4"/>
        <v>28622400000</v>
      </c>
    </row>
    <row r="230" spans="1:6" x14ac:dyDescent="0.25">
      <c r="A230" s="74"/>
      <c r="B230" s="80" t="s">
        <v>186</v>
      </c>
      <c r="C230" s="76">
        <v>5796</v>
      </c>
      <c r="D230" s="76" t="s">
        <v>299</v>
      </c>
      <c r="E230" s="77">
        <v>3200000</v>
      </c>
      <c r="F230" s="77">
        <f t="shared" si="4"/>
        <v>18547200000</v>
      </c>
    </row>
    <row r="231" spans="1:6" x14ac:dyDescent="0.25">
      <c r="A231" s="74"/>
      <c r="B231" s="80" t="s">
        <v>187</v>
      </c>
      <c r="C231" s="76">
        <v>2088</v>
      </c>
      <c r="D231" s="76" t="s">
        <v>299</v>
      </c>
      <c r="E231" s="77">
        <v>3921000</v>
      </c>
      <c r="F231" s="77">
        <f t="shared" si="4"/>
        <v>8187048000</v>
      </c>
    </row>
    <row r="232" spans="1:6" x14ac:dyDescent="0.25">
      <c r="A232" s="74"/>
      <c r="B232" s="80" t="s">
        <v>188</v>
      </c>
      <c r="C232" s="76">
        <v>2088</v>
      </c>
      <c r="D232" s="76" t="s">
        <v>299</v>
      </c>
      <c r="E232" s="77">
        <v>4150000</v>
      </c>
      <c r="F232" s="77">
        <f t="shared" si="4"/>
        <v>8665200000</v>
      </c>
    </row>
    <row r="233" spans="1:6" ht="30" x14ac:dyDescent="0.25">
      <c r="A233" s="74"/>
      <c r="B233" s="80" t="s">
        <v>189</v>
      </c>
      <c r="C233" s="76">
        <v>1020</v>
      </c>
      <c r="D233" s="76" t="s">
        <v>299</v>
      </c>
      <c r="E233" s="77">
        <v>3904000</v>
      </c>
      <c r="F233" s="77">
        <f t="shared" si="4"/>
        <v>3982080000</v>
      </c>
    </row>
    <row r="234" spans="1:6" ht="30" x14ac:dyDescent="0.25">
      <c r="A234" s="74"/>
      <c r="B234" s="80" t="s">
        <v>190</v>
      </c>
      <c r="C234" s="76">
        <v>156</v>
      </c>
      <c r="D234" s="76" t="s">
        <v>299</v>
      </c>
      <c r="E234" s="77">
        <v>4200000</v>
      </c>
      <c r="F234" s="77">
        <f t="shared" si="4"/>
        <v>655200000</v>
      </c>
    </row>
    <row r="235" spans="1:6" ht="30" x14ac:dyDescent="0.25">
      <c r="A235" s="74"/>
      <c r="B235" s="80" t="s">
        <v>191</v>
      </c>
      <c r="C235" s="76">
        <v>144</v>
      </c>
      <c r="D235" s="76" t="s">
        <v>299</v>
      </c>
      <c r="E235" s="77">
        <v>3900000</v>
      </c>
      <c r="F235" s="77">
        <f t="shared" si="4"/>
        <v>561600000</v>
      </c>
    </row>
    <row r="236" spans="1:6" ht="30" x14ac:dyDescent="0.25">
      <c r="A236" s="74"/>
      <c r="B236" s="80" t="s">
        <v>192</v>
      </c>
      <c r="C236" s="76">
        <v>216</v>
      </c>
      <c r="D236" s="76" t="s">
        <v>299</v>
      </c>
      <c r="E236" s="77">
        <v>3800000</v>
      </c>
      <c r="F236" s="77">
        <f t="shared" si="4"/>
        <v>820800000</v>
      </c>
    </row>
    <row r="237" spans="1:6" ht="30" x14ac:dyDescent="0.25">
      <c r="A237" s="74"/>
      <c r="B237" s="80" t="s">
        <v>193</v>
      </c>
      <c r="C237" s="76">
        <v>24</v>
      </c>
      <c r="D237" s="76" t="s">
        <v>299</v>
      </c>
      <c r="E237" s="77">
        <v>3450000</v>
      </c>
      <c r="F237" s="77">
        <f t="shared" si="4"/>
        <v>82800000</v>
      </c>
    </row>
    <row r="238" spans="1:6" ht="30" x14ac:dyDescent="0.25">
      <c r="A238" s="74"/>
      <c r="B238" s="80" t="s">
        <v>194</v>
      </c>
      <c r="C238" s="76">
        <v>36</v>
      </c>
      <c r="D238" s="76" t="s">
        <v>299</v>
      </c>
      <c r="E238" s="77">
        <v>3400000</v>
      </c>
      <c r="F238" s="77">
        <f t="shared" si="4"/>
        <v>122400000</v>
      </c>
    </row>
    <row r="239" spans="1:6" ht="30" x14ac:dyDescent="0.25">
      <c r="A239" s="74"/>
      <c r="B239" s="80" t="s">
        <v>195</v>
      </c>
      <c r="C239" s="76">
        <v>48</v>
      </c>
      <c r="D239" s="76" t="s">
        <v>299</v>
      </c>
      <c r="E239" s="77">
        <v>4300000</v>
      </c>
      <c r="F239" s="77">
        <f t="shared" si="4"/>
        <v>206400000</v>
      </c>
    </row>
    <row r="240" spans="1:6" ht="30" x14ac:dyDescent="0.25">
      <c r="A240" s="74"/>
      <c r="B240" s="80" t="s">
        <v>196</v>
      </c>
      <c r="C240" s="76">
        <v>48</v>
      </c>
      <c r="D240" s="76" t="s">
        <v>299</v>
      </c>
      <c r="E240" s="77">
        <v>3921000</v>
      </c>
      <c r="F240" s="77">
        <f t="shared" si="4"/>
        <v>188208000</v>
      </c>
    </row>
    <row r="241" spans="1:9" ht="30" x14ac:dyDescent="0.25">
      <c r="A241" s="74"/>
      <c r="B241" s="80" t="s">
        <v>197</v>
      </c>
      <c r="C241" s="76">
        <v>36</v>
      </c>
      <c r="D241" s="76" t="s">
        <v>299</v>
      </c>
      <c r="E241" s="77">
        <v>3500000</v>
      </c>
      <c r="F241" s="77">
        <f t="shared" si="4"/>
        <v>126000000</v>
      </c>
    </row>
    <row r="242" spans="1:9" ht="30" x14ac:dyDescent="0.25">
      <c r="A242" s="74"/>
      <c r="B242" s="80" t="s">
        <v>198</v>
      </c>
      <c r="C242" s="76">
        <v>24</v>
      </c>
      <c r="D242" s="76" t="s">
        <v>299</v>
      </c>
      <c r="E242" s="77">
        <v>3992000</v>
      </c>
      <c r="F242" s="77">
        <f t="shared" si="4"/>
        <v>95808000</v>
      </c>
    </row>
    <row r="243" spans="1:9" ht="30" x14ac:dyDescent="0.25">
      <c r="A243" s="74"/>
      <c r="B243" s="80" t="s">
        <v>199</v>
      </c>
      <c r="C243" s="76">
        <v>1020</v>
      </c>
      <c r="D243" s="76" t="s">
        <v>299</v>
      </c>
      <c r="E243" s="77">
        <v>8205000</v>
      </c>
      <c r="F243" s="77">
        <f t="shared" si="4"/>
        <v>8369100000</v>
      </c>
    </row>
    <row r="244" spans="1:9" ht="30" x14ac:dyDescent="0.25">
      <c r="A244" s="74"/>
      <c r="B244" s="80" t="s">
        <v>200</v>
      </c>
      <c r="C244" s="76">
        <v>156</v>
      </c>
      <c r="D244" s="76" t="s">
        <v>299</v>
      </c>
      <c r="E244" s="77">
        <v>8220000</v>
      </c>
      <c r="F244" s="77">
        <f t="shared" si="4"/>
        <v>1282320000</v>
      </c>
    </row>
    <row r="245" spans="1:9" ht="30" x14ac:dyDescent="0.25">
      <c r="A245" s="74"/>
      <c r="B245" s="80" t="s">
        <v>201</v>
      </c>
      <c r="C245" s="76">
        <v>144</v>
      </c>
      <c r="D245" s="76" t="s">
        <v>299</v>
      </c>
      <c r="E245" s="77">
        <v>7648000</v>
      </c>
      <c r="F245" s="77">
        <f t="shared" si="4"/>
        <v>1101312000</v>
      </c>
    </row>
    <row r="246" spans="1:9" ht="30" x14ac:dyDescent="0.25">
      <c r="A246" s="74"/>
      <c r="B246" s="80" t="s">
        <v>202</v>
      </c>
      <c r="C246" s="76">
        <v>216</v>
      </c>
      <c r="D246" s="76" t="s">
        <v>299</v>
      </c>
      <c r="E246" s="77">
        <v>7528000</v>
      </c>
      <c r="F246" s="77">
        <f t="shared" si="4"/>
        <v>1626048000</v>
      </c>
    </row>
    <row r="247" spans="1:9" ht="30" x14ac:dyDescent="0.25">
      <c r="A247" s="74"/>
      <c r="B247" s="80" t="s">
        <v>203</v>
      </c>
      <c r="C247" s="76">
        <v>24</v>
      </c>
      <c r="D247" s="76" t="s">
        <v>299</v>
      </c>
      <c r="E247" s="77">
        <v>6929000</v>
      </c>
      <c r="F247" s="77">
        <f t="shared" si="4"/>
        <v>166296000</v>
      </c>
    </row>
    <row r="248" spans="1:9" ht="30" x14ac:dyDescent="0.25">
      <c r="A248" s="74"/>
      <c r="B248" s="80" t="s">
        <v>204</v>
      </c>
      <c r="C248" s="76">
        <v>36</v>
      </c>
      <c r="D248" s="76" t="s">
        <v>299</v>
      </c>
      <c r="E248" s="77">
        <v>6985000</v>
      </c>
      <c r="F248" s="77">
        <f t="shared" si="4"/>
        <v>251460000</v>
      </c>
    </row>
    <row r="249" spans="1:9" ht="30" x14ac:dyDescent="0.25">
      <c r="A249" s="74"/>
      <c r="B249" s="80" t="s">
        <v>205</v>
      </c>
      <c r="C249" s="76">
        <v>48</v>
      </c>
      <c r="D249" s="76" t="s">
        <v>299</v>
      </c>
      <c r="E249" s="77">
        <v>9817000</v>
      </c>
      <c r="F249" s="77">
        <f t="shared" si="4"/>
        <v>471216000</v>
      </c>
    </row>
    <row r="250" spans="1:9" ht="30" x14ac:dyDescent="0.25">
      <c r="A250" s="74"/>
      <c r="B250" s="80" t="s">
        <v>206</v>
      </c>
      <c r="C250" s="76">
        <v>48</v>
      </c>
      <c r="D250" s="76" t="s">
        <v>299</v>
      </c>
      <c r="E250" s="77">
        <v>8842000</v>
      </c>
      <c r="F250" s="77">
        <f t="shared" si="4"/>
        <v>424416000</v>
      </c>
    </row>
    <row r="251" spans="1:9" ht="30" x14ac:dyDescent="0.25">
      <c r="A251" s="74"/>
      <c r="B251" s="80" t="s">
        <v>207</v>
      </c>
      <c r="C251" s="76">
        <v>36</v>
      </c>
      <c r="D251" s="76" t="s">
        <v>299</v>
      </c>
      <c r="E251" s="77">
        <v>6986000</v>
      </c>
      <c r="F251" s="77">
        <f t="shared" si="4"/>
        <v>251496000</v>
      </c>
    </row>
    <row r="252" spans="1:9" ht="30" x14ac:dyDescent="0.25">
      <c r="A252" s="74"/>
      <c r="B252" s="80" t="s">
        <v>208</v>
      </c>
      <c r="C252" s="76">
        <v>1</v>
      </c>
      <c r="D252" s="76" t="s">
        <v>299</v>
      </c>
      <c r="E252" s="77">
        <v>5882000</v>
      </c>
      <c r="F252" s="77">
        <f t="shared" si="4"/>
        <v>5882000</v>
      </c>
    </row>
    <row r="253" spans="1:9" x14ac:dyDescent="0.25">
      <c r="A253" s="88" t="s">
        <v>76</v>
      </c>
      <c r="B253" s="88" t="s">
        <v>77</v>
      </c>
      <c r="C253" s="47"/>
      <c r="D253" s="47"/>
      <c r="E253" s="48"/>
      <c r="F253" s="49">
        <f>F254</f>
        <v>86099731000</v>
      </c>
    </row>
    <row r="254" spans="1:9" x14ac:dyDescent="0.25">
      <c r="A254" s="89" t="s">
        <v>78</v>
      </c>
      <c r="B254" s="89" t="s">
        <v>79</v>
      </c>
      <c r="C254" s="51"/>
      <c r="D254" s="51"/>
      <c r="E254" s="52"/>
      <c r="F254" s="209">
        <f>F255+F412</f>
        <v>86099731000</v>
      </c>
      <c r="G254" s="91" t="s">
        <v>303</v>
      </c>
      <c r="H254" s="91">
        <v>19671000</v>
      </c>
      <c r="I254" s="92">
        <f>F254*H254</f>
        <v>1.6936678085009999E+18</v>
      </c>
    </row>
    <row r="255" spans="1:9" ht="105" x14ac:dyDescent="0.25">
      <c r="A255" s="87" t="s">
        <v>80</v>
      </c>
      <c r="B255" s="87" t="s">
        <v>81</v>
      </c>
      <c r="C255" s="55" t="s">
        <v>82</v>
      </c>
      <c r="D255" s="55" t="s">
        <v>307</v>
      </c>
      <c r="E255" s="56"/>
      <c r="F255" s="57">
        <f>F257+F293</f>
        <v>85718961000</v>
      </c>
    </row>
    <row r="256" spans="1:9" x14ac:dyDescent="0.25">
      <c r="A256" s="74"/>
      <c r="B256" s="79" t="s">
        <v>6</v>
      </c>
      <c r="C256" s="76"/>
      <c r="D256" s="76"/>
      <c r="E256" s="74"/>
      <c r="F256" s="74"/>
    </row>
    <row r="257" spans="1:6" ht="30" x14ac:dyDescent="0.25">
      <c r="A257" s="58" t="s">
        <v>83</v>
      </c>
      <c r="B257" s="58" t="s">
        <v>84</v>
      </c>
      <c r="C257" s="59" t="s">
        <v>85</v>
      </c>
      <c r="D257" s="59" t="s">
        <v>308</v>
      </c>
      <c r="E257" s="60"/>
      <c r="F257" s="61">
        <f>F258</f>
        <v>464230000</v>
      </c>
    </row>
    <row r="258" spans="1:6" x14ac:dyDescent="0.25">
      <c r="A258" s="62" t="s">
        <v>9</v>
      </c>
      <c r="B258" s="62" t="s">
        <v>86</v>
      </c>
      <c r="C258" s="63" t="s">
        <v>11</v>
      </c>
      <c r="D258" s="63"/>
      <c r="E258" s="64"/>
      <c r="F258" s="65">
        <f>F259+F268+F279</f>
        <v>464230000</v>
      </c>
    </row>
    <row r="259" spans="1:6" x14ac:dyDescent="0.25">
      <c r="A259" s="66" t="s">
        <v>12</v>
      </c>
      <c r="B259" s="66" t="s">
        <v>87</v>
      </c>
      <c r="C259" s="67"/>
      <c r="D259" s="67"/>
      <c r="E259" s="68"/>
      <c r="F259" s="69">
        <f>F260+F262+F264+F266</f>
        <v>41557000</v>
      </c>
    </row>
    <row r="260" spans="1:6" x14ac:dyDescent="0.25">
      <c r="A260" s="70" t="s">
        <v>22</v>
      </c>
      <c r="B260" s="70" t="s">
        <v>23</v>
      </c>
      <c r="C260" s="71"/>
      <c r="D260" s="71"/>
      <c r="E260" s="72"/>
      <c r="F260" s="73">
        <f>F261</f>
        <v>18653000</v>
      </c>
    </row>
    <row r="261" spans="1:6" ht="30" x14ac:dyDescent="0.25">
      <c r="A261" s="74"/>
      <c r="B261" s="80" t="s">
        <v>154</v>
      </c>
      <c r="C261" s="76">
        <v>1</v>
      </c>
      <c r="D261" s="76" t="s">
        <v>298</v>
      </c>
      <c r="E261" s="77">
        <f>18250000+403000</f>
        <v>18653000</v>
      </c>
      <c r="F261" s="77">
        <f>C261*E261</f>
        <v>18653000</v>
      </c>
    </row>
    <row r="262" spans="1:6" x14ac:dyDescent="0.25">
      <c r="A262" s="70" t="s">
        <v>90</v>
      </c>
      <c r="B262" s="70" t="s">
        <v>91</v>
      </c>
      <c r="C262" s="71"/>
      <c r="D262" s="71"/>
      <c r="E262" s="72"/>
      <c r="F262" s="73">
        <f>F263</f>
        <v>2000000</v>
      </c>
    </row>
    <row r="263" spans="1:6" x14ac:dyDescent="0.25">
      <c r="A263" s="74"/>
      <c r="B263" s="80" t="s">
        <v>159</v>
      </c>
      <c r="C263" s="76">
        <v>1</v>
      </c>
      <c r="D263" s="76" t="s">
        <v>298</v>
      </c>
      <c r="E263" s="77">
        <v>2000000</v>
      </c>
      <c r="F263" s="77">
        <f>C263*E263</f>
        <v>2000000</v>
      </c>
    </row>
    <row r="264" spans="1:6" x14ac:dyDescent="0.25">
      <c r="A264" s="70" t="s">
        <v>16</v>
      </c>
      <c r="B264" s="70" t="s">
        <v>17</v>
      </c>
      <c r="C264" s="71"/>
      <c r="D264" s="71"/>
      <c r="E264" s="72"/>
      <c r="F264" s="73">
        <f>F265</f>
        <v>7704000</v>
      </c>
    </row>
    <row r="265" spans="1:6" x14ac:dyDescent="0.25">
      <c r="A265" s="74"/>
      <c r="B265" s="80" t="s">
        <v>156</v>
      </c>
      <c r="C265" s="76">
        <v>8</v>
      </c>
      <c r="D265" s="76" t="s">
        <v>297</v>
      </c>
      <c r="E265" s="77">
        <v>963000</v>
      </c>
      <c r="F265" s="77">
        <f>C265*E265</f>
        <v>7704000</v>
      </c>
    </row>
    <row r="266" spans="1:6" x14ac:dyDescent="0.25">
      <c r="A266" s="82" t="s">
        <v>28</v>
      </c>
      <c r="B266" s="70" t="s">
        <v>327</v>
      </c>
      <c r="C266" s="71"/>
      <c r="D266" s="71"/>
      <c r="E266" s="72"/>
      <c r="F266" s="73">
        <f>F267</f>
        <v>13200000</v>
      </c>
    </row>
    <row r="267" spans="1:6" x14ac:dyDescent="0.25">
      <c r="A267" s="74"/>
      <c r="B267" s="80" t="s">
        <v>157</v>
      </c>
      <c r="C267" s="76">
        <v>20</v>
      </c>
      <c r="D267" s="76" t="s">
        <v>296</v>
      </c>
      <c r="E267" s="77">
        <v>660000</v>
      </c>
      <c r="F267" s="77">
        <f>C267*E267</f>
        <v>13200000</v>
      </c>
    </row>
    <row r="268" spans="1:6" x14ac:dyDescent="0.25">
      <c r="A268" s="66" t="s">
        <v>26</v>
      </c>
      <c r="B268" s="66" t="s">
        <v>88</v>
      </c>
      <c r="C268" s="67"/>
      <c r="D268" s="67"/>
      <c r="E268" s="68"/>
      <c r="F268" s="69">
        <f>F269+F271+F273+F277+F275</f>
        <v>33558000</v>
      </c>
    </row>
    <row r="269" spans="1:6" x14ac:dyDescent="0.25">
      <c r="A269" s="70" t="s">
        <v>22</v>
      </c>
      <c r="B269" s="70" t="s">
        <v>23</v>
      </c>
      <c r="C269" s="71"/>
      <c r="D269" s="71"/>
      <c r="E269" s="72"/>
      <c r="F269" s="73">
        <f>F270</f>
        <v>11518000</v>
      </c>
    </row>
    <row r="270" spans="1:6" ht="30" x14ac:dyDescent="0.25">
      <c r="A270" s="74"/>
      <c r="B270" s="80" t="s">
        <v>154</v>
      </c>
      <c r="C270" s="76">
        <v>1</v>
      </c>
      <c r="D270" s="76" t="s">
        <v>298</v>
      </c>
      <c r="E270" s="77">
        <v>11518000</v>
      </c>
      <c r="F270" s="77">
        <f>C270*E270</f>
        <v>11518000</v>
      </c>
    </row>
    <row r="271" spans="1:6" x14ac:dyDescent="0.25">
      <c r="A271" s="70" t="s">
        <v>14</v>
      </c>
      <c r="B271" s="70" t="s">
        <v>15</v>
      </c>
      <c r="C271" s="71"/>
      <c r="D271" s="71"/>
      <c r="E271" s="72"/>
      <c r="F271" s="73">
        <f>F272</f>
        <v>3900000</v>
      </c>
    </row>
    <row r="272" spans="1:6" x14ac:dyDescent="0.25">
      <c r="A272" s="74"/>
      <c r="B272" s="80" t="s">
        <v>155</v>
      </c>
      <c r="C272" s="76">
        <v>12</v>
      </c>
      <c r="D272" s="76" t="s">
        <v>296</v>
      </c>
      <c r="E272" s="77">
        <v>325000</v>
      </c>
      <c r="F272" s="77">
        <f>C272*E272</f>
        <v>3900000</v>
      </c>
    </row>
    <row r="273" spans="1:6" x14ac:dyDescent="0.25">
      <c r="A273" s="70" t="s">
        <v>90</v>
      </c>
      <c r="B273" s="70" t="s">
        <v>91</v>
      </c>
      <c r="C273" s="71"/>
      <c r="D273" s="71"/>
      <c r="E273" s="72"/>
      <c r="F273" s="73">
        <f>F274</f>
        <v>2000000</v>
      </c>
    </row>
    <row r="274" spans="1:6" x14ac:dyDescent="0.25">
      <c r="A274" s="74"/>
      <c r="B274" s="80" t="s">
        <v>159</v>
      </c>
      <c r="C274" s="76">
        <v>1</v>
      </c>
      <c r="D274" s="76" t="s">
        <v>298</v>
      </c>
      <c r="E274" s="77">
        <v>2000000</v>
      </c>
      <c r="F274" s="77">
        <f>C274*E274</f>
        <v>2000000</v>
      </c>
    </row>
    <row r="275" spans="1:6" x14ac:dyDescent="0.25">
      <c r="A275" s="70" t="s">
        <v>16</v>
      </c>
      <c r="B275" s="70" t="s">
        <v>17</v>
      </c>
      <c r="C275" s="71"/>
      <c r="D275" s="71"/>
      <c r="E275" s="72"/>
      <c r="F275" s="73">
        <f>F276</f>
        <v>5600000</v>
      </c>
    </row>
    <row r="276" spans="1:6" x14ac:dyDescent="0.25">
      <c r="A276" s="74"/>
      <c r="B276" s="80" t="s">
        <v>156</v>
      </c>
      <c r="C276" s="76">
        <v>7</v>
      </c>
      <c r="D276" s="76" t="s">
        <v>297</v>
      </c>
      <c r="E276" s="77">
        <v>800000</v>
      </c>
      <c r="F276" s="77">
        <f>C276*E276</f>
        <v>5600000</v>
      </c>
    </row>
    <row r="277" spans="1:6" x14ac:dyDescent="0.25">
      <c r="A277" s="82" t="s">
        <v>28</v>
      </c>
      <c r="B277" s="70" t="s">
        <v>29</v>
      </c>
      <c r="C277" s="71"/>
      <c r="D277" s="71"/>
      <c r="E277" s="72"/>
      <c r="F277" s="73">
        <f>F278</f>
        <v>10540000</v>
      </c>
    </row>
    <row r="278" spans="1:6" x14ac:dyDescent="0.25">
      <c r="A278" s="74"/>
      <c r="B278" s="75" t="s">
        <v>334</v>
      </c>
      <c r="C278" s="76">
        <v>20</v>
      </c>
      <c r="D278" s="76" t="s">
        <v>296</v>
      </c>
      <c r="E278" s="77">
        <v>527000</v>
      </c>
      <c r="F278" s="77">
        <f>C278*E278</f>
        <v>10540000</v>
      </c>
    </row>
    <row r="279" spans="1:6" x14ac:dyDescent="0.25">
      <c r="A279" s="66" t="s">
        <v>32</v>
      </c>
      <c r="B279" s="66" t="s">
        <v>89</v>
      </c>
      <c r="C279" s="67"/>
      <c r="D279" s="67"/>
      <c r="E279" s="68"/>
      <c r="F279" s="69">
        <f>F280+F282+F285+F287+F289+F291</f>
        <v>389115000</v>
      </c>
    </row>
    <row r="280" spans="1:6" x14ac:dyDescent="0.25">
      <c r="A280" s="70" t="s">
        <v>22</v>
      </c>
      <c r="B280" s="70" t="s">
        <v>23</v>
      </c>
      <c r="C280" s="71"/>
      <c r="D280" s="71"/>
      <c r="E280" s="72"/>
      <c r="F280" s="73">
        <f>F281</f>
        <v>98355000</v>
      </c>
    </row>
    <row r="281" spans="1:6" ht="30" x14ac:dyDescent="0.25">
      <c r="A281" s="74"/>
      <c r="B281" s="80" t="s">
        <v>154</v>
      </c>
      <c r="C281" s="90">
        <v>5</v>
      </c>
      <c r="D281" s="91" t="s">
        <v>303</v>
      </c>
      <c r="E281" s="91">
        <v>19671000</v>
      </c>
      <c r="F281" s="92">
        <f>C281*E281</f>
        <v>98355000</v>
      </c>
    </row>
    <row r="282" spans="1:6" x14ac:dyDescent="0.25">
      <c r="A282" s="70" t="s">
        <v>90</v>
      </c>
      <c r="B282" s="70" t="s">
        <v>91</v>
      </c>
      <c r="C282" s="71"/>
      <c r="D282" s="71"/>
      <c r="E282" s="72"/>
      <c r="F282" s="73">
        <f>F283+F284</f>
        <v>29000000</v>
      </c>
    </row>
    <row r="283" spans="1:6" x14ac:dyDescent="0.25">
      <c r="A283" s="74"/>
      <c r="B283" s="80" t="s">
        <v>209</v>
      </c>
      <c r="C283" s="76">
        <v>30</v>
      </c>
      <c r="D283" s="76" t="s">
        <v>302</v>
      </c>
      <c r="E283" s="77">
        <v>900000</v>
      </c>
      <c r="F283" s="77">
        <f>C283*E283</f>
        <v>27000000</v>
      </c>
    </row>
    <row r="284" spans="1:6" x14ac:dyDescent="0.25">
      <c r="A284" s="74"/>
      <c r="B284" s="80" t="s">
        <v>159</v>
      </c>
      <c r="C284" s="76">
        <v>1</v>
      </c>
      <c r="D284" s="76" t="s">
        <v>330</v>
      </c>
      <c r="E284" s="77">
        <v>2000000</v>
      </c>
      <c r="F284" s="77">
        <f>C284*E284</f>
        <v>2000000</v>
      </c>
    </row>
    <row r="285" spans="1:6" x14ac:dyDescent="0.25">
      <c r="A285" s="70" t="s">
        <v>24</v>
      </c>
      <c r="B285" s="70" t="s">
        <v>25</v>
      </c>
      <c r="C285" s="71"/>
      <c r="D285" s="71"/>
      <c r="E285" s="72"/>
      <c r="F285" s="73">
        <f>SUM(F286:F286)</f>
        <v>31500000</v>
      </c>
    </row>
    <row r="286" spans="1:6" x14ac:dyDescent="0.25">
      <c r="A286" s="74"/>
      <c r="B286" s="80" t="s">
        <v>210</v>
      </c>
      <c r="C286" s="76">
        <v>9</v>
      </c>
      <c r="D286" s="76" t="s">
        <v>303</v>
      </c>
      <c r="E286" s="77">
        <v>3500000</v>
      </c>
      <c r="F286" s="77">
        <f>C286*E286</f>
        <v>31500000</v>
      </c>
    </row>
    <row r="287" spans="1:6" x14ac:dyDescent="0.25">
      <c r="A287" s="70" t="s">
        <v>16</v>
      </c>
      <c r="B287" s="70" t="s">
        <v>17</v>
      </c>
      <c r="C287" s="71"/>
      <c r="D287" s="71"/>
      <c r="E287" s="72"/>
      <c r="F287" s="73">
        <f>F288</f>
        <v>12600000</v>
      </c>
    </row>
    <row r="288" spans="1:6" x14ac:dyDescent="0.25">
      <c r="A288" s="74"/>
      <c r="B288" s="80" t="s">
        <v>156</v>
      </c>
      <c r="C288" s="93">
        <v>10</v>
      </c>
      <c r="D288" s="93" t="s">
        <v>297</v>
      </c>
      <c r="E288" s="92">
        <v>1260000</v>
      </c>
      <c r="F288" s="92">
        <f>C288*E288</f>
        <v>12600000</v>
      </c>
    </row>
    <row r="289" spans="1:6" x14ac:dyDescent="0.25">
      <c r="A289" s="70" t="s">
        <v>18</v>
      </c>
      <c r="B289" s="70" t="s">
        <v>19</v>
      </c>
      <c r="C289" s="71"/>
      <c r="D289" s="71"/>
      <c r="E289" s="72"/>
      <c r="F289" s="73">
        <f>F290</f>
        <v>13650000</v>
      </c>
    </row>
    <row r="290" spans="1:6" x14ac:dyDescent="0.25">
      <c r="A290" s="74"/>
      <c r="B290" s="80" t="s">
        <v>157</v>
      </c>
      <c r="C290" s="76">
        <v>39</v>
      </c>
      <c r="D290" s="76" t="s">
        <v>296</v>
      </c>
      <c r="E290" s="77">
        <v>350000</v>
      </c>
      <c r="F290" s="77">
        <f>C290*E290</f>
        <v>13650000</v>
      </c>
    </row>
    <row r="291" spans="1:6" x14ac:dyDescent="0.25">
      <c r="A291" s="70" t="s">
        <v>30</v>
      </c>
      <c r="B291" s="70" t="s">
        <v>31</v>
      </c>
      <c r="C291" s="71"/>
      <c r="D291" s="71"/>
      <c r="E291" s="72"/>
      <c r="F291" s="73">
        <f>F292</f>
        <v>204010000</v>
      </c>
    </row>
    <row r="292" spans="1:6" x14ac:dyDescent="0.25">
      <c r="A292" s="74"/>
      <c r="B292" s="80" t="s">
        <v>163</v>
      </c>
      <c r="C292" s="76">
        <v>230</v>
      </c>
      <c r="D292" s="76" t="s">
        <v>296</v>
      </c>
      <c r="E292" s="77">
        <v>887000</v>
      </c>
      <c r="F292" s="77">
        <f>C292*E292</f>
        <v>204010000</v>
      </c>
    </row>
    <row r="293" spans="1:6" ht="30" x14ac:dyDescent="0.25">
      <c r="A293" s="58" t="s">
        <v>92</v>
      </c>
      <c r="B293" s="58" t="s">
        <v>93</v>
      </c>
      <c r="C293" s="59" t="s">
        <v>85</v>
      </c>
      <c r="D293" s="59" t="s">
        <v>308</v>
      </c>
      <c r="E293" s="60"/>
      <c r="F293" s="61">
        <f>F294+F373</f>
        <v>85254731000</v>
      </c>
    </row>
    <row r="294" spans="1:6" x14ac:dyDescent="0.25">
      <c r="A294" s="62" t="s">
        <v>94</v>
      </c>
      <c r="B294" s="62" t="s">
        <v>95</v>
      </c>
      <c r="C294" s="63" t="s">
        <v>11</v>
      </c>
      <c r="D294" s="63"/>
      <c r="E294" s="64"/>
      <c r="F294" s="65">
        <f>F295</f>
        <v>78534731000</v>
      </c>
    </row>
    <row r="295" spans="1:6" x14ac:dyDescent="0.25">
      <c r="A295" s="66" t="s">
        <v>12</v>
      </c>
      <c r="B295" s="66" t="s">
        <v>96</v>
      </c>
      <c r="C295" s="67"/>
      <c r="D295" s="67"/>
      <c r="E295" s="68"/>
      <c r="F295" s="69">
        <f>F296+F300+F304+F308+F312+F316+F320+F324+F326+F330+F334+F357+F366</f>
        <v>78534731000</v>
      </c>
    </row>
    <row r="296" spans="1:6" x14ac:dyDescent="0.25">
      <c r="A296" s="70" t="s">
        <v>97</v>
      </c>
      <c r="B296" s="70" t="s">
        <v>98</v>
      </c>
      <c r="C296" s="71"/>
      <c r="D296" s="71"/>
      <c r="E296" s="72"/>
      <c r="F296" s="73">
        <f>SUM(F297:F299)</f>
        <v>31614664000</v>
      </c>
    </row>
    <row r="297" spans="1:6" x14ac:dyDescent="0.25">
      <c r="A297" s="74"/>
      <c r="B297" s="94" t="s">
        <v>211</v>
      </c>
      <c r="C297" s="93">
        <v>1</v>
      </c>
      <c r="D297" s="93" t="s">
        <v>309</v>
      </c>
      <c r="E297" s="92">
        <v>25879618000</v>
      </c>
      <c r="F297" s="92">
        <f t="shared" ref="F297:F299" si="5">C297*E297</f>
        <v>25879618000</v>
      </c>
    </row>
    <row r="298" spans="1:6" x14ac:dyDescent="0.25">
      <c r="A298" s="74"/>
      <c r="B298" s="80" t="s">
        <v>212</v>
      </c>
      <c r="C298" s="76">
        <v>1</v>
      </c>
      <c r="D298" s="76" t="s">
        <v>310</v>
      </c>
      <c r="E298" s="77">
        <v>2867523000</v>
      </c>
      <c r="F298" s="77">
        <f t="shared" si="5"/>
        <v>2867523000</v>
      </c>
    </row>
    <row r="299" spans="1:6" x14ac:dyDescent="0.25">
      <c r="A299" s="74"/>
      <c r="B299" s="80" t="s">
        <v>213</v>
      </c>
      <c r="C299" s="76">
        <v>1</v>
      </c>
      <c r="D299" s="76" t="s">
        <v>310</v>
      </c>
      <c r="E299" s="77">
        <v>2867523000</v>
      </c>
      <c r="F299" s="77">
        <f t="shared" si="5"/>
        <v>2867523000</v>
      </c>
    </row>
    <row r="300" spans="1:6" x14ac:dyDescent="0.25">
      <c r="A300" s="70" t="s">
        <v>99</v>
      </c>
      <c r="B300" s="70" t="s">
        <v>100</v>
      </c>
      <c r="C300" s="71"/>
      <c r="D300" s="71"/>
      <c r="E300" s="72"/>
      <c r="F300" s="73">
        <f>SUM(F301:F303)</f>
        <v>446000</v>
      </c>
    </row>
    <row r="301" spans="1:6" x14ac:dyDescent="0.25">
      <c r="A301" s="74"/>
      <c r="B301" s="80" t="s">
        <v>214</v>
      </c>
      <c r="C301" s="76">
        <v>1</v>
      </c>
      <c r="D301" s="76" t="s">
        <v>309</v>
      </c>
      <c r="E301" s="77">
        <v>376000</v>
      </c>
      <c r="F301" s="77">
        <f t="shared" ref="F301:F303" si="6">C301*E301</f>
        <v>376000</v>
      </c>
    </row>
    <row r="302" spans="1:6" x14ac:dyDescent="0.25">
      <c r="A302" s="74"/>
      <c r="B302" s="80" t="s">
        <v>215</v>
      </c>
      <c r="C302" s="76">
        <v>1</v>
      </c>
      <c r="D302" s="76" t="s">
        <v>310</v>
      </c>
      <c r="E302" s="77">
        <v>35000</v>
      </c>
      <c r="F302" s="77">
        <f t="shared" si="6"/>
        <v>35000</v>
      </c>
    </row>
    <row r="303" spans="1:6" x14ac:dyDescent="0.25">
      <c r="A303" s="74"/>
      <c r="B303" s="80" t="s">
        <v>216</v>
      </c>
      <c r="C303" s="76">
        <v>1</v>
      </c>
      <c r="D303" s="76" t="s">
        <v>310</v>
      </c>
      <c r="E303" s="77">
        <v>35000</v>
      </c>
      <c r="F303" s="77">
        <f t="shared" si="6"/>
        <v>35000</v>
      </c>
    </row>
    <row r="304" spans="1:6" x14ac:dyDescent="0.25">
      <c r="A304" s="70" t="s">
        <v>101</v>
      </c>
      <c r="B304" s="70" t="s">
        <v>102</v>
      </c>
      <c r="C304" s="71"/>
      <c r="D304" s="71"/>
      <c r="E304" s="72"/>
      <c r="F304" s="73">
        <f>SUM(F305:F307)</f>
        <v>2947448000</v>
      </c>
    </row>
    <row r="305" spans="1:6" x14ac:dyDescent="0.25">
      <c r="A305" s="74"/>
      <c r="B305" s="80" t="s">
        <v>217</v>
      </c>
      <c r="C305" s="76">
        <v>1</v>
      </c>
      <c r="D305" s="76" t="s">
        <v>309</v>
      </c>
      <c r="E305" s="77">
        <v>2526384000</v>
      </c>
      <c r="F305" s="77">
        <f t="shared" ref="F305:F307" si="7">C305*E305</f>
        <v>2526384000</v>
      </c>
    </row>
    <row r="306" spans="1:6" x14ac:dyDescent="0.25">
      <c r="A306" s="74"/>
      <c r="B306" s="80" t="s">
        <v>218</v>
      </c>
      <c r="C306" s="76">
        <v>1</v>
      </c>
      <c r="D306" s="76" t="s">
        <v>310</v>
      </c>
      <c r="E306" s="77">
        <v>210532000</v>
      </c>
      <c r="F306" s="77">
        <f t="shared" si="7"/>
        <v>210532000</v>
      </c>
    </row>
    <row r="307" spans="1:6" x14ac:dyDescent="0.25">
      <c r="A307" s="74"/>
      <c r="B307" s="80" t="s">
        <v>219</v>
      </c>
      <c r="C307" s="76">
        <v>1</v>
      </c>
      <c r="D307" s="76" t="s">
        <v>310</v>
      </c>
      <c r="E307" s="77">
        <v>210532000</v>
      </c>
      <c r="F307" s="77">
        <f t="shared" si="7"/>
        <v>210532000</v>
      </c>
    </row>
    <row r="308" spans="1:6" x14ac:dyDescent="0.25">
      <c r="A308" s="70" t="s">
        <v>103</v>
      </c>
      <c r="B308" s="70" t="s">
        <v>104</v>
      </c>
      <c r="C308" s="71"/>
      <c r="D308" s="71"/>
      <c r="E308" s="72"/>
      <c r="F308" s="73">
        <f>SUM(F309:F311)</f>
        <v>566654000</v>
      </c>
    </row>
    <row r="309" spans="1:6" x14ac:dyDescent="0.25">
      <c r="A309" s="74"/>
      <c r="B309" s="80" t="s">
        <v>220</v>
      </c>
      <c r="C309" s="76">
        <v>1</v>
      </c>
      <c r="D309" s="76" t="s">
        <v>309</v>
      </c>
      <c r="E309" s="77">
        <v>485702000</v>
      </c>
      <c r="F309" s="77">
        <f t="shared" ref="F309:F311" si="8">C309*E309</f>
        <v>485702000</v>
      </c>
    </row>
    <row r="310" spans="1:6" x14ac:dyDescent="0.25">
      <c r="A310" s="74"/>
      <c r="B310" s="80" t="s">
        <v>221</v>
      </c>
      <c r="C310" s="76">
        <v>1</v>
      </c>
      <c r="D310" s="76" t="s">
        <v>310</v>
      </c>
      <c r="E310" s="77">
        <v>40476000</v>
      </c>
      <c r="F310" s="77">
        <f t="shared" si="8"/>
        <v>40476000</v>
      </c>
    </row>
    <row r="311" spans="1:6" x14ac:dyDescent="0.25">
      <c r="A311" s="74"/>
      <c r="B311" s="80" t="s">
        <v>222</v>
      </c>
      <c r="C311" s="76">
        <v>1</v>
      </c>
      <c r="D311" s="76" t="s">
        <v>310</v>
      </c>
      <c r="E311" s="77">
        <v>40476000</v>
      </c>
      <c r="F311" s="77">
        <f t="shared" si="8"/>
        <v>40476000</v>
      </c>
    </row>
    <row r="312" spans="1:6" x14ac:dyDescent="0.25">
      <c r="A312" s="70" t="s">
        <v>105</v>
      </c>
      <c r="B312" s="70" t="s">
        <v>106</v>
      </c>
      <c r="C312" s="71"/>
      <c r="D312" s="71"/>
      <c r="E312" s="72"/>
      <c r="F312" s="73">
        <f>SUM(F313:F315)</f>
        <v>45990000</v>
      </c>
    </row>
    <row r="313" spans="1:6" x14ac:dyDescent="0.25">
      <c r="A313" s="74"/>
      <c r="B313" s="80" t="s">
        <v>223</v>
      </c>
      <c r="C313" s="76">
        <v>1</v>
      </c>
      <c r="D313" s="76" t="s">
        <v>309</v>
      </c>
      <c r="E313" s="77">
        <v>39420000</v>
      </c>
      <c r="F313" s="77">
        <f t="shared" ref="F313:F315" si="9">C313*E313</f>
        <v>39420000</v>
      </c>
    </row>
    <row r="314" spans="1:6" x14ac:dyDescent="0.25">
      <c r="A314" s="74"/>
      <c r="B314" s="80" t="s">
        <v>224</v>
      </c>
      <c r="C314" s="76">
        <v>1</v>
      </c>
      <c r="D314" s="76" t="s">
        <v>310</v>
      </c>
      <c r="E314" s="77">
        <v>3285000</v>
      </c>
      <c r="F314" s="77">
        <f t="shared" si="9"/>
        <v>3285000</v>
      </c>
    </row>
    <row r="315" spans="1:6" x14ac:dyDescent="0.25">
      <c r="A315" s="74"/>
      <c r="B315" s="80" t="s">
        <v>225</v>
      </c>
      <c r="C315" s="76">
        <v>1</v>
      </c>
      <c r="D315" s="76" t="s">
        <v>310</v>
      </c>
      <c r="E315" s="77">
        <v>3285000</v>
      </c>
      <c r="F315" s="77">
        <f t="shared" si="9"/>
        <v>3285000</v>
      </c>
    </row>
    <row r="316" spans="1:6" x14ac:dyDescent="0.25">
      <c r="A316" s="70" t="s">
        <v>107</v>
      </c>
      <c r="B316" s="70" t="s">
        <v>108</v>
      </c>
      <c r="C316" s="71"/>
      <c r="D316" s="71"/>
      <c r="E316" s="72"/>
      <c r="F316" s="73">
        <f>SUM(F317:F319)</f>
        <v>6177850000</v>
      </c>
    </row>
    <row r="317" spans="1:6" x14ac:dyDescent="0.25">
      <c r="A317" s="74"/>
      <c r="B317" s="80" t="s">
        <v>226</v>
      </c>
      <c r="C317" s="76">
        <v>1</v>
      </c>
      <c r="D317" s="76" t="s">
        <v>309</v>
      </c>
      <c r="E317" s="77">
        <v>5295300000</v>
      </c>
      <c r="F317" s="77">
        <f t="shared" ref="F317:F319" si="10">C317*E317</f>
        <v>5295300000</v>
      </c>
    </row>
    <row r="318" spans="1:6" x14ac:dyDescent="0.25">
      <c r="A318" s="74"/>
      <c r="B318" s="80" t="s">
        <v>227</v>
      </c>
      <c r="C318" s="76">
        <v>1</v>
      </c>
      <c r="D318" s="76" t="s">
        <v>310</v>
      </c>
      <c r="E318" s="77">
        <v>441275000</v>
      </c>
      <c r="F318" s="77">
        <f t="shared" si="10"/>
        <v>441275000</v>
      </c>
    </row>
    <row r="319" spans="1:6" x14ac:dyDescent="0.25">
      <c r="A319" s="74"/>
      <c r="B319" s="80" t="s">
        <v>228</v>
      </c>
      <c r="C319" s="76">
        <v>1</v>
      </c>
      <c r="D319" s="76" t="s">
        <v>310</v>
      </c>
      <c r="E319" s="77">
        <v>441275000</v>
      </c>
      <c r="F319" s="77">
        <f t="shared" si="10"/>
        <v>441275000</v>
      </c>
    </row>
    <row r="320" spans="1:6" x14ac:dyDescent="0.25">
      <c r="A320" s="70" t="s">
        <v>109</v>
      </c>
      <c r="B320" s="70" t="s">
        <v>110</v>
      </c>
      <c r="C320" s="71"/>
      <c r="D320" s="71"/>
      <c r="E320" s="72"/>
      <c r="F320" s="73">
        <f>SUM(F321:F323)</f>
        <v>722550000</v>
      </c>
    </row>
    <row r="321" spans="1:6" x14ac:dyDescent="0.25">
      <c r="A321" s="74"/>
      <c r="B321" s="80" t="s">
        <v>229</v>
      </c>
      <c r="C321" s="76">
        <v>1</v>
      </c>
      <c r="D321" s="76" t="s">
        <v>311</v>
      </c>
      <c r="E321" s="77">
        <v>240850000</v>
      </c>
      <c r="F321" s="77">
        <f t="shared" ref="F321:F323" si="11">C321*E321</f>
        <v>240850000</v>
      </c>
    </row>
    <row r="322" spans="1:6" x14ac:dyDescent="0.25">
      <c r="A322" s="74"/>
      <c r="B322" s="80" t="s">
        <v>230</v>
      </c>
      <c r="C322" s="76">
        <v>1</v>
      </c>
      <c r="D322" s="76" t="s">
        <v>310</v>
      </c>
      <c r="E322" s="77">
        <v>240850000</v>
      </c>
      <c r="F322" s="77">
        <f t="shared" si="11"/>
        <v>240850000</v>
      </c>
    </row>
    <row r="323" spans="1:6" x14ac:dyDescent="0.25">
      <c r="A323" s="74"/>
      <c r="B323" s="80" t="s">
        <v>231</v>
      </c>
      <c r="C323" s="76">
        <v>1</v>
      </c>
      <c r="D323" s="76" t="s">
        <v>310</v>
      </c>
      <c r="E323" s="77">
        <v>240850000</v>
      </c>
      <c r="F323" s="77">
        <f t="shared" si="11"/>
        <v>240850000</v>
      </c>
    </row>
    <row r="324" spans="1:6" x14ac:dyDescent="0.25">
      <c r="A324" s="70" t="s">
        <v>111</v>
      </c>
      <c r="B324" s="70" t="s">
        <v>112</v>
      </c>
      <c r="C324" s="71"/>
      <c r="D324" s="71"/>
      <c r="E324" s="72"/>
      <c r="F324" s="73">
        <f>F325</f>
        <v>1501268000</v>
      </c>
    </row>
    <row r="325" spans="1:6" x14ac:dyDescent="0.25">
      <c r="A325" s="74"/>
      <c r="B325" s="80" t="s">
        <v>232</v>
      </c>
      <c r="C325" s="76">
        <v>1</v>
      </c>
      <c r="D325" s="76" t="s">
        <v>309</v>
      </c>
      <c r="E325" s="77">
        <v>1501268000</v>
      </c>
      <c r="F325" s="77">
        <f>C325*E325</f>
        <v>1501268000</v>
      </c>
    </row>
    <row r="326" spans="1:6" x14ac:dyDescent="0.25">
      <c r="A326" s="70" t="s">
        <v>113</v>
      </c>
      <c r="B326" s="70" t="s">
        <v>114</v>
      </c>
      <c r="C326" s="71"/>
      <c r="D326" s="71"/>
      <c r="E326" s="72"/>
      <c r="F326" s="73">
        <f>SUM(F327:F329)</f>
        <v>5960592000</v>
      </c>
    </row>
    <row r="327" spans="1:6" x14ac:dyDescent="0.25">
      <c r="A327" s="74"/>
      <c r="B327" s="80" t="s">
        <v>233</v>
      </c>
      <c r="C327" s="76">
        <v>66000</v>
      </c>
      <c r="D327" s="76" t="s">
        <v>301</v>
      </c>
      <c r="E327" s="77">
        <v>41000</v>
      </c>
      <c r="F327" s="77">
        <f t="shared" ref="F327:F329" si="12">C327*E327</f>
        <v>2706000000</v>
      </c>
    </row>
    <row r="328" spans="1:6" x14ac:dyDescent="0.25">
      <c r="A328" s="74"/>
      <c r="B328" s="80" t="s">
        <v>234</v>
      </c>
      <c r="C328" s="76">
        <v>84216</v>
      </c>
      <c r="D328" s="76" t="s">
        <v>301</v>
      </c>
      <c r="E328" s="77">
        <v>37000</v>
      </c>
      <c r="F328" s="77">
        <f t="shared" si="12"/>
        <v>3115992000</v>
      </c>
    </row>
    <row r="329" spans="1:6" x14ac:dyDescent="0.25">
      <c r="A329" s="74"/>
      <c r="B329" s="80" t="s">
        <v>235</v>
      </c>
      <c r="C329" s="76">
        <v>3960</v>
      </c>
      <c r="D329" s="76" t="s">
        <v>301</v>
      </c>
      <c r="E329" s="77">
        <v>35000</v>
      </c>
      <c r="F329" s="77">
        <f t="shared" si="12"/>
        <v>138600000</v>
      </c>
    </row>
    <row r="330" spans="1:6" x14ac:dyDescent="0.25">
      <c r="A330" s="70" t="s">
        <v>115</v>
      </c>
      <c r="B330" s="70" t="s">
        <v>116</v>
      </c>
      <c r="C330" s="71"/>
      <c r="D330" s="71"/>
      <c r="E330" s="72"/>
      <c r="F330" s="73">
        <f>SUM(F331:F333)</f>
        <v>154560000</v>
      </c>
    </row>
    <row r="331" spans="1:6" x14ac:dyDescent="0.25">
      <c r="A331" s="74"/>
      <c r="B331" s="80" t="s">
        <v>236</v>
      </c>
      <c r="C331" s="76">
        <v>1</v>
      </c>
      <c r="D331" s="76" t="s">
        <v>309</v>
      </c>
      <c r="E331" s="77">
        <v>132480000</v>
      </c>
      <c r="F331" s="77">
        <f t="shared" ref="F331:F333" si="13">C331*E331</f>
        <v>132480000</v>
      </c>
    </row>
    <row r="332" spans="1:6" x14ac:dyDescent="0.25">
      <c r="A332" s="74"/>
      <c r="B332" s="80" t="s">
        <v>237</v>
      </c>
      <c r="C332" s="76">
        <v>1</v>
      </c>
      <c r="D332" s="76" t="s">
        <v>310</v>
      </c>
      <c r="E332" s="77">
        <v>11040000</v>
      </c>
      <c r="F332" s="77">
        <f t="shared" si="13"/>
        <v>11040000</v>
      </c>
    </row>
    <row r="333" spans="1:6" x14ac:dyDescent="0.25">
      <c r="A333" s="74"/>
      <c r="B333" s="80" t="s">
        <v>238</v>
      </c>
      <c r="C333" s="76">
        <v>1</v>
      </c>
      <c r="D333" s="76" t="s">
        <v>310</v>
      </c>
      <c r="E333" s="77">
        <v>11040000</v>
      </c>
      <c r="F333" s="77">
        <f t="shared" si="13"/>
        <v>11040000</v>
      </c>
    </row>
    <row r="334" spans="1:6" x14ac:dyDescent="0.25">
      <c r="A334" s="95" t="s">
        <v>117</v>
      </c>
      <c r="B334" s="95" t="s">
        <v>118</v>
      </c>
      <c r="C334" s="96"/>
      <c r="D334" s="96"/>
      <c r="E334" s="97"/>
      <c r="F334" s="98">
        <f>SUM(F335:F356)</f>
        <v>20059008000</v>
      </c>
    </row>
    <row r="335" spans="1:6" x14ac:dyDescent="0.25">
      <c r="A335" s="74"/>
      <c r="B335" s="80" t="s">
        <v>239</v>
      </c>
      <c r="C335" s="76">
        <v>312</v>
      </c>
      <c r="D335" s="76" t="s">
        <v>299</v>
      </c>
      <c r="E335" s="77">
        <v>3500000</v>
      </c>
      <c r="F335" s="77">
        <f t="shared" ref="F335:F356" si="14">C335*E335</f>
        <v>1092000000</v>
      </c>
    </row>
    <row r="336" spans="1:6" x14ac:dyDescent="0.25">
      <c r="A336" s="74"/>
      <c r="B336" s="80" t="s">
        <v>240</v>
      </c>
      <c r="C336" s="76">
        <v>612</v>
      </c>
      <c r="D336" s="76" t="s">
        <v>299</v>
      </c>
      <c r="E336" s="77">
        <v>3500000</v>
      </c>
      <c r="F336" s="77">
        <f t="shared" si="14"/>
        <v>2142000000</v>
      </c>
    </row>
    <row r="337" spans="1:6" x14ac:dyDescent="0.25">
      <c r="A337" s="74"/>
      <c r="B337" s="80" t="s">
        <v>241</v>
      </c>
      <c r="C337" s="76">
        <v>348</v>
      </c>
      <c r="D337" s="76" t="s">
        <v>299</v>
      </c>
      <c r="E337" s="77">
        <v>3500000</v>
      </c>
      <c r="F337" s="77">
        <f t="shared" si="14"/>
        <v>1218000000</v>
      </c>
    </row>
    <row r="338" spans="1:6" x14ac:dyDescent="0.25">
      <c r="A338" s="74"/>
      <c r="B338" s="80" t="s">
        <v>242</v>
      </c>
      <c r="C338" s="76">
        <v>864</v>
      </c>
      <c r="D338" s="76" t="s">
        <v>299</v>
      </c>
      <c r="E338" s="77">
        <v>3500000</v>
      </c>
      <c r="F338" s="77">
        <f t="shared" si="14"/>
        <v>3024000000</v>
      </c>
    </row>
    <row r="339" spans="1:6" x14ac:dyDescent="0.25">
      <c r="A339" s="74"/>
      <c r="B339" s="80" t="s">
        <v>243</v>
      </c>
      <c r="C339" s="76">
        <v>516</v>
      </c>
      <c r="D339" s="76" t="s">
        <v>299</v>
      </c>
      <c r="E339" s="77">
        <v>4000000</v>
      </c>
      <c r="F339" s="77">
        <f t="shared" si="14"/>
        <v>2064000000</v>
      </c>
    </row>
    <row r="340" spans="1:6" x14ac:dyDescent="0.25">
      <c r="A340" s="74"/>
      <c r="B340" s="80" t="s">
        <v>244</v>
      </c>
      <c r="C340" s="76">
        <v>288</v>
      </c>
      <c r="D340" s="76" t="s">
        <v>299</v>
      </c>
      <c r="E340" s="77">
        <v>4000000</v>
      </c>
      <c r="F340" s="77">
        <f t="shared" si="14"/>
        <v>1152000000</v>
      </c>
    </row>
    <row r="341" spans="1:6" x14ac:dyDescent="0.25">
      <c r="A341" s="74"/>
      <c r="B341" s="80" t="s">
        <v>245</v>
      </c>
      <c r="C341" s="76">
        <v>144</v>
      </c>
      <c r="D341" s="76" t="s">
        <v>299</v>
      </c>
      <c r="E341" s="77">
        <v>4100000</v>
      </c>
      <c r="F341" s="77">
        <f t="shared" si="14"/>
        <v>590400000</v>
      </c>
    </row>
    <row r="342" spans="1:6" x14ac:dyDescent="0.25">
      <c r="A342" s="74"/>
      <c r="B342" s="80" t="s">
        <v>246</v>
      </c>
      <c r="C342" s="76">
        <v>396</v>
      </c>
      <c r="D342" s="76" t="s">
        <v>299</v>
      </c>
      <c r="E342" s="77">
        <v>4500000</v>
      </c>
      <c r="F342" s="77">
        <f t="shared" si="14"/>
        <v>1782000000</v>
      </c>
    </row>
    <row r="343" spans="1:6" x14ac:dyDescent="0.25">
      <c r="A343" s="74"/>
      <c r="B343" s="80" t="s">
        <v>247</v>
      </c>
      <c r="C343" s="76">
        <v>144</v>
      </c>
      <c r="D343" s="76" t="s">
        <v>299</v>
      </c>
      <c r="E343" s="77">
        <v>4500000</v>
      </c>
      <c r="F343" s="77">
        <f t="shared" si="14"/>
        <v>648000000</v>
      </c>
    </row>
    <row r="344" spans="1:6" x14ac:dyDescent="0.25">
      <c r="A344" s="74"/>
      <c r="B344" s="80" t="s">
        <v>248</v>
      </c>
      <c r="C344" s="76">
        <v>216</v>
      </c>
      <c r="D344" s="76" t="s">
        <v>299</v>
      </c>
      <c r="E344" s="77">
        <v>4500000</v>
      </c>
      <c r="F344" s="77">
        <f t="shared" si="14"/>
        <v>972000000</v>
      </c>
    </row>
    <row r="345" spans="1:6" x14ac:dyDescent="0.25">
      <c r="A345" s="74"/>
      <c r="B345" s="99" t="s">
        <v>340</v>
      </c>
      <c r="C345" s="93">
        <f>25*12</f>
        <v>300</v>
      </c>
      <c r="D345" s="93" t="s">
        <v>299</v>
      </c>
      <c r="E345" s="92">
        <v>4200000</v>
      </c>
      <c r="F345" s="92">
        <f t="shared" si="14"/>
        <v>1260000000</v>
      </c>
    </row>
    <row r="346" spans="1:6" x14ac:dyDescent="0.25">
      <c r="A346" s="74"/>
      <c r="B346" s="80" t="s">
        <v>249</v>
      </c>
      <c r="C346" s="76">
        <v>120</v>
      </c>
      <c r="D346" s="76" t="s">
        <v>299</v>
      </c>
      <c r="E346" s="77">
        <v>4200000</v>
      </c>
      <c r="F346" s="77">
        <f t="shared" si="14"/>
        <v>504000000</v>
      </c>
    </row>
    <row r="347" spans="1:6" x14ac:dyDescent="0.25">
      <c r="A347" s="74"/>
      <c r="B347" s="80" t="s">
        <v>250</v>
      </c>
      <c r="C347" s="76">
        <v>144</v>
      </c>
      <c r="D347" s="76" t="s">
        <v>299</v>
      </c>
      <c r="E347" s="77">
        <v>4500000</v>
      </c>
      <c r="F347" s="77">
        <f t="shared" si="14"/>
        <v>648000000</v>
      </c>
    </row>
    <row r="348" spans="1:6" x14ac:dyDescent="0.25">
      <c r="A348" s="74"/>
      <c r="B348" s="80" t="s">
        <v>251</v>
      </c>
      <c r="C348" s="76">
        <v>12</v>
      </c>
      <c r="D348" s="76" t="s">
        <v>299</v>
      </c>
      <c r="E348" s="77">
        <v>3800000</v>
      </c>
      <c r="F348" s="77">
        <f t="shared" si="14"/>
        <v>45600000</v>
      </c>
    </row>
    <row r="349" spans="1:6" x14ac:dyDescent="0.25">
      <c r="A349" s="74"/>
      <c r="B349" s="99" t="s">
        <v>339</v>
      </c>
      <c r="C349" s="93">
        <v>3</v>
      </c>
      <c r="D349" s="93" t="s">
        <v>299</v>
      </c>
      <c r="E349" s="92">
        <v>8336000</v>
      </c>
      <c r="F349" s="92">
        <f t="shared" si="14"/>
        <v>25008000</v>
      </c>
    </row>
    <row r="350" spans="1:6" ht="30" x14ac:dyDescent="0.25">
      <c r="A350" s="74"/>
      <c r="B350" s="80" t="s">
        <v>252</v>
      </c>
      <c r="C350" s="76">
        <v>408</v>
      </c>
      <c r="D350" s="76" t="s">
        <v>299</v>
      </c>
      <c r="E350" s="77">
        <v>4500000</v>
      </c>
      <c r="F350" s="77">
        <f t="shared" si="14"/>
        <v>1836000000</v>
      </c>
    </row>
    <row r="351" spans="1:6" ht="30" x14ac:dyDescent="0.25">
      <c r="A351" s="74"/>
      <c r="B351" s="80" t="s">
        <v>253</v>
      </c>
      <c r="C351" s="76">
        <v>84</v>
      </c>
      <c r="D351" s="76" t="s">
        <v>299</v>
      </c>
      <c r="E351" s="77">
        <v>4200000</v>
      </c>
      <c r="F351" s="77">
        <f t="shared" si="14"/>
        <v>352800000</v>
      </c>
    </row>
    <row r="352" spans="1:6" ht="30" x14ac:dyDescent="0.25">
      <c r="A352" s="74"/>
      <c r="B352" s="80" t="s">
        <v>254</v>
      </c>
      <c r="C352" s="76">
        <v>60</v>
      </c>
      <c r="D352" s="76" t="s">
        <v>299</v>
      </c>
      <c r="E352" s="77">
        <v>4200000</v>
      </c>
      <c r="F352" s="77">
        <f t="shared" si="14"/>
        <v>252000000</v>
      </c>
    </row>
    <row r="353" spans="1:6" ht="30" x14ac:dyDescent="0.25">
      <c r="A353" s="74"/>
      <c r="B353" s="80" t="s">
        <v>255</v>
      </c>
      <c r="C353" s="76">
        <v>60</v>
      </c>
      <c r="D353" s="76" t="s">
        <v>299</v>
      </c>
      <c r="E353" s="77">
        <v>4200000</v>
      </c>
      <c r="F353" s="77">
        <f t="shared" si="14"/>
        <v>252000000</v>
      </c>
    </row>
    <row r="354" spans="1:6" ht="30" x14ac:dyDescent="0.25">
      <c r="A354" s="74"/>
      <c r="B354" s="80" t="s">
        <v>256</v>
      </c>
      <c r="C354" s="76">
        <v>12</v>
      </c>
      <c r="D354" s="76" t="s">
        <v>299</v>
      </c>
      <c r="E354" s="77">
        <v>4200000</v>
      </c>
      <c r="F354" s="77">
        <f t="shared" si="14"/>
        <v>50400000</v>
      </c>
    </row>
    <row r="355" spans="1:6" ht="30" x14ac:dyDescent="0.25">
      <c r="A355" s="74"/>
      <c r="B355" s="80" t="s">
        <v>257</v>
      </c>
      <c r="C355" s="76">
        <v>24</v>
      </c>
      <c r="D355" s="76" t="s">
        <v>299</v>
      </c>
      <c r="E355" s="77">
        <v>4100000</v>
      </c>
      <c r="F355" s="77">
        <f t="shared" si="14"/>
        <v>98400000</v>
      </c>
    </row>
    <row r="356" spans="1:6" ht="30" x14ac:dyDescent="0.25">
      <c r="A356" s="74"/>
      <c r="B356" s="80" t="s">
        <v>258</v>
      </c>
      <c r="C356" s="76">
        <v>12</v>
      </c>
      <c r="D356" s="76" t="s">
        <v>299</v>
      </c>
      <c r="E356" s="77">
        <v>4200000</v>
      </c>
      <c r="F356" s="77">
        <f t="shared" si="14"/>
        <v>50400000</v>
      </c>
    </row>
    <row r="357" spans="1:6" x14ac:dyDescent="0.25">
      <c r="A357" s="70" t="s">
        <v>119</v>
      </c>
      <c r="B357" s="70" t="s">
        <v>120</v>
      </c>
      <c r="C357" s="71"/>
      <c r="D357" s="71"/>
      <c r="E357" s="72"/>
      <c r="F357" s="73">
        <f>SUM(F358:F365)</f>
        <v>8626114000</v>
      </c>
    </row>
    <row r="358" spans="1:6" ht="30" x14ac:dyDescent="0.25">
      <c r="A358" s="74"/>
      <c r="B358" s="80" t="s">
        <v>259</v>
      </c>
      <c r="C358" s="76">
        <v>242</v>
      </c>
      <c r="D358" s="76" t="s">
        <v>299</v>
      </c>
      <c r="E358" s="77">
        <v>17450000</v>
      </c>
      <c r="F358" s="77">
        <f t="shared" ref="F358:F365" si="15">C358*E358</f>
        <v>4222900000</v>
      </c>
    </row>
    <row r="359" spans="1:6" ht="30" x14ac:dyDescent="0.25">
      <c r="A359" s="74"/>
      <c r="B359" s="80" t="s">
        <v>260</v>
      </c>
      <c r="C359" s="76">
        <v>84</v>
      </c>
      <c r="D359" s="76" t="s">
        <v>299</v>
      </c>
      <c r="E359" s="77">
        <v>17500000</v>
      </c>
      <c r="F359" s="77">
        <f t="shared" si="15"/>
        <v>1470000000</v>
      </c>
    </row>
    <row r="360" spans="1:6" ht="30" x14ac:dyDescent="0.25">
      <c r="A360" s="74"/>
      <c r="B360" s="80" t="s">
        <v>261</v>
      </c>
      <c r="C360" s="76">
        <v>60</v>
      </c>
      <c r="D360" s="76" t="s">
        <v>299</v>
      </c>
      <c r="E360" s="77">
        <v>17500000</v>
      </c>
      <c r="F360" s="77">
        <f t="shared" si="15"/>
        <v>1050000000</v>
      </c>
    </row>
    <row r="361" spans="1:6" ht="30" x14ac:dyDescent="0.25">
      <c r="A361" s="74"/>
      <c r="B361" s="80" t="s">
        <v>262</v>
      </c>
      <c r="C361" s="76">
        <v>60</v>
      </c>
      <c r="D361" s="76" t="s">
        <v>299</v>
      </c>
      <c r="E361" s="77">
        <v>17500000</v>
      </c>
      <c r="F361" s="77">
        <f t="shared" si="15"/>
        <v>1050000000</v>
      </c>
    </row>
    <row r="362" spans="1:6" ht="30" x14ac:dyDescent="0.25">
      <c r="A362" s="74"/>
      <c r="B362" s="80" t="s">
        <v>263</v>
      </c>
      <c r="C362" s="76">
        <v>12</v>
      </c>
      <c r="D362" s="76" t="s">
        <v>299</v>
      </c>
      <c r="E362" s="77">
        <v>17500000</v>
      </c>
      <c r="F362" s="77">
        <f t="shared" si="15"/>
        <v>210000000</v>
      </c>
    </row>
    <row r="363" spans="1:6" ht="30" x14ac:dyDescent="0.25">
      <c r="A363" s="74"/>
      <c r="B363" s="80" t="s">
        <v>264</v>
      </c>
      <c r="C363" s="76">
        <v>24</v>
      </c>
      <c r="D363" s="76" t="s">
        <v>299</v>
      </c>
      <c r="E363" s="77">
        <v>16900000</v>
      </c>
      <c r="F363" s="77">
        <f t="shared" si="15"/>
        <v>405600000</v>
      </c>
    </row>
    <row r="364" spans="1:6" ht="30" x14ac:dyDescent="0.25">
      <c r="A364" s="74"/>
      <c r="B364" s="80" t="s">
        <v>265</v>
      </c>
      <c r="C364" s="76">
        <v>12</v>
      </c>
      <c r="D364" s="76" t="s">
        <v>299</v>
      </c>
      <c r="E364" s="77">
        <v>16900000</v>
      </c>
      <c r="F364" s="77">
        <f t="shared" si="15"/>
        <v>202800000</v>
      </c>
    </row>
    <row r="365" spans="1:6" x14ac:dyDescent="0.25">
      <c r="A365" s="74"/>
      <c r="B365" s="80" t="s">
        <v>266</v>
      </c>
      <c r="C365" s="76">
        <v>1</v>
      </c>
      <c r="D365" s="76" t="s">
        <v>299</v>
      </c>
      <c r="E365" s="77">
        <v>14814000</v>
      </c>
      <c r="F365" s="77">
        <f t="shared" si="15"/>
        <v>14814000</v>
      </c>
    </row>
    <row r="366" spans="1:6" x14ac:dyDescent="0.25">
      <c r="A366" s="70" t="s">
        <v>121</v>
      </c>
      <c r="B366" s="70" t="s">
        <v>122</v>
      </c>
      <c r="C366" s="71"/>
      <c r="D366" s="71"/>
      <c r="E366" s="72"/>
      <c r="F366" s="73">
        <f>SUM(F367:F372)</f>
        <v>157587000</v>
      </c>
    </row>
    <row r="367" spans="1:6" x14ac:dyDescent="0.25">
      <c r="A367" s="74"/>
      <c r="B367" s="80" t="s">
        <v>267</v>
      </c>
      <c r="C367" s="76">
        <v>216</v>
      </c>
      <c r="D367" s="76" t="s">
        <v>297</v>
      </c>
      <c r="E367" s="77">
        <v>25000</v>
      </c>
      <c r="F367" s="77">
        <f t="shared" ref="F367:F372" si="16">C367*E367</f>
        <v>5400000</v>
      </c>
    </row>
    <row r="368" spans="1:6" x14ac:dyDescent="0.25">
      <c r="A368" s="74"/>
      <c r="B368" s="80" t="s">
        <v>268</v>
      </c>
      <c r="C368" s="76">
        <v>4320</v>
      </c>
      <c r="D368" s="76" t="s">
        <v>297</v>
      </c>
      <c r="E368" s="77">
        <v>20000</v>
      </c>
      <c r="F368" s="77">
        <f t="shared" si="16"/>
        <v>86400000</v>
      </c>
    </row>
    <row r="369" spans="1:6" x14ac:dyDescent="0.25">
      <c r="A369" s="74"/>
      <c r="B369" s="80" t="s">
        <v>269</v>
      </c>
      <c r="C369" s="76">
        <v>385</v>
      </c>
      <c r="D369" s="76" t="s">
        <v>297</v>
      </c>
      <c r="E369" s="77">
        <v>17000</v>
      </c>
      <c r="F369" s="77">
        <f t="shared" si="16"/>
        <v>6545000</v>
      </c>
    </row>
    <row r="370" spans="1:6" x14ac:dyDescent="0.25">
      <c r="A370" s="74"/>
      <c r="B370" s="80" t="s">
        <v>233</v>
      </c>
      <c r="C370" s="76">
        <v>72</v>
      </c>
      <c r="D370" s="76" t="s">
        <v>301</v>
      </c>
      <c r="E370" s="77">
        <v>41000</v>
      </c>
      <c r="F370" s="77">
        <f t="shared" si="16"/>
        <v>2952000</v>
      </c>
    </row>
    <row r="371" spans="1:6" x14ac:dyDescent="0.25">
      <c r="A371" s="74"/>
      <c r="B371" s="80" t="s">
        <v>235</v>
      </c>
      <c r="C371" s="76">
        <v>86</v>
      </c>
      <c r="D371" s="76" t="s">
        <v>301</v>
      </c>
      <c r="E371" s="77">
        <v>35000</v>
      </c>
      <c r="F371" s="77">
        <f>C371*E371</f>
        <v>3010000</v>
      </c>
    </row>
    <row r="372" spans="1:6" x14ac:dyDescent="0.25">
      <c r="A372" s="74"/>
      <c r="B372" s="80" t="s">
        <v>234</v>
      </c>
      <c r="C372" s="76">
        <v>1440</v>
      </c>
      <c r="D372" s="76" t="s">
        <v>301</v>
      </c>
      <c r="E372" s="77">
        <v>37000</v>
      </c>
      <c r="F372" s="77">
        <f t="shared" si="16"/>
        <v>53280000</v>
      </c>
    </row>
    <row r="373" spans="1:6" x14ac:dyDescent="0.25">
      <c r="A373" s="62" t="s">
        <v>123</v>
      </c>
      <c r="B373" s="62" t="s">
        <v>124</v>
      </c>
      <c r="C373" s="63" t="s">
        <v>11</v>
      </c>
      <c r="D373" s="63"/>
      <c r="E373" s="64"/>
      <c r="F373" s="65">
        <f>F374+F389+F396+F401</f>
        <v>6720000000</v>
      </c>
    </row>
    <row r="374" spans="1:6" x14ac:dyDescent="0.25">
      <c r="A374" s="66" t="s">
        <v>12</v>
      </c>
      <c r="B374" s="66" t="s">
        <v>125</v>
      </c>
      <c r="C374" s="67"/>
      <c r="D374" s="67"/>
      <c r="E374" s="68"/>
      <c r="F374" s="69">
        <f>F375+F383+F385+F387</f>
        <v>1556890000</v>
      </c>
    </row>
    <row r="375" spans="1:6" x14ac:dyDescent="0.25">
      <c r="A375" s="70" t="s">
        <v>126</v>
      </c>
      <c r="B375" s="70" t="s">
        <v>127</v>
      </c>
      <c r="C375" s="71"/>
      <c r="D375" s="71"/>
      <c r="E375" s="72"/>
      <c r="F375" s="73">
        <f>SUM(F376:F382)</f>
        <v>1251670000</v>
      </c>
    </row>
    <row r="376" spans="1:6" ht="30" x14ac:dyDescent="0.25">
      <c r="A376" s="74"/>
      <c r="B376" s="80" t="s">
        <v>270</v>
      </c>
      <c r="C376" s="76">
        <v>80</v>
      </c>
      <c r="D376" s="76" t="s">
        <v>305</v>
      </c>
      <c r="E376" s="77">
        <v>1520000</v>
      </c>
      <c r="F376" s="77">
        <f t="shared" ref="F376:F382" si="17">C376*E376</f>
        <v>121600000</v>
      </c>
    </row>
    <row r="377" spans="1:6" ht="30" x14ac:dyDescent="0.25">
      <c r="A377" s="74"/>
      <c r="B377" s="80" t="s">
        <v>271</v>
      </c>
      <c r="C377" s="76">
        <v>156</v>
      </c>
      <c r="D377" s="76" t="s">
        <v>299</v>
      </c>
      <c r="E377" s="77">
        <v>5068000</v>
      </c>
      <c r="F377" s="77">
        <f t="shared" si="17"/>
        <v>790608000</v>
      </c>
    </row>
    <row r="378" spans="1:6" ht="30" x14ac:dyDescent="0.25">
      <c r="A378" s="74"/>
      <c r="B378" s="80" t="s">
        <v>272</v>
      </c>
      <c r="C378" s="76">
        <v>432</v>
      </c>
      <c r="D378" s="76" t="s">
        <v>297</v>
      </c>
      <c r="E378" s="77">
        <v>51000</v>
      </c>
      <c r="F378" s="77">
        <f t="shared" si="17"/>
        <v>22032000</v>
      </c>
    </row>
    <row r="379" spans="1:6" x14ac:dyDescent="0.25">
      <c r="A379" s="74"/>
      <c r="B379" s="80" t="s">
        <v>273</v>
      </c>
      <c r="C379" s="76">
        <v>1</v>
      </c>
      <c r="D379" s="76" t="s">
        <v>303</v>
      </c>
      <c r="E379" s="77">
        <v>213120000</v>
      </c>
      <c r="F379" s="77">
        <f t="shared" si="17"/>
        <v>213120000</v>
      </c>
    </row>
    <row r="380" spans="1:6" x14ac:dyDescent="0.25">
      <c r="A380" s="74"/>
      <c r="B380" s="80" t="s">
        <v>274</v>
      </c>
      <c r="C380" s="76">
        <v>1</v>
      </c>
      <c r="D380" s="76" t="s">
        <v>309</v>
      </c>
      <c r="E380" s="77">
        <v>51000000</v>
      </c>
      <c r="F380" s="77">
        <f t="shared" si="17"/>
        <v>51000000</v>
      </c>
    </row>
    <row r="381" spans="1:6" x14ac:dyDescent="0.25">
      <c r="A381" s="74"/>
      <c r="B381" s="80" t="s">
        <v>275</v>
      </c>
      <c r="C381" s="76">
        <v>1</v>
      </c>
      <c r="D381" s="76" t="s">
        <v>309</v>
      </c>
      <c r="E381" s="77">
        <v>7662000</v>
      </c>
      <c r="F381" s="77">
        <f t="shared" si="17"/>
        <v>7662000</v>
      </c>
    </row>
    <row r="382" spans="1:6" x14ac:dyDescent="0.25">
      <c r="A382" s="74"/>
      <c r="B382" s="80" t="s">
        <v>276</v>
      </c>
      <c r="C382" s="76">
        <v>144</v>
      </c>
      <c r="D382" s="76" t="s">
        <v>299</v>
      </c>
      <c r="E382" s="77">
        <v>317000</v>
      </c>
      <c r="F382" s="77">
        <f t="shared" si="17"/>
        <v>45648000</v>
      </c>
    </row>
    <row r="383" spans="1:6" x14ac:dyDescent="0.25">
      <c r="A383" s="70" t="s">
        <v>128</v>
      </c>
      <c r="B383" s="70" t="s">
        <v>129</v>
      </c>
      <c r="C383" s="71"/>
      <c r="D383" s="71"/>
      <c r="E383" s="72"/>
      <c r="F383" s="73">
        <f>F384</f>
        <v>117120000</v>
      </c>
    </row>
    <row r="384" spans="1:6" ht="30" x14ac:dyDescent="0.25">
      <c r="A384" s="74"/>
      <c r="B384" s="80" t="s">
        <v>277</v>
      </c>
      <c r="C384" s="76">
        <v>1</v>
      </c>
      <c r="D384" s="76" t="s">
        <v>312</v>
      </c>
      <c r="E384" s="77">
        <v>117120000</v>
      </c>
      <c r="F384" s="77">
        <f>C384*E384</f>
        <v>117120000</v>
      </c>
    </row>
    <row r="385" spans="1:6" x14ac:dyDescent="0.25">
      <c r="A385" s="70" t="s">
        <v>90</v>
      </c>
      <c r="B385" s="70" t="s">
        <v>91</v>
      </c>
      <c r="C385" s="71"/>
      <c r="D385" s="71"/>
      <c r="E385" s="72"/>
      <c r="F385" s="73">
        <f>F386</f>
        <v>8100000</v>
      </c>
    </row>
    <row r="386" spans="1:6" x14ac:dyDescent="0.25">
      <c r="A386" s="74"/>
      <c r="B386" s="80" t="s">
        <v>278</v>
      </c>
      <c r="C386" s="76">
        <v>18</v>
      </c>
      <c r="D386" s="76" t="s">
        <v>296</v>
      </c>
      <c r="E386" s="77">
        <v>450000</v>
      </c>
      <c r="F386" s="77">
        <f>C386*E386</f>
        <v>8100000</v>
      </c>
    </row>
    <row r="387" spans="1:6" x14ac:dyDescent="0.25">
      <c r="A387" s="70" t="s">
        <v>130</v>
      </c>
      <c r="B387" s="70" t="s">
        <v>131</v>
      </c>
      <c r="C387" s="71"/>
      <c r="D387" s="71"/>
      <c r="E387" s="72"/>
      <c r="F387" s="73">
        <f>F388</f>
        <v>180000000</v>
      </c>
    </row>
    <row r="388" spans="1:6" x14ac:dyDescent="0.25">
      <c r="A388" s="74"/>
      <c r="B388" s="80" t="s">
        <v>169</v>
      </c>
      <c r="C388" s="76">
        <v>12</v>
      </c>
      <c r="D388" s="76" t="s">
        <v>313</v>
      </c>
      <c r="E388" s="77">
        <v>15000000</v>
      </c>
      <c r="F388" s="77">
        <f>C388*E388</f>
        <v>180000000</v>
      </c>
    </row>
    <row r="389" spans="1:6" x14ac:dyDescent="0.25">
      <c r="A389" s="66" t="s">
        <v>26</v>
      </c>
      <c r="B389" s="66" t="s">
        <v>132</v>
      </c>
      <c r="C389" s="67"/>
      <c r="D389" s="67"/>
      <c r="E389" s="68"/>
      <c r="F389" s="69">
        <f>F390+F392+F394</f>
        <v>655200000</v>
      </c>
    </row>
    <row r="390" spans="1:6" x14ac:dyDescent="0.25">
      <c r="A390" s="70" t="s">
        <v>133</v>
      </c>
      <c r="B390" s="70" t="s">
        <v>134</v>
      </c>
      <c r="C390" s="71"/>
      <c r="D390" s="71"/>
      <c r="E390" s="72"/>
      <c r="F390" s="73">
        <f>F391</f>
        <v>624000000</v>
      </c>
    </row>
    <row r="391" spans="1:6" x14ac:dyDescent="0.25">
      <c r="A391" s="74"/>
      <c r="B391" s="80" t="s">
        <v>279</v>
      </c>
      <c r="C391" s="76">
        <v>12</v>
      </c>
      <c r="D391" s="76" t="s">
        <v>313</v>
      </c>
      <c r="E391" s="77">
        <v>52000000</v>
      </c>
      <c r="F391" s="77">
        <f>C391*E391</f>
        <v>624000000</v>
      </c>
    </row>
    <row r="392" spans="1:6" x14ac:dyDescent="0.25">
      <c r="A392" s="70" t="s">
        <v>135</v>
      </c>
      <c r="B392" s="70" t="s">
        <v>136</v>
      </c>
      <c r="C392" s="71"/>
      <c r="D392" s="71"/>
      <c r="E392" s="72"/>
      <c r="F392" s="73">
        <f>F393</f>
        <v>25200000</v>
      </c>
    </row>
    <row r="393" spans="1:6" x14ac:dyDescent="0.25">
      <c r="A393" s="74"/>
      <c r="B393" s="80" t="s">
        <v>280</v>
      </c>
      <c r="C393" s="76">
        <v>12</v>
      </c>
      <c r="D393" s="76" t="s">
        <v>313</v>
      </c>
      <c r="E393" s="77">
        <v>2100000</v>
      </c>
      <c r="F393" s="77">
        <f>C393*E393</f>
        <v>25200000</v>
      </c>
    </row>
    <row r="394" spans="1:6" x14ac:dyDescent="0.25">
      <c r="A394" s="70" t="s">
        <v>137</v>
      </c>
      <c r="B394" s="70" t="s">
        <v>138</v>
      </c>
      <c r="C394" s="71"/>
      <c r="D394" s="71"/>
      <c r="E394" s="72"/>
      <c r="F394" s="73">
        <f>F395</f>
        <v>6000000</v>
      </c>
    </row>
    <row r="395" spans="1:6" x14ac:dyDescent="0.25">
      <c r="A395" s="74"/>
      <c r="B395" s="80" t="s">
        <v>281</v>
      </c>
      <c r="C395" s="76">
        <v>12</v>
      </c>
      <c r="D395" s="76" t="s">
        <v>313</v>
      </c>
      <c r="E395" s="77">
        <v>500000</v>
      </c>
      <c r="F395" s="77">
        <f>C395*E395</f>
        <v>6000000</v>
      </c>
    </row>
    <row r="396" spans="1:6" x14ac:dyDescent="0.25">
      <c r="A396" s="66" t="s">
        <v>32</v>
      </c>
      <c r="B396" s="66" t="s">
        <v>139</v>
      </c>
      <c r="C396" s="67"/>
      <c r="D396" s="67"/>
      <c r="E396" s="68"/>
      <c r="F396" s="69">
        <f>F397</f>
        <v>378170000</v>
      </c>
    </row>
    <row r="397" spans="1:6" x14ac:dyDescent="0.25">
      <c r="A397" s="70" t="s">
        <v>140</v>
      </c>
      <c r="B397" s="70" t="s">
        <v>141</v>
      </c>
      <c r="C397" s="71"/>
      <c r="D397" s="71"/>
      <c r="E397" s="72"/>
      <c r="F397" s="73">
        <f>SUM(F398:F400)</f>
        <v>378170000</v>
      </c>
    </row>
    <row r="398" spans="1:6" ht="30" x14ac:dyDescent="0.25">
      <c r="A398" s="74"/>
      <c r="B398" s="80" t="s">
        <v>282</v>
      </c>
      <c r="C398" s="76">
        <v>1</v>
      </c>
      <c r="D398" s="76" t="s">
        <v>314</v>
      </c>
      <c r="E398" s="77">
        <v>42490000</v>
      </c>
      <c r="F398" s="77">
        <f t="shared" ref="F398:F400" si="18">C398*E398</f>
        <v>42490000</v>
      </c>
    </row>
    <row r="399" spans="1:6" ht="30" x14ac:dyDescent="0.25">
      <c r="A399" s="74"/>
      <c r="B399" s="80" t="s">
        <v>283</v>
      </c>
      <c r="C399" s="76">
        <v>8</v>
      </c>
      <c r="D399" s="76" t="s">
        <v>314</v>
      </c>
      <c r="E399" s="77">
        <v>37000000</v>
      </c>
      <c r="F399" s="77">
        <f t="shared" si="18"/>
        <v>296000000</v>
      </c>
    </row>
    <row r="400" spans="1:6" ht="30" x14ac:dyDescent="0.25">
      <c r="A400" s="74"/>
      <c r="B400" s="80" t="s">
        <v>284</v>
      </c>
      <c r="C400" s="76">
        <v>8</v>
      </c>
      <c r="D400" s="76" t="s">
        <v>314</v>
      </c>
      <c r="E400" s="77">
        <v>4960000</v>
      </c>
      <c r="F400" s="77">
        <f t="shared" si="18"/>
        <v>39680000</v>
      </c>
    </row>
    <row r="401" spans="1:6" x14ac:dyDescent="0.25">
      <c r="A401" s="66" t="s">
        <v>35</v>
      </c>
      <c r="B401" s="66" t="s">
        <v>142</v>
      </c>
      <c r="C401" s="67"/>
      <c r="D401" s="67"/>
      <c r="E401" s="68"/>
      <c r="F401" s="69">
        <f>F402+F408</f>
        <v>4129740000</v>
      </c>
    </row>
    <row r="402" spans="1:6" x14ac:dyDescent="0.25">
      <c r="A402" s="70" t="s">
        <v>143</v>
      </c>
      <c r="B402" s="70" t="s">
        <v>144</v>
      </c>
      <c r="C402" s="71"/>
      <c r="D402" s="71"/>
      <c r="E402" s="72"/>
      <c r="F402" s="73">
        <f>SUM(F403:F407)</f>
        <v>3964350000</v>
      </c>
    </row>
    <row r="403" spans="1:6" ht="30" x14ac:dyDescent="0.25">
      <c r="A403" s="74"/>
      <c r="B403" s="80" t="s">
        <v>285</v>
      </c>
      <c r="C403" s="76">
        <v>1</v>
      </c>
      <c r="D403" s="76" t="s">
        <v>303</v>
      </c>
      <c r="E403" s="77">
        <v>822450000</v>
      </c>
      <c r="F403" s="77">
        <f t="shared" ref="F403:F407" si="19">C403*E403</f>
        <v>822450000</v>
      </c>
    </row>
    <row r="404" spans="1:6" x14ac:dyDescent="0.25">
      <c r="A404" s="74"/>
      <c r="B404" s="80" t="s">
        <v>286</v>
      </c>
      <c r="C404" s="76">
        <v>500</v>
      </c>
      <c r="D404" s="76" t="s">
        <v>300</v>
      </c>
      <c r="E404" s="77">
        <v>85000</v>
      </c>
      <c r="F404" s="77">
        <f t="shared" si="19"/>
        <v>42500000</v>
      </c>
    </row>
    <row r="405" spans="1:6" x14ac:dyDescent="0.25">
      <c r="A405" s="74"/>
      <c r="B405" s="80" t="s">
        <v>287</v>
      </c>
      <c r="C405" s="76">
        <v>3</v>
      </c>
      <c r="D405" s="76" t="s">
        <v>300</v>
      </c>
      <c r="E405" s="77">
        <v>151500000</v>
      </c>
      <c r="F405" s="77">
        <f t="shared" si="19"/>
        <v>454500000</v>
      </c>
    </row>
    <row r="406" spans="1:6" x14ac:dyDescent="0.25">
      <c r="A406" s="74"/>
      <c r="B406" s="80" t="s">
        <v>288</v>
      </c>
      <c r="C406" s="76">
        <v>5</v>
      </c>
      <c r="D406" s="76" t="s">
        <v>303</v>
      </c>
      <c r="E406" s="77">
        <v>200000000</v>
      </c>
      <c r="F406" s="77">
        <f t="shared" si="19"/>
        <v>1000000000</v>
      </c>
    </row>
    <row r="407" spans="1:6" x14ac:dyDescent="0.25">
      <c r="A407" s="74"/>
      <c r="B407" s="80" t="s">
        <v>289</v>
      </c>
      <c r="C407" s="76">
        <v>1</v>
      </c>
      <c r="D407" s="76" t="s">
        <v>300</v>
      </c>
      <c r="E407" s="77">
        <v>1644900000</v>
      </c>
      <c r="F407" s="77">
        <f t="shared" si="19"/>
        <v>1644900000</v>
      </c>
    </row>
    <row r="408" spans="1:6" x14ac:dyDescent="0.25">
      <c r="A408" s="70" t="s">
        <v>140</v>
      </c>
      <c r="B408" s="70" t="s">
        <v>141</v>
      </c>
      <c r="C408" s="71"/>
      <c r="D408" s="71"/>
      <c r="E408" s="72"/>
      <c r="F408" s="73">
        <f>SUM(F409:F411)</f>
        <v>165390000</v>
      </c>
    </row>
    <row r="409" spans="1:6" x14ac:dyDescent="0.25">
      <c r="A409" s="74"/>
      <c r="B409" s="80" t="s">
        <v>290</v>
      </c>
      <c r="C409" s="76">
        <v>89</v>
      </c>
      <c r="D409" s="76" t="s">
        <v>314</v>
      </c>
      <c r="E409" s="77">
        <v>610000</v>
      </c>
      <c r="F409" s="77">
        <f t="shared" ref="F409:F411" si="20">C409*E409</f>
        <v>54290000</v>
      </c>
    </row>
    <row r="410" spans="1:6" x14ac:dyDescent="0.25">
      <c r="A410" s="74"/>
      <c r="B410" s="80" t="s">
        <v>291</v>
      </c>
      <c r="C410" s="76">
        <v>12</v>
      </c>
      <c r="D410" s="76" t="s">
        <v>313</v>
      </c>
      <c r="E410" s="77">
        <v>5000000</v>
      </c>
      <c r="F410" s="77">
        <f t="shared" si="20"/>
        <v>60000000</v>
      </c>
    </row>
    <row r="411" spans="1:6" x14ac:dyDescent="0.25">
      <c r="A411" s="74"/>
      <c r="B411" s="80" t="s">
        <v>292</v>
      </c>
      <c r="C411" s="76">
        <v>70</v>
      </c>
      <c r="D411" s="76" t="s">
        <v>314</v>
      </c>
      <c r="E411" s="77">
        <v>730000</v>
      </c>
      <c r="F411" s="77">
        <f t="shared" si="20"/>
        <v>51100000</v>
      </c>
    </row>
    <row r="412" spans="1:6" ht="30" x14ac:dyDescent="0.25">
      <c r="A412" s="87" t="s">
        <v>145</v>
      </c>
      <c r="B412" s="87" t="s">
        <v>146</v>
      </c>
      <c r="C412" s="55">
        <v>1</v>
      </c>
      <c r="D412" s="55" t="s">
        <v>315</v>
      </c>
      <c r="E412" s="56"/>
      <c r="F412" s="57">
        <f>F414</f>
        <v>380770000</v>
      </c>
    </row>
    <row r="413" spans="1:6" x14ac:dyDescent="0.25">
      <c r="A413" s="74"/>
      <c r="B413" s="79" t="s">
        <v>68</v>
      </c>
      <c r="C413" s="76"/>
      <c r="D413" s="76"/>
      <c r="E413" s="74"/>
      <c r="F413" s="74"/>
    </row>
    <row r="414" spans="1:6" x14ac:dyDescent="0.25">
      <c r="A414" s="58" t="s">
        <v>147</v>
      </c>
      <c r="B414" s="58" t="s">
        <v>148</v>
      </c>
      <c r="C414" s="59">
        <v>1</v>
      </c>
      <c r="D414" s="59" t="s">
        <v>316</v>
      </c>
      <c r="E414" s="60"/>
      <c r="F414" s="61">
        <f>F415</f>
        <v>380770000</v>
      </c>
    </row>
    <row r="415" spans="1:6" x14ac:dyDescent="0.25">
      <c r="A415" s="100" t="s">
        <v>149</v>
      </c>
      <c r="B415" s="100" t="s">
        <v>150</v>
      </c>
      <c r="C415" s="101" t="s">
        <v>11</v>
      </c>
      <c r="D415" s="101"/>
      <c r="E415" s="52"/>
      <c r="F415" s="102">
        <f>F416</f>
        <v>380770000</v>
      </c>
    </row>
    <row r="416" spans="1:6" x14ac:dyDescent="0.25">
      <c r="A416" s="66" t="s">
        <v>12</v>
      </c>
      <c r="B416" s="66" t="s">
        <v>151</v>
      </c>
      <c r="C416" s="67"/>
      <c r="D416" s="67"/>
      <c r="E416" s="68"/>
      <c r="F416" s="69">
        <f>F417</f>
        <v>380770000</v>
      </c>
    </row>
    <row r="417" spans="1:6" x14ac:dyDescent="0.25">
      <c r="A417" s="70" t="s">
        <v>152</v>
      </c>
      <c r="B417" s="70" t="s">
        <v>153</v>
      </c>
      <c r="C417" s="71"/>
      <c r="D417" s="71"/>
      <c r="E417" s="72"/>
      <c r="F417" s="103">
        <f>SUM(F418:F419)</f>
        <v>380770000</v>
      </c>
    </row>
    <row r="418" spans="1:6" x14ac:dyDescent="0.25">
      <c r="A418" s="74"/>
      <c r="B418" s="80" t="s">
        <v>293</v>
      </c>
      <c r="C418" s="76">
        <v>1</v>
      </c>
      <c r="D418" s="76" t="s">
        <v>300</v>
      </c>
      <c r="E418" s="77">
        <v>198200000</v>
      </c>
      <c r="F418" s="77">
        <f>C418*E418</f>
        <v>198200000</v>
      </c>
    </row>
    <row r="419" spans="1:6" x14ac:dyDescent="0.25">
      <c r="A419" s="104"/>
      <c r="B419" s="105" t="s">
        <v>294</v>
      </c>
      <c r="C419" s="106">
        <v>1</v>
      </c>
      <c r="D419" s="106" t="s">
        <v>300</v>
      </c>
      <c r="E419" s="107">
        <v>182570000</v>
      </c>
      <c r="F419" s="107">
        <f>C419*E419</f>
        <v>182570000</v>
      </c>
    </row>
    <row r="420" spans="1:6" ht="12.95" customHeight="1" x14ac:dyDescent="0.25">
      <c r="A420" s="108"/>
      <c r="B420" s="108"/>
      <c r="C420" s="109"/>
      <c r="D420" s="109"/>
      <c r="E420" s="108"/>
      <c r="F420" s="110"/>
    </row>
    <row r="421" spans="1:6" ht="12.95" customHeight="1" x14ac:dyDescent="0.25">
      <c r="A421" s="108"/>
      <c r="B421" s="111"/>
      <c r="C421" s="109"/>
      <c r="D421" s="109"/>
      <c r="E421" s="108"/>
      <c r="F421" s="112"/>
    </row>
    <row r="422" spans="1:6" ht="12.95" customHeight="1" x14ac:dyDescent="0.25">
      <c r="A422" s="108"/>
      <c r="B422" s="111"/>
      <c r="C422" s="109"/>
      <c r="D422" s="109"/>
      <c r="E422" s="108"/>
      <c r="F422" s="110"/>
    </row>
    <row r="423" spans="1:6" ht="12.95" customHeight="1" x14ac:dyDescent="0.25">
      <c r="A423" s="108"/>
      <c r="B423" s="111"/>
      <c r="C423" s="109"/>
      <c r="D423" s="109"/>
      <c r="E423" s="108"/>
      <c r="F423" s="110"/>
    </row>
    <row r="424" spans="1:6" ht="12.95" customHeight="1" x14ac:dyDescent="0.25">
      <c r="A424" s="108"/>
      <c r="B424" s="108"/>
      <c r="C424" s="109"/>
      <c r="D424" s="109"/>
      <c r="E424" s="108"/>
      <c r="F424" s="113"/>
    </row>
    <row r="425" spans="1:6" ht="12.95" customHeight="1" x14ac:dyDescent="0.25">
      <c r="A425" s="108"/>
      <c r="B425" s="108"/>
      <c r="C425" s="109"/>
      <c r="D425" s="109"/>
      <c r="E425" s="108"/>
      <c r="F425" s="110"/>
    </row>
  </sheetData>
  <autoFilter ref="A4:F419" xr:uid="{00000000-0009-0000-0000-000000000000}"/>
  <mergeCells count="8">
    <mergeCell ref="C1:F1"/>
    <mergeCell ref="A2:B2"/>
    <mergeCell ref="A3:A4"/>
    <mergeCell ref="B3:B4"/>
    <mergeCell ref="C3:C4"/>
    <mergeCell ref="D3:D4"/>
    <mergeCell ref="E3:E4"/>
    <mergeCell ref="F3:F4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E16C-6F77-40F7-9CD3-7C37F5EEE5FB}">
  <sheetPr>
    <tabColor rgb="FFFFFF00"/>
    <outlinePr summaryBelow="0"/>
  </sheetPr>
  <dimension ref="A1:H623"/>
  <sheetViews>
    <sheetView zoomScale="85" zoomScaleNormal="85" workbookViewId="0">
      <pane xSplit="2" ySplit="4" topLeftCell="C454" activePane="bottomRight" state="frozen"/>
      <selection pane="topRight" activeCell="C1" sqref="C1"/>
      <selection pane="bottomLeft" activeCell="A4" sqref="A4"/>
      <selection pane="bottomRight" activeCell="J469" sqref="J469"/>
    </sheetView>
  </sheetViews>
  <sheetFormatPr defaultColWidth="9.140625" defaultRowHeight="15" x14ac:dyDescent="0.25"/>
  <cols>
    <col min="1" max="1" width="13" style="137" customWidth="1"/>
    <col min="2" max="2" width="89.85546875" style="137" customWidth="1"/>
    <col min="3" max="4" width="9.85546875" style="190" customWidth="1"/>
    <col min="5" max="5" width="14.85546875" style="137" customWidth="1"/>
    <col min="6" max="6" width="17.85546875" style="137" customWidth="1"/>
    <col min="7" max="7" width="15.28515625" style="137" bestFit="1" customWidth="1"/>
    <col min="8" max="8" width="14.7109375" style="137" bestFit="1" customWidth="1"/>
    <col min="9" max="16384" width="9.140625" style="137"/>
  </cols>
  <sheetData>
    <row r="1" spans="1:7" x14ac:dyDescent="0.25">
      <c r="C1" s="396" t="s">
        <v>326</v>
      </c>
      <c r="D1" s="396"/>
      <c r="E1" s="396"/>
      <c r="F1" s="396"/>
    </row>
    <row r="2" spans="1:7" x14ac:dyDescent="0.25">
      <c r="A2" s="397" t="s">
        <v>317</v>
      </c>
      <c r="B2" s="397"/>
      <c r="C2" s="139"/>
      <c r="D2" s="139"/>
      <c r="E2" s="139"/>
      <c r="F2" s="140">
        <f>F5+F402</f>
        <v>462058409000</v>
      </c>
    </row>
    <row r="3" spans="1:7" s="141" customFormat="1" ht="33" customHeight="1" x14ac:dyDescent="0.25">
      <c r="A3" s="392" t="s">
        <v>318</v>
      </c>
      <c r="B3" s="392" t="s">
        <v>319</v>
      </c>
      <c r="C3" s="392" t="s">
        <v>320</v>
      </c>
      <c r="D3" s="392" t="s">
        <v>321</v>
      </c>
      <c r="E3" s="394" t="s">
        <v>322</v>
      </c>
      <c r="F3" s="394" t="s">
        <v>323</v>
      </c>
    </row>
    <row r="4" spans="1:7" s="141" customFormat="1" x14ac:dyDescent="0.25">
      <c r="A4" s="393"/>
      <c r="B4" s="393"/>
      <c r="C4" s="398"/>
      <c r="D4" s="393"/>
      <c r="E4" s="395"/>
      <c r="F4" s="395"/>
    </row>
    <row r="5" spans="1:7" x14ac:dyDescent="0.25">
      <c r="A5" s="142" t="s">
        <v>0</v>
      </c>
      <c r="B5" s="142" t="s">
        <v>1</v>
      </c>
      <c r="C5" s="143"/>
      <c r="D5" s="143"/>
      <c r="E5" s="144"/>
      <c r="F5" s="145">
        <f>F6</f>
        <v>374468798000</v>
      </c>
    </row>
    <row r="6" spans="1:7" x14ac:dyDescent="0.25">
      <c r="A6" s="146" t="s">
        <v>2</v>
      </c>
      <c r="B6" s="146" t="s">
        <v>3</v>
      </c>
      <c r="C6" s="147"/>
      <c r="D6" s="147"/>
      <c r="E6" s="148"/>
      <c r="F6" s="149">
        <f>F7+F360</f>
        <v>374468798000</v>
      </c>
    </row>
    <row r="7" spans="1:7" x14ac:dyDescent="0.25">
      <c r="A7" s="150" t="s">
        <v>4</v>
      </c>
      <c r="B7" s="150" t="s">
        <v>5</v>
      </c>
      <c r="C7" s="151"/>
      <c r="D7" s="151"/>
      <c r="E7" s="152"/>
      <c r="F7" s="153">
        <f>F8+F301</f>
        <v>6610725000</v>
      </c>
    </row>
    <row r="8" spans="1:7" ht="30" x14ac:dyDescent="0.25">
      <c r="A8" s="154" t="s">
        <v>7</v>
      </c>
      <c r="B8" s="154" t="s">
        <v>8</v>
      </c>
      <c r="C8" s="155"/>
      <c r="D8" s="155"/>
      <c r="E8" s="156"/>
      <c r="F8" s="157">
        <f>F9+F36+F203+F250</f>
        <v>6200373000</v>
      </c>
      <c r="G8" s="183" t="e">
        <f>#REF!-F8</f>
        <v>#REF!</v>
      </c>
    </row>
    <row r="9" spans="1:7" x14ac:dyDescent="0.25">
      <c r="A9" s="158" t="s">
        <v>9</v>
      </c>
      <c r="B9" s="158" t="s">
        <v>10</v>
      </c>
      <c r="C9" s="159" t="s">
        <v>11</v>
      </c>
      <c r="D9" s="159"/>
      <c r="E9" s="160"/>
      <c r="F9" s="161">
        <f>F10</f>
        <v>527592000</v>
      </c>
    </row>
    <row r="10" spans="1:7" x14ac:dyDescent="0.25">
      <c r="A10" s="162" t="s">
        <v>12</v>
      </c>
      <c r="B10" s="162" t="s">
        <v>13</v>
      </c>
      <c r="C10" s="163"/>
      <c r="D10" s="163"/>
      <c r="E10" s="164"/>
      <c r="F10" s="165">
        <f>F11+F17+F22+F25+F33</f>
        <v>527592000</v>
      </c>
    </row>
    <row r="11" spans="1:7" x14ac:dyDescent="0.25">
      <c r="A11" s="166" t="s">
        <v>22</v>
      </c>
      <c r="B11" s="166" t="s">
        <v>23</v>
      </c>
      <c r="C11" s="168"/>
      <c r="D11" s="168"/>
      <c r="E11" s="169"/>
      <c r="F11" s="167">
        <f>SUM(F12:F16)</f>
        <v>71420000</v>
      </c>
    </row>
    <row r="12" spans="1:7" x14ac:dyDescent="0.25">
      <c r="A12" s="170"/>
      <c r="B12" s="171" t="s">
        <v>521</v>
      </c>
      <c r="C12" s="172">
        <v>750</v>
      </c>
      <c r="D12" s="172" t="s">
        <v>296</v>
      </c>
      <c r="E12" s="210">
        <v>57000</v>
      </c>
      <c r="F12" s="173">
        <f>C12*E12</f>
        <v>42750000</v>
      </c>
    </row>
    <row r="13" spans="1:7" x14ac:dyDescent="0.25">
      <c r="A13" s="170"/>
      <c r="B13" s="171" t="s">
        <v>522</v>
      </c>
      <c r="C13" s="172">
        <v>750</v>
      </c>
      <c r="D13" s="172" t="s">
        <v>296</v>
      </c>
      <c r="E13" s="173">
        <v>24000</v>
      </c>
      <c r="F13" s="173">
        <f>C13*E13</f>
        <v>18000000</v>
      </c>
    </row>
    <row r="14" spans="1:7" x14ac:dyDescent="0.25">
      <c r="A14" s="170"/>
      <c r="B14" s="174" t="s">
        <v>344</v>
      </c>
      <c r="C14" s="172">
        <v>1</v>
      </c>
      <c r="D14" s="172" t="s">
        <v>298</v>
      </c>
      <c r="E14" s="173">
        <f>778000-108000</f>
        <v>670000</v>
      </c>
      <c r="F14" s="173">
        <f t="shared" ref="F14:F16" si="0">C14*E14</f>
        <v>670000</v>
      </c>
    </row>
    <row r="15" spans="1:7" x14ac:dyDescent="0.25">
      <c r="A15" s="170"/>
      <c r="B15" s="174" t="s">
        <v>345</v>
      </c>
      <c r="C15" s="172">
        <v>5</v>
      </c>
      <c r="D15" s="172" t="s">
        <v>298</v>
      </c>
      <c r="E15" s="173">
        <v>1000000</v>
      </c>
      <c r="F15" s="173">
        <f t="shared" si="0"/>
        <v>5000000</v>
      </c>
    </row>
    <row r="16" spans="1:7" x14ac:dyDescent="0.25">
      <c r="A16" s="170"/>
      <c r="B16" s="174" t="s">
        <v>346</v>
      </c>
      <c r="C16" s="172">
        <v>5</v>
      </c>
      <c r="D16" s="172" t="s">
        <v>298</v>
      </c>
      <c r="E16" s="173">
        <v>1000000</v>
      </c>
      <c r="F16" s="173">
        <f t="shared" si="0"/>
        <v>5000000</v>
      </c>
    </row>
    <row r="17" spans="1:6" x14ac:dyDescent="0.25">
      <c r="A17" s="166" t="s">
        <v>14</v>
      </c>
      <c r="B17" s="166" t="s">
        <v>15</v>
      </c>
      <c r="C17" s="168"/>
      <c r="D17" s="168"/>
      <c r="E17" s="169"/>
      <c r="F17" s="167">
        <f>SUM(F18:F21)</f>
        <v>23750000</v>
      </c>
    </row>
    <row r="18" spans="1:6" ht="18" customHeight="1" x14ac:dyDescent="0.25">
      <c r="A18" s="170"/>
      <c r="B18" s="176" t="s">
        <v>512</v>
      </c>
      <c r="C18" s="172">
        <v>5</v>
      </c>
      <c r="D18" s="172" t="s">
        <v>296</v>
      </c>
      <c r="E18" s="173">
        <v>450000</v>
      </c>
      <c r="F18" s="173">
        <f>C18*E18</f>
        <v>2250000</v>
      </c>
    </row>
    <row r="19" spans="1:6" ht="18" customHeight="1" x14ac:dyDescent="0.25">
      <c r="A19" s="170"/>
      <c r="B19" s="176" t="s">
        <v>513</v>
      </c>
      <c r="C19" s="172">
        <v>5</v>
      </c>
      <c r="D19" s="172" t="s">
        <v>296</v>
      </c>
      <c r="E19" s="173">
        <v>400000</v>
      </c>
      <c r="F19" s="173">
        <f t="shared" ref="F19:F21" si="1">C19*E19</f>
        <v>2000000</v>
      </c>
    </row>
    <row r="20" spans="1:6" ht="18" customHeight="1" x14ac:dyDescent="0.25">
      <c r="A20" s="170"/>
      <c r="B20" s="176" t="s">
        <v>514</v>
      </c>
      <c r="C20" s="172">
        <v>5</v>
      </c>
      <c r="D20" s="172" t="s">
        <v>296</v>
      </c>
      <c r="E20" s="173">
        <v>300000</v>
      </c>
      <c r="F20" s="173">
        <f t="shared" si="1"/>
        <v>1500000</v>
      </c>
    </row>
    <row r="21" spans="1:6" ht="18" customHeight="1" x14ac:dyDescent="0.25">
      <c r="A21" s="170"/>
      <c r="B21" s="176" t="s">
        <v>524</v>
      </c>
      <c r="C21" s="172">
        <v>60</v>
      </c>
      <c r="D21" s="172" t="s">
        <v>296</v>
      </c>
      <c r="E21" s="173">
        <v>300000</v>
      </c>
      <c r="F21" s="173">
        <f t="shared" si="1"/>
        <v>18000000</v>
      </c>
    </row>
    <row r="22" spans="1:6" x14ac:dyDescent="0.25">
      <c r="A22" s="166" t="s">
        <v>16</v>
      </c>
      <c r="B22" s="166" t="s">
        <v>17</v>
      </c>
      <c r="C22" s="168"/>
      <c r="D22" s="168"/>
      <c r="E22" s="169"/>
      <c r="F22" s="167">
        <f>SUM(F23:F24)</f>
        <v>70500000</v>
      </c>
    </row>
    <row r="23" spans="1:6" ht="18" customHeight="1" x14ac:dyDescent="0.25">
      <c r="A23" s="170"/>
      <c r="B23" s="171" t="s">
        <v>515</v>
      </c>
      <c r="C23" s="172">
        <v>60</v>
      </c>
      <c r="D23" s="172" t="s">
        <v>297</v>
      </c>
      <c r="E23" s="173">
        <v>1000000</v>
      </c>
      <c r="F23" s="173">
        <f>C23*E23</f>
        <v>60000000</v>
      </c>
    </row>
    <row r="24" spans="1:6" x14ac:dyDescent="0.25">
      <c r="A24" s="170"/>
      <c r="B24" s="171" t="s">
        <v>523</v>
      </c>
      <c r="C24" s="172">
        <v>15</v>
      </c>
      <c r="D24" s="172" t="s">
        <v>347</v>
      </c>
      <c r="E24" s="173">
        <v>700000</v>
      </c>
      <c r="F24" s="173">
        <f t="shared" ref="F24" si="2">C24*E24</f>
        <v>10500000</v>
      </c>
    </row>
    <row r="25" spans="1:6" x14ac:dyDescent="0.25">
      <c r="A25" s="166" t="s">
        <v>28</v>
      </c>
      <c r="B25" s="166" t="s">
        <v>29</v>
      </c>
      <c r="C25" s="168"/>
      <c r="D25" s="168"/>
      <c r="E25" s="169"/>
      <c r="F25" s="167">
        <f>SUM(F26:F32)</f>
        <v>118722000</v>
      </c>
    </row>
    <row r="26" spans="1:6" x14ac:dyDescent="0.25">
      <c r="A26" s="170"/>
      <c r="B26" s="171" t="s">
        <v>525</v>
      </c>
      <c r="C26" s="172">
        <v>48</v>
      </c>
      <c r="D26" s="172" t="s">
        <v>301</v>
      </c>
      <c r="E26" s="173">
        <v>430000</v>
      </c>
      <c r="F26" s="173">
        <f>C26*E26</f>
        <v>20640000</v>
      </c>
    </row>
    <row r="27" spans="1:6" x14ac:dyDescent="0.25">
      <c r="A27" s="170"/>
      <c r="B27" s="171" t="s">
        <v>526</v>
      </c>
      <c r="C27" s="172">
        <v>96</v>
      </c>
      <c r="D27" s="172" t="s">
        <v>296</v>
      </c>
      <c r="E27" s="173">
        <v>284000</v>
      </c>
      <c r="F27" s="173">
        <f t="shared" ref="F27:F32" si="3">C27*E27</f>
        <v>27264000</v>
      </c>
    </row>
    <row r="28" spans="1:6" ht="30" x14ac:dyDescent="0.25">
      <c r="A28" s="170"/>
      <c r="B28" s="177" t="s">
        <v>350</v>
      </c>
      <c r="C28" s="172">
        <v>8</v>
      </c>
      <c r="D28" s="172" t="s">
        <v>296</v>
      </c>
      <c r="E28" s="173">
        <v>2182000</v>
      </c>
      <c r="F28" s="173">
        <f t="shared" si="3"/>
        <v>17456000</v>
      </c>
    </row>
    <row r="29" spans="1:6" ht="18" customHeight="1" x14ac:dyDescent="0.25">
      <c r="A29" s="170"/>
      <c r="B29" s="171" t="s">
        <v>351</v>
      </c>
      <c r="C29" s="172">
        <v>32</v>
      </c>
      <c r="D29" s="172" t="s">
        <v>301</v>
      </c>
      <c r="E29" s="210">
        <v>1201000</v>
      </c>
      <c r="F29" s="173">
        <f t="shared" si="3"/>
        <v>38432000</v>
      </c>
    </row>
    <row r="30" spans="1:6" x14ac:dyDescent="0.25">
      <c r="A30" s="170"/>
      <c r="B30" s="171" t="s">
        <v>516</v>
      </c>
      <c r="C30" s="172">
        <v>15</v>
      </c>
      <c r="D30" s="172" t="s">
        <v>301</v>
      </c>
      <c r="E30" s="173">
        <v>370000</v>
      </c>
      <c r="F30" s="173">
        <f t="shared" si="3"/>
        <v>5550000</v>
      </c>
    </row>
    <row r="31" spans="1:6" x14ac:dyDescent="0.25">
      <c r="A31" s="170"/>
      <c r="B31" s="171" t="s">
        <v>517</v>
      </c>
      <c r="C31" s="172">
        <v>30</v>
      </c>
      <c r="D31" s="172" t="s">
        <v>296</v>
      </c>
      <c r="E31" s="210">
        <v>274000</v>
      </c>
      <c r="F31" s="173">
        <f t="shared" si="3"/>
        <v>8220000</v>
      </c>
    </row>
    <row r="32" spans="1:6" x14ac:dyDescent="0.25">
      <c r="A32" s="170"/>
      <c r="B32" s="171" t="s">
        <v>518</v>
      </c>
      <c r="C32" s="172">
        <v>10</v>
      </c>
      <c r="D32" s="172" t="s">
        <v>296</v>
      </c>
      <c r="E32" s="210">
        <v>116000</v>
      </c>
      <c r="F32" s="173">
        <f t="shared" si="3"/>
        <v>1160000</v>
      </c>
    </row>
    <row r="33" spans="1:6" x14ac:dyDescent="0.25">
      <c r="A33" s="166" t="s">
        <v>18</v>
      </c>
      <c r="B33" s="166" t="s">
        <v>19</v>
      </c>
      <c r="C33" s="168"/>
      <c r="D33" s="168"/>
      <c r="E33" s="169"/>
      <c r="F33" s="167">
        <f>SUM(F34:F35)</f>
        <v>243200000</v>
      </c>
    </row>
    <row r="34" spans="1:6" ht="20.25" customHeight="1" x14ac:dyDescent="0.25">
      <c r="A34" s="170"/>
      <c r="B34" s="171" t="s">
        <v>519</v>
      </c>
      <c r="C34" s="172">
        <v>640</v>
      </c>
      <c r="D34" s="172" t="s">
        <v>301</v>
      </c>
      <c r="E34" s="173">
        <v>210000</v>
      </c>
      <c r="F34" s="173">
        <f>C34*E34</f>
        <v>134400000</v>
      </c>
    </row>
    <row r="35" spans="1:6" ht="30" x14ac:dyDescent="0.25">
      <c r="A35" s="170"/>
      <c r="B35" s="171" t="s">
        <v>520</v>
      </c>
      <c r="C35" s="172">
        <v>640</v>
      </c>
      <c r="D35" s="172" t="s">
        <v>296</v>
      </c>
      <c r="E35" s="173">
        <v>170000</v>
      </c>
      <c r="F35" s="173">
        <f>C35*E35</f>
        <v>108800000</v>
      </c>
    </row>
    <row r="36" spans="1:6" x14ac:dyDescent="0.25">
      <c r="A36" s="158" t="s">
        <v>20</v>
      </c>
      <c r="B36" s="158" t="s">
        <v>21</v>
      </c>
      <c r="C36" s="159" t="s">
        <v>11</v>
      </c>
      <c r="D36" s="159"/>
      <c r="E36" s="160"/>
      <c r="F36" s="161">
        <f>F37+F54+F60+F84+F105+F129+F153+F176</f>
        <v>3315633000</v>
      </c>
    </row>
    <row r="37" spans="1:6" x14ac:dyDescent="0.25">
      <c r="A37" s="162" t="s">
        <v>12</v>
      </c>
      <c r="B37" s="162" t="s">
        <v>21</v>
      </c>
      <c r="C37" s="163"/>
      <c r="D37" s="163"/>
      <c r="E37" s="164"/>
      <c r="F37" s="165">
        <f>F38+F43+F48+F51</f>
        <v>53592000</v>
      </c>
    </row>
    <row r="38" spans="1:6" x14ac:dyDescent="0.25">
      <c r="A38" s="166" t="s">
        <v>22</v>
      </c>
      <c r="B38" s="166" t="s">
        <v>23</v>
      </c>
      <c r="C38" s="168"/>
      <c r="D38" s="168"/>
      <c r="E38" s="169"/>
      <c r="F38" s="167">
        <f>SUM(F39:F42)</f>
        <v>22442000</v>
      </c>
    </row>
    <row r="39" spans="1:6" x14ac:dyDescent="0.25">
      <c r="A39" s="170"/>
      <c r="B39" s="171" t="s">
        <v>355</v>
      </c>
      <c r="C39" s="172">
        <v>250</v>
      </c>
      <c r="D39" s="172" t="s">
        <v>296</v>
      </c>
      <c r="E39" s="210">
        <v>57000</v>
      </c>
      <c r="F39" s="173">
        <f>C39*E39</f>
        <v>14250000</v>
      </c>
    </row>
    <row r="40" spans="1:6" x14ac:dyDescent="0.25">
      <c r="A40" s="170"/>
      <c r="B40" s="171" t="s">
        <v>356</v>
      </c>
      <c r="C40" s="172">
        <v>250</v>
      </c>
      <c r="D40" s="172" t="s">
        <v>296</v>
      </c>
      <c r="E40" s="173">
        <v>24000</v>
      </c>
      <c r="F40" s="173">
        <f>C40*E40</f>
        <v>6000000</v>
      </c>
    </row>
    <row r="41" spans="1:6" x14ac:dyDescent="0.25">
      <c r="A41" s="170"/>
      <c r="B41" s="175" t="s">
        <v>444</v>
      </c>
      <c r="C41" s="172">
        <v>1</v>
      </c>
      <c r="D41" s="172" t="s">
        <v>298</v>
      </c>
      <c r="E41" s="173">
        <v>1192000</v>
      </c>
      <c r="F41" s="173">
        <f t="shared" ref="F41:F42" si="4">C41*E41</f>
        <v>1192000</v>
      </c>
    </row>
    <row r="42" spans="1:6" x14ac:dyDescent="0.25">
      <c r="A42" s="170"/>
      <c r="B42" s="175" t="s">
        <v>359</v>
      </c>
      <c r="C42" s="172">
        <v>1</v>
      </c>
      <c r="D42" s="172" t="s">
        <v>298</v>
      </c>
      <c r="E42" s="173">
        <v>1000000</v>
      </c>
      <c r="F42" s="173">
        <f t="shared" si="4"/>
        <v>1000000</v>
      </c>
    </row>
    <row r="43" spans="1:6" x14ac:dyDescent="0.25">
      <c r="A43" s="166" t="s">
        <v>14</v>
      </c>
      <c r="B43" s="166" t="s">
        <v>15</v>
      </c>
      <c r="C43" s="168"/>
      <c r="D43" s="168"/>
      <c r="E43" s="169"/>
      <c r="F43" s="167">
        <f>SUM(F44:F47)</f>
        <v>4150000</v>
      </c>
    </row>
    <row r="44" spans="1:6" ht="18" customHeight="1" x14ac:dyDescent="0.25">
      <c r="A44" s="170"/>
      <c r="B44" s="176" t="s">
        <v>360</v>
      </c>
      <c r="C44" s="172">
        <v>1</v>
      </c>
      <c r="D44" s="172" t="s">
        <v>296</v>
      </c>
      <c r="E44" s="173">
        <v>450000</v>
      </c>
      <c r="F44" s="173">
        <f>C44*E44</f>
        <v>450000</v>
      </c>
    </row>
    <row r="45" spans="1:6" ht="18" customHeight="1" x14ac:dyDescent="0.25">
      <c r="A45" s="170"/>
      <c r="B45" s="176" t="s">
        <v>361</v>
      </c>
      <c r="C45" s="172">
        <v>1</v>
      </c>
      <c r="D45" s="172" t="s">
        <v>296</v>
      </c>
      <c r="E45" s="173">
        <v>400000</v>
      </c>
      <c r="F45" s="173">
        <f t="shared" ref="F45:F47" si="5">C45*E45</f>
        <v>400000</v>
      </c>
    </row>
    <row r="46" spans="1:6" ht="18" customHeight="1" x14ac:dyDescent="0.25">
      <c r="A46" s="170"/>
      <c r="B46" s="176" t="s">
        <v>362</v>
      </c>
      <c r="C46" s="172">
        <v>1</v>
      </c>
      <c r="D46" s="172" t="s">
        <v>296</v>
      </c>
      <c r="E46" s="173">
        <v>300000</v>
      </c>
      <c r="F46" s="173">
        <f t="shared" si="5"/>
        <v>300000</v>
      </c>
    </row>
    <row r="47" spans="1:6" ht="18" customHeight="1" x14ac:dyDescent="0.25">
      <c r="A47" s="170"/>
      <c r="B47" s="176" t="s">
        <v>363</v>
      </c>
      <c r="C47" s="172">
        <v>10</v>
      </c>
      <c r="D47" s="172" t="s">
        <v>296</v>
      </c>
      <c r="E47" s="173">
        <v>300000</v>
      </c>
      <c r="F47" s="173">
        <f t="shared" si="5"/>
        <v>3000000</v>
      </c>
    </row>
    <row r="48" spans="1:6" x14ac:dyDescent="0.25">
      <c r="A48" s="166" t="s">
        <v>16</v>
      </c>
      <c r="B48" s="166" t="s">
        <v>17</v>
      </c>
      <c r="C48" s="168"/>
      <c r="D48" s="168"/>
      <c r="E48" s="169"/>
      <c r="F48" s="167">
        <f>SUM(F49:F50)</f>
        <v>19400000</v>
      </c>
    </row>
    <row r="49" spans="1:6" ht="18" customHeight="1" x14ac:dyDescent="0.25">
      <c r="A49" s="170"/>
      <c r="B49" s="171" t="s">
        <v>436</v>
      </c>
      <c r="C49" s="172">
        <v>18</v>
      </c>
      <c r="D49" s="172" t="s">
        <v>297</v>
      </c>
      <c r="E49" s="173">
        <v>1000000</v>
      </c>
      <c r="F49" s="173">
        <f>C49*E49</f>
        <v>18000000</v>
      </c>
    </row>
    <row r="50" spans="1:6" x14ac:dyDescent="0.25">
      <c r="A50" s="170"/>
      <c r="B50" s="171" t="s">
        <v>530</v>
      </c>
      <c r="C50" s="172">
        <v>2</v>
      </c>
      <c r="D50" s="172" t="s">
        <v>347</v>
      </c>
      <c r="E50" s="173">
        <v>700000</v>
      </c>
      <c r="F50" s="173">
        <f t="shared" ref="F50" si="6">C50*E50</f>
        <v>1400000</v>
      </c>
    </row>
    <row r="51" spans="1:6" x14ac:dyDescent="0.25">
      <c r="A51" s="166" t="s">
        <v>18</v>
      </c>
      <c r="B51" s="166" t="s">
        <v>19</v>
      </c>
      <c r="C51" s="168"/>
      <c r="D51" s="168"/>
      <c r="E51" s="169"/>
      <c r="F51" s="167">
        <f>SUM(F52:F53)</f>
        <v>7600000</v>
      </c>
    </row>
    <row r="52" spans="1:6" ht="20.25" customHeight="1" x14ac:dyDescent="0.25">
      <c r="A52" s="170"/>
      <c r="B52" s="171" t="s">
        <v>531</v>
      </c>
      <c r="C52" s="172">
        <v>20</v>
      </c>
      <c r="D52" s="172" t="s">
        <v>301</v>
      </c>
      <c r="E52" s="173">
        <v>210000</v>
      </c>
      <c r="F52" s="173">
        <f>C52*E52</f>
        <v>4200000</v>
      </c>
    </row>
    <row r="53" spans="1:6" x14ac:dyDescent="0.25">
      <c r="A53" s="170"/>
      <c r="B53" s="171" t="s">
        <v>532</v>
      </c>
      <c r="C53" s="172">
        <v>20</v>
      </c>
      <c r="D53" s="172" t="s">
        <v>296</v>
      </c>
      <c r="E53" s="173">
        <v>170000</v>
      </c>
      <c r="F53" s="173">
        <f>C53*E53</f>
        <v>3400000</v>
      </c>
    </row>
    <row r="54" spans="1:6" x14ac:dyDescent="0.25">
      <c r="A54" s="162" t="s">
        <v>26</v>
      </c>
      <c r="B54" s="162" t="s">
        <v>27</v>
      </c>
      <c r="C54" s="163"/>
      <c r="D54" s="163"/>
      <c r="E54" s="164"/>
      <c r="F54" s="165">
        <f>F55+F57</f>
        <v>570668000</v>
      </c>
    </row>
    <row r="55" spans="1:6" x14ac:dyDescent="0.25">
      <c r="A55" s="166" t="s">
        <v>22</v>
      </c>
      <c r="B55" s="166" t="s">
        <v>23</v>
      </c>
      <c r="C55" s="168"/>
      <c r="D55" s="168"/>
      <c r="E55" s="169"/>
      <c r="F55" s="167">
        <f>SUM(F56:F56)</f>
        <v>668000</v>
      </c>
    </row>
    <row r="56" spans="1:6" x14ac:dyDescent="0.25">
      <c r="A56" s="170"/>
      <c r="B56" s="171" t="s">
        <v>332</v>
      </c>
      <c r="C56" s="172">
        <v>1</v>
      </c>
      <c r="D56" s="172" t="s">
        <v>298</v>
      </c>
      <c r="E56" s="173">
        <v>668000</v>
      </c>
      <c r="F56" s="173">
        <f>C56*E56</f>
        <v>668000</v>
      </c>
    </row>
    <row r="57" spans="1:6" x14ac:dyDescent="0.25">
      <c r="A57" s="166" t="s">
        <v>16</v>
      </c>
      <c r="B57" s="166" t="s">
        <v>17</v>
      </c>
      <c r="C57" s="168"/>
      <c r="D57" s="168"/>
      <c r="E57" s="169"/>
      <c r="F57" s="167">
        <f>SUM(F58:F59)</f>
        <v>570000000</v>
      </c>
    </row>
    <row r="58" spans="1:6" x14ac:dyDescent="0.25">
      <c r="A58" s="170"/>
      <c r="B58" s="78" t="s">
        <v>324</v>
      </c>
      <c r="C58" s="76">
        <v>1080</v>
      </c>
      <c r="D58" s="76" t="s">
        <v>297</v>
      </c>
      <c r="E58" s="77">
        <v>250000</v>
      </c>
      <c r="F58" s="173">
        <f>C58*E58</f>
        <v>270000000</v>
      </c>
    </row>
    <row r="59" spans="1:6" x14ac:dyDescent="0.25">
      <c r="A59" s="170"/>
      <c r="B59" s="78" t="s">
        <v>325</v>
      </c>
      <c r="C59" s="76">
        <v>600</v>
      </c>
      <c r="D59" s="76" t="s">
        <v>297</v>
      </c>
      <c r="E59" s="77">
        <v>500000</v>
      </c>
      <c r="F59" s="173">
        <f>C59*E59</f>
        <v>300000000</v>
      </c>
    </row>
    <row r="60" spans="1:6" x14ac:dyDescent="0.25">
      <c r="A60" s="162" t="s">
        <v>32</v>
      </c>
      <c r="B60" s="162" t="s">
        <v>328</v>
      </c>
      <c r="C60" s="163"/>
      <c r="D60" s="163"/>
      <c r="E60" s="164"/>
      <c r="F60" s="165">
        <f>F61+F67+F72+F76+F79+F82</f>
        <v>886413000</v>
      </c>
    </row>
    <row r="61" spans="1:6" x14ac:dyDescent="0.25">
      <c r="A61" s="166" t="s">
        <v>22</v>
      </c>
      <c r="B61" s="166" t="s">
        <v>23</v>
      </c>
      <c r="C61" s="168"/>
      <c r="D61" s="168"/>
      <c r="E61" s="169"/>
      <c r="F61" s="167">
        <f>SUM(F62:F66)</f>
        <v>277045000</v>
      </c>
    </row>
    <row r="62" spans="1:6" x14ac:dyDescent="0.25">
      <c r="A62" s="170"/>
      <c r="B62" s="171" t="s">
        <v>369</v>
      </c>
      <c r="C62" s="172">
        <v>3200</v>
      </c>
      <c r="D62" s="172" t="s">
        <v>296</v>
      </c>
      <c r="E62" s="210">
        <v>57000</v>
      </c>
      <c r="F62" s="173">
        <f>C62*E62</f>
        <v>182400000</v>
      </c>
    </row>
    <row r="63" spans="1:6" x14ac:dyDescent="0.25">
      <c r="A63" s="170"/>
      <c r="B63" s="171" t="s">
        <v>370</v>
      </c>
      <c r="C63" s="172">
        <v>3200</v>
      </c>
      <c r="D63" s="172" t="s">
        <v>296</v>
      </c>
      <c r="E63" s="173">
        <v>24000</v>
      </c>
      <c r="F63" s="173">
        <f>C63*E63</f>
        <v>76800000</v>
      </c>
    </row>
    <row r="64" spans="1:6" x14ac:dyDescent="0.25">
      <c r="A64" s="170"/>
      <c r="B64" s="175" t="s">
        <v>444</v>
      </c>
      <c r="C64" s="172">
        <v>1</v>
      </c>
      <c r="D64" s="172" t="s">
        <v>298</v>
      </c>
      <c r="E64" s="173">
        <v>5845000</v>
      </c>
      <c r="F64" s="173">
        <f t="shared" ref="F64:F66" si="7">C64*E64</f>
        <v>5845000</v>
      </c>
    </row>
    <row r="65" spans="1:6" x14ac:dyDescent="0.25">
      <c r="A65" s="170"/>
      <c r="B65" s="175" t="s">
        <v>358</v>
      </c>
      <c r="C65" s="172">
        <v>4</v>
      </c>
      <c r="D65" s="172" t="s">
        <v>298</v>
      </c>
      <c r="E65" s="173">
        <v>1500000</v>
      </c>
      <c r="F65" s="173">
        <f t="shared" si="7"/>
        <v>6000000</v>
      </c>
    </row>
    <row r="66" spans="1:6" x14ac:dyDescent="0.25">
      <c r="A66" s="170"/>
      <c r="B66" s="175" t="s">
        <v>359</v>
      </c>
      <c r="C66" s="172">
        <v>4</v>
      </c>
      <c r="D66" s="172" t="s">
        <v>298</v>
      </c>
      <c r="E66" s="173">
        <v>1500000</v>
      </c>
      <c r="F66" s="173">
        <f t="shared" si="7"/>
        <v>6000000</v>
      </c>
    </row>
    <row r="67" spans="1:6" x14ac:dyDescent="0.25">
      <c r="A67" s="166" t="s">
        <v>14</v>
      </c>
      <c r="B67" s="166" t="s">
        <v>15</v>
      </c>
      <c r="C67" s="168"/>
      <c r="D67" s="168"/>
      <c r="E67" s="169"/>
      <c r="F67" s="167">
        <f>SUM(F68:F71)</f>
        <v>8300000</v>
      </c>
    </row>
    <row r="68" spans="1:6" ht="18" customHeight="1" x14ac:dyDescent="0.25">
      <c r="A68" s="170"/>
      <c r="B68" s="176" t="s">
        <v>360</v>
      </c>
      <c r="C68" s="172">
        <v>2</v>
      </c>
      <c r="D68" s="172" t="s">
        <v>296</v>
      </c>
      <c r="E68" s="173">
        <v>450000</v>
      </c>
      <c r="F68" s="173">
        <f>C68*E68</f>
        <v>900000</v>
      </c>
    </row>
    <row r="69" spans="1:6" ht="18" customHeight="1" x14ac:dyDescent="0.25">
      <c r="A69" s="170"/>
      <c r="B69" s="176" t="s">
        <v>361</v>
      </c>
      <c r="C69" s="172">
        <v>2</v>
      </c>
      <c r="D69" s="172" t="s">
        <v>296</v>
      </c>
      <c r="E69" s="173">
        <v>400000</v>
      </c>
      <c r="F69" s="173">
        <f t="shared" ref="F69:F71" si="8">C69*E69</f>
        <v>800000</v>
      </c>
    </row>
    <row r="70" spans="1:6" ht="18" customHeight="1" x14ac:dyDescent="0.25">
      <c r="A70" s="170"/>
      <c r="B70" s="176" t="s">
        <v>362</v>
      </c>
      <c r="C70" s="172">
        <v>2</v>
      </c>
      <c r="D70" s="172" t="s">
        <v>296</v>
      </c>
      <c r="E70" s="173">
        <v>300000</v>
      </c>
      <c r="F70" s="173">
        <f t="shared" si="8"/>
        <v>600000</v>
      </c>
    </row>
    <row r="71" spans="1:6" ht="18" customHeight="1" x14ac:dyDescent="0.25">
      <c r="A71" s="170"/>
      <c r="B71" s="176" t="s">
        <v>363</v>
      </c>
      <c r="C71" s="172">
        <v>20</v>
      </c>
      <c r="D71" s="172" t="s">
        <v>296</v>
      </c>
      <c r="E71" s="173">
        <v>300000</v>
      </c>
      <c r="F71" s="173">
        <f t="shared" si="8"/>
        <v>6000000</v>
      </c>
    </row>
    <row r="72" spans="1:6" x14ac:dyDescent="0.25">
      <c r="A72" s="166" t="s">
        <v>16</v>
      </c>
      <c r="B72" s="166" t="s">
        <v>17</v>
      </c>
      <c r="C72" s="168"/>
      <c r="D72" s="168"/>
      <c r="E72" s="169"/>
      <c r="F72" s="167">
        <f>SUM(F73:F75)</f>
        <v>247000000</v>
      </c>
    </row>
    <row r="73" spans="1:6" ht="18" customHeight="1" x14ac:dyDescent="0.25">
      <c r="A73" s="170"/>
      <c r="B73" s="171" t="s">
        <v>535</v>
      </c>
      <c r="C73" s="172">
        <v>240</v>
      </c>
      <c r="D73" s="172" t="s">
        <v>297</v>
      </c>
      <c r="E73" s="173">
        <v>900000</v>
      </c>
      <c r="F73" s="173">
        <f>C73*E73</f>
        <v>216000000</v>
      </c>
    </row>
    <row r="74" spans="1:6" s="36" customFormat="1" x14ac:dyDescent="0.25">
      <c r="A74" s="74"/>
      <c r="B74" s="75" t="s">
        <v>533</v>
      </c>
      <c r="C74" s="76">
        <v>160</v>
      </c>
      <c r="D74" s="76" t="s">
        <v>304</v>
      </c>
      <c r="E74" s="77">
        <v>150000</v>
      </c>
      <c r="F74" s="77">
        <f>C74*E74</f>
        <v>24000000</v>
      </c>
    </row>
    <row r="75" spans="1:6" x14ac:dyDescent="0.25">
      <c r="A75" s="170"/>
      <c r="B75" s="171" t="s">
        <v>534</v>
      </c>
      <c r="C75" s="172">
        <v>10</v>
      </c>
      <c r="D75" s="172" t="s">
        <v>347</v>
      </c>
      <c r="E75" s="173">
        <v>700000</v>
      </c>
      <c r="F75" s="173">
        <f t="shared" ref="F75" si="9">C75*E75</f>
        <v>7000000</v>
      </c>
    </row>
    <row r="76" spans="1:6" x14ac:dyDescent="0.25">
      <c r="A76" s="166" t="s">
        <v>28</v>
      </c>
      <c r="B76" s="166" t="s">
        <v>29</v>
      </c>
      <c r="C76" s="168"/>
      <c r="D76" s="168"/>
      <c r="E76" s="169"/>
      <c r="F76" s="167">
        <f>SUM(F77:F78)</f>
        <v>8568000</v>
      </c>
    </row>
    <row r="77" spans="1:6" x14ac:dyDescent="0.25">
      <c r="A77" s="170"/>
      <c r="B77" s="171" t="s">
        <v>365</v>
      </c>
      <c r="C77" s="172">
        <v>12</v>
      </c>
      <c r="D77" s="172" t="s">
        <v>301</v>
      </c>
      <c r="E77" s="173">
        <v>430000</v>
      </c>
      <c r="F77" s="173">
        <f>C77*E77</f>
        <v>5160000</v>
      </c>
    </row>
    <row r="78" spans="1:6" x14ac:dyDescent="0.25">
      <c r="A78" s="170"/>
      <c r="B78" s="171" t="s">
        <v>366</v>
      </c>
      <c r="C78" s="172">
        <v>12</v>
      </c>
      <c r="D78" s="172" t="s">
        <v>296</v>
      </c>
      <c r="E78" s="173">
        <v>284000</v>
      </c>
      <c r="F78" s="173">
        <f t="shared" ref="F78" si="10">C78*E78</f>
        <v>3408000</v>
      </c>
    </row>
    <row r="79" spans="1:6" x14ac:dyDescent="0.25">
      <c r="A79" s="166" t="s">
        <v>18</v>
      </c>
      <c r="B79" s="166" t="s">
        <v>19</v>
      </c>
      <c r="C79" s="168"/>
      <c r="D79" s="168"/>
      <c r="E79" s="169"/>
      <c r="F79" s="167">
        <f>SUM(F80:F81)</f>
        <v>118000000</v>
      </c>
    </row>
    <row r="80" spans="1:6" ht="20.25" customHeight="1" x14ac:dyDescent="0.25">
      <c r="A80" s="170"/>
      <c r="B80" s="171" t="s">
        <v>536</v>
      </c>
      <c r="C80" s="172">
        <v>400</v>
      </c>
      <c r="D80" s="172" t="s">
        <v>301</v>
      </c>
      <c r="E80" s="173">
        <v>210000</v>
      </c>
      <c r="F80" s="173">
        <f>C80*E80</f>
        <v>84000000</v>
      </c>
    </row>
    <row r="81" spans="1:6" x14ac:dyDescent="0.25">
      <c r="A81" s="170"/>
      <c r="B81" s="171" t="s">
        <v>537</v>
      </c>
      <c r="C81" s="172">
        <v>200</v>
      </c>
      <c r="D81" s="172" t="s">
        <v>296</v>
      </c>
      <c r="E81" s="173">
        <v>170000</v>
      </c>
      <c r="F81" s="173">
        <f>C81*E81</f>
        <v>34000000</v>
      </c>
    </row>
    <row r="82" spans="1:6" x14ac:dyDescent="0.25">
      <c r="A82" s="166" t="s">
        <v>33</v>
      </c>
      <c r="B82" s="166" t="s">
        <v>34</v>
      </c>
      <c r="C82" s="168"/>
      <c r="D82" s="168"/>
      <c r="E82" s="169"/>
      <c r="F82" s="167">
        <f>F83</f>
        <v>227500000</v>
      </c>
    </row>
    <row r="83" spans="1:6" x14ac:dyDescent="0.25">
      <c r="A83" s="170"/>
      <c r="B83" s="171" t="s">
        <v>538</v>
      </c>
      <c r="C83" s="172">
        <v>500</v>
      </c>
      <c r="D83" s="172" t="s">
        <v>296</v>
      </c>
      <c r="E83" s="173">
        <v>455000</v>
      </c>
      <c r="F83" s="173">
        <f>C83*E83</f>
        <v>227500000</v>
      </c>
    </row>
    <row r="84" spans="1:6" x14ac:dyDescent="0.25">
      <c r="A84" s="162" t="s">
        <v>35</v>
      </c>
      <c r="B84" s="162" t="s">
        <v>337</v>
      </c>
      <c r="C84" s="163"/>
      <c r="D84" s="163"/>
      <c r="E84" s="164"/>
      <c r="F84" s="165">
        <f>F85+F91+F96+F99+F102</f>
        <v>328725000</v>
      </c>
    </row>
    <row r="85" spans="1:6" x14ac:dyDescent="0.25">
      <c r="A85" s="166" t="s">
        <v>22</v>
      </c>
      <c r="B85" s="166" t="s">
        <v>23</v>
      </c>
      <c r="C85" s="168"/>
      <c r="D85" s="168"/>
      <c r="E85" s="169"/>
      <c r="F85" s="167">
        <f>SUM(F86:F90)</f>
        <v>106015000</v>
      </c>
    </row>
    <row r="86" spans="1:6" x14ac:dyDescent="0.25">
      <c r="A86" s="170"/>
      <c r="B86" s="171" t="s">
        <v>375</v>
      </c>
      <c r="C86" s="172">
        <v>1200</v>
      </c>
      <c r="D86" s="172" t="s">
        <v>296</v>
      </c>
      <c r="E86" s="210">
        <v>57000</v>
      </c>
      <c r="F86" s="173">
        <f>C86*E86</f>
        <v>68400000</v>
      </c>
    </row>
    <row r="87" spans="1:6" x14ac:dyDescent="0.25">
      <c r="A87" s="170"/>
      <c r="B87" s="171" t="s">
        <v>376</v>
      </c>
      <c r="C87" s="172">
        <v>1200</v>
      </c>
      <c r="D87" s="172" t="s">
        <v>296</v>
      </c>
      <c r="E87" s="173">
        <v>24000</v>
      </c>
      <c r="F87" s="173">
        <f>C87*E87</f>
        <v>28800000</v>
      </c>
    </row>
    <row r="88" spans="1:6" x14ac:dyDescent="0.25">
      <c r="A88" s="170"/>
      <c r="B88" s="175" t="s">
        <v>344</v>
      </c>
      <c r="C88" s="172">
        <v>1</v>
      </c>
      <c r="D88" s="172" t="s">
        <v>298</v>
      </c>
      <c r="E88" s="173">
        <v>4815000</v>
      </c>
      <c r="F88" s="173">
        <f t="shared" ref="F88:F90" si="11">C88*E88</f>
        <v>4815000</v>
      </c>
    </row>
    <row r="89" spans="1:6" x14ac:dyDescent="0.25">
      <c r="A89" s="170"/>
      <c r="B89" s="175" t="s">
        <v>358</v>
      </c>
      <c r="C89" s="172">
        <v>2</v>
      </c>
      <c r="D89" s="172" t="s">
        <v>298</v>
      </c>
      <c r="E89" s="173">
        <v>1000000</v>
      </c>
      <c r="F89" s="173">
        <f t="shared" si="11"/>
        <v>2000000</v>
      </c>
    </row>
    <row r="90" spans="1:6" x14ac:dyDescent="0.25">
      <c r="A90" s="170"/>
      <c r="B90" s="175" t="s">
        <v>359</v>
      </c>
      <c r="C90" s="172">
        <v>2</v>
      </c>
      <c r="D90" s="172" t="s">
        <v>298</v>
      </c>
      <c r="E90" s="173">
        <v>1000000</v>
      </c>
      <c r="F90" s="173">
        <f t="shared" si="11"/>
        <v>2000000</v>
      </c>
    </row>
    <row r="91" spans="1:6" x14ac:dyDescent="0.25">
      <c r="A91" s="166" t="s">
        <v>14</v>
      </c>
      <c r="B91" s="166" t="s">
        <v>15</v>
      </c>
      <c r="C91" s="168"/>
      <c r="D91" s="168"/>
      <c r="E91" s="169"/>
      <c r="F91" s="167">
        <f>SUM(F92:F95)</f>
        <v>4750000</v>
      </c>
    </row>
    <row r="92" spans="1:6" ht="18" customHeight="1" x14ac:dyDescent="0.25">
      <c r="A92" s="170"/>
      <c r="B92" s="176" t="s">
        <v>360</v>
      </c>
      <c r="C92" s="172">
        <v>1</v>
      </c>
      <c r="D92" s="172" t="s">
        <v>296</v>
      </c>
      <c r="E92" s="173">
        <v>450000</v>
      </c>
      <c r="F92" s="173">
        <f>C92*E92</f>
        <v>450000</v>
      </c>
    </row>
    <row r="93" spans="1:6" ht="18" customHeight="1" x14ac:dyDescent="0.25">
      <c r="A93" s="170"/>
      <c r="B93" s="176" t="s">
        <v>361</v>
      </c>
      <c r="C93" s="172">
        <v>1</v>
      </c>
      <c r="D93" s="172" t="s">
        <v>296</v>
      </c>
      <c r="E93" s="173">
        <v>400000</v>
      </c>
      <c r="F93" s="173">
        <f t="shared" ref="F93:F95" si="12">C93*E93</f>
        <v>400000</v>
      </c>
    </row>
    <row r="94" spans="1:6" ht="18" customHeight="1" x14ac:dyDescent="0.25">
      <c r="A94" s="170"/>
      <c r="B94" s="176" t="s">
        <v>362</v>
      </c>
      <c r="C94" s="172">
        <v>1</v>
      </c>
      <c r="D94" s="172" t="s">
        <v>296</v>
      </c>
      <c r="E94" s="173">
        <v>300000</v>
      </c>
      <c r="F94" s="173">
        <f t="shared" si="12"/>
        <v>300000</v>
      </c>
    </row>
    <row r="95" spans="1:6" ht="18" customHeight="1" x14ac:dyDescent="0.25">
      <c r="A95" s="170"/>
      <c r="B95" s="176" t="s">
        <v>363</v>
      </c>
      <c r="C95" s="172">
        <v>12</v>
      </c>
      <c r="D95" s="172" t="s">
        <v>296</v>
      </c>
      <c r="E95" s="173">
        <v>300000</v>
      </c>
      <c r="F95" s="173">
        <f t="shared" si="12"/>
        <v>3600000</v>
      </c>
    </row>
    <row r="96" spans="1:6" x14ac:dyDescent="0.25">
      <c r="A96" s="166" t="s">
        <v>16</v>
      </c>
      <c r="B96" s="166" t="s">
        <v>17</v>
      </c>
      <c r="C96" s="168"/>
      <c r="D96" s="168"/>
      <c r="E96" s="169"/>
      <c r="F96" s="167">
        <f>SUM(F97:F98)</f>
        <v>66800000</v>
      </c>
    </row>
    <row r="97" spans="1:6" ht="18" customHeight="1" x14ac:dyDescent="0.25">
      <c r="A97" s="170"/>
      <c r="B97" s="171" t="s">
        <v>371</v>
      </c>
      <c r="C97" s="172">
        <v>64</v>
      </c>
      <c r="D97" s="172" t="s">
        <v>297</v>
      </c>
      <c r="E97" s="173">
        <v>1000000</v>
      </c>
      <c r="F97" s="173">
        <f>C97*E97</f>
        <v>64000000</v>
      </c>
    </row>
    <row r="98" spans="1:6" x14ac:dyDescent="0.25">
      <c r="A98" s="170"/>
      <c r="B98" s="171" t="s">
        <v>543</v>
      </c>
      <c r="C98" s="172">
        <v>4</v>
      </c>
      <c r="D98" s="172" t="s">
        <v>347</v>
      </c>
      <c r="E98" s="173">
        <v>700000</v>
      </c>
      <c r="F98" s="173">
        <f t="shared" ref="F98" si="13">C98*E98</f>
        <v>2800000</v>
      </c>
    </row>
    <row r="99" spans="1:6" x14ac:dyDescent="0.25">
      <c r="A99" s="166" t="s">
        <v>28</v>
      </c>
      <c r="B99" s="166" t="s">
        <v>29</v>
      </c>
      <c r="C99" s="168"/>
      <c r="D99" s="168"/>
      <c r="E99" s="169"/>
      <c r="F99" s="167">
        <f>SUM(F100:F101)</f>
        <v>37160000</v>
      </c>
    </row>
    <row r="100" spans="1:6" x14ac:dyDescent="0.25">
      <c r="A100" s="170"/>
      <c r="B100" s="171" t="s">
        <v>541</v>
      </c>
      <c r="C100" s="172">
        <v>60</v>
      </c>
      <c r="D100" s="172" t="s">
        <v>301</v>
      </c>
      <c r="E100" s="173">
        <v>430000</v>
      </c>
      <c r="F100" s="173">
        <f>C100*E100</f>
        <v>25800000</v>
      </c>
    </row>
    <row r="101" spans="1:6" x14ac:dyDescent="0.25">
      <c r="A101" s="170"/>
      <c r="B101" s="171" t="s">
        <v>542</v>
      </c>
      <c r="C101" s="172">
        <v>40</v>
      </c>
      <c r="D101" s="172" t="s">
        <v>296</v>
      </c>
      <c r="E101" s="173">
        <v>284000</v>
      </c>
      <c r="F101" s="173">
        <f t="shared" ref="F101" si="14">C101*E101</f>
        <v>11360000</v>
      </c>
    </row>
    <row r="102" spans="1:6" x14ac:dyDescent="0.25">
      <c r="A102" s="166" t="s">
        <v>18</v>
      </c>
      <c r="B102" s="166" t="s">
        <v>19</v>
      </c>
      <c r="C102" s="168"/>
      <c r="D102" s="168"/>
      <c r="E102" s="169"/>
      <c r="F102" s="167">
        <f>SUM(F103:F104)</f>
        <v>114000000</v>
      </c>
    </row>
    <row r="103" spans="1:6" ht="20.25" customHeight="1" x14ac:dyDescent="0.25">
      <c r="A103" s="170"/>
      <c r="B103" s="171" t="s">
        <v>539</v>
      </c>
      <c r="C103" s="172">
        <v>300</v>
      </c>
      <c r="D103" s="172" t="s">
        <v>301</v>
      </c>
      <c r="E103" s="173">
        <v>210000</v>
      </c>
      <c r="F103" s="173">
        <f>C103*E103</f>
        <v>63000000</v>
      </c>
    </row>
    <row r="104" spans="1:6" x14ac:dyDescent="0.25">
      <c r="A104" s="170"/>
      <c r="B104" s="171" t="s">
        <v>540</v>
      </c>
      <c r="C104" s="172">
        <v>300</v>
      </c>
      <c r="D104" s="172" t="s">
        <v>296</v>
      </c>
      <c r="E104" s="173">
        <v>170000</v>
      </c>
      <c r="F104" s="173">
        <f>C104*E104</f>
        <v>51000000</v>
      </c>
    </row>
    <row r="105" spans="1:6" x14ac:dyDescent="0.25">
      <c r="A105" s="162" t="s">
        <v>38</v>
      </c>
      <c r="B105" s="162" t="s">
        <v>39</v>
      </c>
      <c r="C105" s="163"/>
      <c r="D105" s="163"/>
      <c r="E105" s="164"/>
      <c r="F105" s="165">
        <f>F106+F112+F117+F121+F125</f>
        <v>516374000</v>
      </c>
    </row>
    <row r="106" spans="1:6" x14ac:dyDescent="0.25">
      <c r="A106" s="166" t="s">
        <v>22</v>
      </c>
      <c r="B106" s="166" t="s">
        <v>23</v>
      </c>
      <c r="C106" s="168"/>
      <c r="D106" s="168"/>
      <c r="E106" s="169"/>
      <c r="F106" s="167">
        <f>SUM(F107:F111)</f>
        <v>110624000</v>
      </c>
    </row>
    <row r="107" spans="1:6" x14ac:dyDescent="0.25">
      <c r="A107" s="170"/>
      <c r="B107" s="171" t="s">
        <v>375</v>
      </c>
      <c r="C107" s="172">
        <v>1200</v>
      </c>
      <c r="D107" s="172" t="s">
        <v>296</v>
      </c>
      <c r="E107" s="210">
        <v>57000</v>
      </c>
      <c r="F107" s="173">
        <f>C107*E107</f>
        <v>68400000</v>
      </c>
    </row>
    <row r="108" spans="1:6" x14ac:dyDescent="0.25">
      <c r="A108" s="170"/>
      <c r="B108" s="171" t="s">
        <v>376</v>
      </c>
      <c r="C108" s="172">
        <v>1200</v>
      </c>
      <c r="D108" s="172" t="s">
        <v>296</v>
      </c>
      <c r="E108" s="173">
        <v>24000</v>
      </c>
      <c r="F108" s="173">
        <f>C108*E108</f>
        <v>28800000</v>
      </c>
    </row>
    <row r="109" spans="1:6" x14ac:dyDescent="0.25">
      <c r="A109" s="170"/>
      <c r="B109" s="175" t="s">
        <v>344</v>
      </c>
      <c r="C109" s="172">
        <v>1</v>
      </c>
      <c r="D109" s="172" t="s">
        <v>298</v>
      </c>
      <c r="E109" s="173">
        <v>3424000</v>
      </c>
      <c r="F109" s="173">
        <f t="shared" ref="F109:F111" si="15">C109*E109</f>
        <v>3424000</v>
      </c>
    </row>
    <row r="110" spans="1:6" x14ac:dyDescent="0.25">
      <c r="A110" s="170"/>
      <c r="B110" s="175" t="s">
        <v>358</v>
      </c>
      <c r="C110" s="172">
        <v>4</v>
      </c>
      <c r="D110" s="172" t="s">
        <v>298</v>
      </c>
      <c r="E110" s="173">
        <v>1500000</v>
      </c>
      <c r="F110" s="173">
        <f t="shared" si="15"/>
        <v>6000000</v>
      </c>
    </row>
    <row r="111" spans="1:6" x14ac:dyDescent="0.25">
      <c r="A111" s="170"/>
      <c r="B111" s="175" t="s">
        <v>359</v>
      </c>
      <c r="C111" s="172">
        <v>4</v>
      </c>
      <c r="D111" s="172" t="s">
        <v>298</v>
      </c>
      <c r="E111" s="173">
        <v>1000000</v>
      </c>
      <c r="F111" s="173">
        <f t="shared" si="15"/>
        <v>4000000</v>
      </c>
    </row>
    <row r="112" spans="1:6" x14ac:dyDescent="0.25">
      <c r="A112" s="166" t="s">
        <v>14</v>
      </c>
      <c r="B112" s="166" t="s">
        <v>15</v>
      </c>
      <c r="C112" s="168"/>
      <c r="D112" s="168"/>
      <c r="E112" s="169"/>
      <c r="F112" s="167">
        <f>SUM(F113:F116)</f>
        <v>14300000</v>
      </c>
    </row>
    <row r="113" spans="1:6" ht="18" customHeight="1" x14ac:dyDescent="0.25">
      <c r="A113" s="170"/>
      <c r="B113" s="176" t="s">
        <v>360</v>
      </c>
      <c r="C113" s="172">
        <v>2</v>
      </c>
      <c r="D113" s="172" t="s">
        <v>296</v>
      </c>
      <c r="E113" s="173">
        <v>450000</v>
      </c>
      <c r="F113" s="173">
        <f>C113*E113</f>
        <v>900000</v>
      </c>
    </row>
    <row r="114" spans="1:6" ht="18" customHeight="1" x14ac:dyDescent="0.25">
      <c r="A114" s="170"/>
      <c r="B114" s="176" t="s">
        <v>361</v>
      </c>
      <c r="C114" s="172">
        <v>2</v>
      </c>
      <c r="D114" s="172" t="s">
        <v>296</v>
      </c>
      <c r="E114" s="173">
        <v>400000</v>
      </c>
      <c r="F114" s="173">
        <f t="shared" ref="F114:F116" si="16">C114*E114</f>
        <v>800000</v>
      </c>
    </row>
    <row r="115" spans="1:6" ht="18" customHeight="1" x14ac:dyDescent="0.25">
      <c r="A115" s="170"/>
      <c r="B115" s="176" t="s">
        <v>362</v>
      </c>
      <c r="C115" s="172">
        <v>2</v>
      </c>
      <c r="D115" s="172" t="s">
        <v>296</v>
      </c>
      <c r="E115" s="173">
        <v>300000</v>
      </c>
      <c r="F115" s="173">
        <f t="shared" si="16"/>
        <v>600000</v>
      </c>
    </row>
    <row r="116" spans="1:6" ht="18" customHeight="1" x14ac:dyDescent="0.25">
      <c r="A116" s="170"/>
      <c r="B116" s="176" t="s">
        <v>363</v>
      </c>
      <c r="C116" s="172">
        <v>40</v>
      </c>
      <c r="D116" s="172" t="s">
        <v>296</v>
      </c>
      <c r="E116" s="173">
        <v>300000</v>
      </c>
      <c r="F116" s="173">
        <f t="shared" si="16"/>
        <v>12000000</v>
      </c>
    </row>
    <row r="117" spans="1:6" x14ac:dyDescent="0.25">
      <c r="A117" s="166" t="s">
        <v>16</v>
      </c>
      <c r="B117" s="166" t="s">
        <v>17</v>
      </c>
      <c r="C117" s="168"/>
      <c r="D117" s="168"/>
      <c r="E117" s="169"/>
      <c r="F117" s="167">
        <f>SUM(F118:F120)</f>
        <v>182100000</v>
      </c>
    </row>
    <row r="118" spans="1:6" ht="18" customHeight="1" x14ac:dyDescent="0.25">
      <c r="A118" s="170"/>
      <c r="B118" s="171" t="s">
        <v>371</v>
      </c>
      <c r="C118" s="172">
        <v>64</v>
      </c>
      <c r="D118" s="172" t="s">
        <v>297</v>
      </c>
      <c r="E118" s="173">
        <v>1000000</v>
      </c>
      <c r="F118" s="173">
        <f>C118*E118</f>
        <v>64000000</v>
      </c>
    </row>
    <row r="119" spans="1:6" x14ac:dyDescent="0.25">
      <c r="A119" s="170"/>
      <c r="B119" s="171" t="s">
        <v>372</v>
      </c>
      <c r="C119" s="172">
        <v>8</v>
      </c>
      <c r="D119" s="172" t="s">
        <v>347</v>
      </c>
      <c r="E119" s="173">
        <v>700000</v>
      </c>
      <c r="F119" s="173">
        <f t="shared" ref="F119" si="17">C119*E119</f>
        <v>5600000</v>
      </c>
    </row>
    <row r="120" spans="1:6" x14ac:dyDescent="0.25">
      <c r="A120" s="170"/>
      <c r="B120" s="171" t="s">
        <v>377</v>
      </c>
      <c r="C120" s="172">
        <v>750</v>
      </c>
      <c r="D120" s="172" t="s">
        <v>297</v>
      </c>
      <c r="E120" s="173">
        <v>150000</v>
      </c>
      <c r="F120" s="173">
        <f>C120*E120</f>
        <v>112500000</v>
      </c>
    </row>
    <row r="121" spans="1:6" x14ac:dyDescent="0.25">
      <c r="A121" s="166" t="s">
        <v>28</v>
      </c>
      <c r="B121" s="166" t="s">
        <v>29</v>
      </c>
      <c r="C121" s="168"/>
      <c r="D121" s="168"/>
      <c r="E121" s="169"/>
      <c r="F121" s="167">
        <f>SUM(F122:F124)</f>
        <v>80750000</v>
      </c>
    </row>
    <row r="122" spans="1:6" ht="19.5" customHeight="1" x14ac:dyDescent="0.25">
      <c r="A122" s="170"/>
      <c r="B122" s="171" t="s">
        <v>378</v>
      </c>
      <c r="C122" s="172">
        <v>75</v>
      </c>
      <c r="D122" s="172" t="s">
        <v>301</v>
      </c>
      <c r="E122" s="173">
        <v>430000</v>
      </c>
      <c r="F122" s="173">
        <f>C122*E122</f>
        <v>32250000</v>
      </c>
    </row>
    <row r="123" spans="1:6" ht="18.75" customHeight="1" x14ac:dyDescent="0.25">
      <c r="A123" s="170"/>
      <c r="B123" s="171" t="s">
        <v>379</v>
      </c>
      <c r="C123" s="172">
        <v>50</v>
      </c>
      <c r="D123" s="172" t="s">
        <v>296</v>
      </c>
      <c r="E123" s="173">
        <v>284000</v>
      </c>
      <c r="F123" s="173">
        <f t="shared" ref="F123" si="18">C123*E123</f>
        <v>14200000</v>
      </c>
    </row>
    <row r="124" spans="1:6" ht="18.75" customHeight="1" x14ac:dyDescent="0.25">
      <c r="A124" s="170"/>
      <c r="B124" s="171" t="s">
        <v>544</v>
      </c>
      <c r="C124" s="172">
        <v>50</v>
      </c>
      <c r="D124" s="172" t="s">
        <v>296</v>
      </c>
      <c r="E124" s="173">
        <v>686000</v>
      </c>
      <c r="F124" s="173">
        <f>C124*E124</f>
        <v>34300000</v>
      </c>
    </row>
    <row r="125" spans="1:6" x14ac:dyDescent="0.25">
      <c r="A125" s="166" t="s">
        <v>18</v>
      </c>
      <c r="B125" s="166" t="s">
        <v>19</v>
      </c>
      <c r="C125" s="168"/>
      <c r="D125" s="168"/>
      <c r="E125" s="169"/>
      <c r="F125" s="167">
        <f>SUM(F126:F128)</f>
        <v>128600000</v>
      </c>
    </row>
    <row r="126" spans="1:6" ht="20.25" customHeight="1" x14ac:dyDescent="0.25">
      <c r="A126" s="170"/>
      <c r="B126" s="171" t="s">
        <v>539</v>
      </c>
      <c r="C126" s="172">
        <v>300</v>
      </c>
      <c r="D126" s="172" t="s">
        <v>301</v>
      </c>
      <c r="E126" s="173">
        <v>210000</v>
      </c>
      <c r="F126" s="173">
        <f>C126*E126</f>
        <v>63000000</v>
      </c>
    </row>
    <row r="127" spans="1:6" x14ac:dyDescent="0.25">
      <c r="A127" s="170"/>
      <c r="B127" s="171" t="s">
        <v>540</v>
      </c>
      <c r="C127" s="172">
        <v>300</v>
      </c>
      <c r="D127" s="172" t="s">
        <v>296</v>
      </c>
      <c r="E127" s="173">
        <v>170000</v>
      </c>
      <c r="F127" s="173">
        <f>C127*E127</f>
        <v>51000000</v>
      </c>
    </row>
    <row r="128" spans="1:6" ht="18.75" customHeight="1" x14ac:dyDescent="0.25">
      <c r="A128" s="170"/>
      <c r="B128" s="171" t="s">
        <v>545</v>
      </c>
      <c r="C128" s="172">
        <v>20</v>
      </c>
      <c r="D128" s="172" t="s">
        <v>296</v>
      </c>
      <c r="E128" s="210">
        <v>730000</v>
      </c>
      <c r="F128" s="173">
        <f>C128*E128</f>
        <v>14600000</v>
      </c>
    </row>
    <row r="129" spans="1:6" x14ac:dyDescent="0.25">
      <c r="A129" s="162" t="s">
        <v>40</v>
      </c>
      <c r="B129" s="162" t="s">
        <v>41</v>
      </c>
      <c r="C129" s="163"/>
      <c r="D129" s="163"/>
      <c r="E129" s="164"/>
      <c r="F129" s="165">
        <f>F130+F136+F141+F144+F148</f>
        <v>321266000</v>
      </c>
    </row>
    <row r="130" spans="1:6" x14ac:dyDescent="0.25">
      <c r="A130" s="166" t="s">
        <v>22</v>
      </c>
      <c r="B130" s="166" t="s">
        <v>23</v>
      </c>
      <c r="C130" s="168"/>
      <c r="D130" s="168"/>
      <c r="E130" s="169"/>
      <c r="F130" s="167">
        <f>SUM(F131:F135)</f>
        <v>108136000</v>
      </c>
    </row>
    <row r="131" spans="1:6" x14ac:dyDescent="0.25">
      <c r="A131" s="170"/>
      <c r="B131" s="171" t="s">
        <v>375</v>
      </c>
      <c r="C131" s="172">
        <v>1200</v>
      </c>
      <c r="D131" s="172" t="s">
        <v>296</v>
      </c>
      <c r="E131" s="210">
        <v>57000</v>
      </c>
      <c r="F131" s="173">
        <f>C131*E131</f>
        <v>68400000</v>
      </c>
    </row>
    <row r="132" spans="1:6" x14ac:dyDescent="0.25">
      <c r="A132" s="170"/>
      <c r="B132" s="171" t="s">
        <v>376</v>
      </c>
      <c r="C132" s="172">
        <v>1200</v>
      </c>
      <c r="D132" s="172" t="s">
        <v>296</v>
      </c>
      <c r="E132" s="173">
        <v>24000</v>
      </c>
      <c r="F132" s="173">
        <f>C132*E132</f>
        <v>28800000</v>
      </c>
    </row>
    <row r="133" spans="1:6" x14ac:dyDescent="0.25">
      <c r="A133" s="170"/>
      <c r="B133" s="175" t="s">
        <v>344</v>
      </c>
      <c r="C133" s="172">
        <v>1</v>
      </c>
      <c r="D133" s="172" t="s">
        <v>298</v>
      </c>
      <c r="E133" s="173">
        <v>2936000</v>
      </c>
      <c r="F133" s="173">
        <f t="shared" ref="F133:F135" si="19">C133*E133</f>
        <v>2936000</v>
      </c>
    </row>
    <row r="134" spans="1:6" x14ac:dyDescent="0.25">
      <c r="A134" s="170"/>
      <c r="B134" s="175" t="s">
        <v>358</v>
      </c>
      <c r="C134" s="172">
        <v>4</v>
      </c>
      <c r="D134" s="172" t="s">
        <v>298</v>
      </c>
      <c r="E134" s="173">
        <v>1000000</v>
      </c>
      <c r="F134" s="173">
        <f t="shared" si="19"/>
        <v>4000000</v>
      </c>
    </row>
    <row r="135" spans="1:6" x14ac:dyDescent="0.25">
      <c r="A135" s="170"/>
      <c r="B135" s="175" t="s">
        <v>359</v>
      </c>
      <c r="C135" s="172">
        <v>4</v>
      </c>
      <c r="D135" s="172" t="s">
        <v>298</v>
      </c>
      <c r="E135" s="173">
        <v>1000000</v>
      </c>
      <c r="F135" s="173">
        <f t="shared" si="19"/>
        <v>4000000</v>
      </c>
    </row>
    <row r="136" spans="1:6" x14ac:dyDescent="0.25">
      <c r="A136" s="166" t="s">
        <v>14</v>
      </c>
      <c r="B136" s="166" t="s">
        <v>15</v>
      </c>
      <c r="C136" s="168"/>
      <c r="D136" s="168"/>
      <c r="E136" s="169"/>
      <c r="F136" s="167">
        <f>SUM(F137:F140)</f>
        <v>22600000</v>
      </c>
    </row>
    <row r="137" spans="1:6" ht="18" customHeight="1" x14ac:dyDescent="0.25">
      <c r="A137" s="170"/>
      <c r="B137" s="176" t="s">
        <v>360</v>
      </c>
      <c r="C137" s="172">
        <v>4</v>
      </c>
      <c r="D137" s="172" t="s">
        <v>296</v>
      </c>
      <c r="E137" s="173">
        <v>450000</v>
      </c>
      <c r="F137" s="173">
        <f>C137*E137</f>
        <v>1800000</v>
      </c>
    </row>
    <row r="138" spans="1:6" ht="18" customHeight="1" x14ac:dyDescent="0.25">
      <c r="A138" s="170"/>
      <c r="B138" s="176" t="s">
        <v>361</v>
      </c>
      <c r="C138" s="172">
        <v>4</v>
      </c>
      <c r="D138" s="172" t="s">
        <v>296</v>
      </c>
      <c r="E138" s="173">
        <v>400000</v>
      </c>
      <c r="F138" s="173">
        <f t="shared" ref="F138:F140" si="20">C138*E138</f>
        <v>1600000</v>
      </c>
    </row>
    <row r="139" spans="1:6" ht="18" customHeight="1" x14ac:dyDescent="0.25">
      <c r="A139" s="170"/>
      <c r="B139" s="176" t="s">
        <v>362</v>
      </c>
      <c r="C139" s="172">
        <v>4</v>
      </c>
      <c r="D139" s="172" t="s">
        <v>296</v>
      </c>
      <c r="E139" s="173">
        <v>300000</v>
      </c>
      <c r="F139" s="173">
        <f t="shared" si="20"/>
        <v>1200000</v>
      </c>
    </row>
    <row r="140" spans="1:6" ht="18" customHeight="1" x14ac:dyDescent="0.25">
      <c r="A140" s="170"/>
      <c r="B140" s="176" t="s">
        <v>363</v>
      </c>
      <c r="C140" s="172">
        <v>60</v>
      </c>
      <c r="D140" s="172" t="s">
        <v>296</v>
      </c>
      <c r="E140" s="173">
        <v>300000</v>
      </c>
      <c r="F140" s="173">
        <f t="shared" si="20"/>
        <v>18000000</v>
      </c>
    </row>
    <row r="141" spans="1:6" x14ac:dyDescent="0.25">
      <c r="A141" s="166" t="s">
        <v>16</v>
      </c>
      <c r="B141" s="166" t="s">
        <v>17</v>
      </c>
      <c r="C141" s="168"/>
      <c r="D141" s="168"/>
      <c r="E141" s="169"/>
      <c r="F141" s="167">
        <f>SUM(F142:F143)</f>
        <v>69600000</v>
      </c>
    </row>
    <row r="142" spans="1:6" ht="18" customHeight="1" x14ac:dyDescent="0.25">
      <c r="A142" s="170"/>
      <c r="B142" s="171" t="s">
        <v>371</v>
      </c>
      <c r="C142" s="172">
        <v>64</v>
      </c>
      <c r="D142" s="172" t="s">
        <v>297</v>
      </c>
      <c r="E142" s="173">
        <v>1000000</v>
      </c>
      <c r="F142" s="173">
        <f>C142*E142</f>
        <v>64000000</v>
      </c>
    </row>
    <row r="143" spans="1:6" ht="15.75" customHeight="1" x14ac:dyDescent="0.25">
      <c r="A143" s="170"/>
      <c r="B143" s="171" t="s">
        <v>372</v>
      </c>
      <c r="C143" s="172">
        <v>8</v>
      </c>
      <c r="D143" s="172" t="s">
        <v>347</v>
      </c>
      <c r="E143" s="173">
        <v>700000</v>
      </c>
      <c r="F143" s="173">
        <f t="shared" ref="F143" si="21">C143*E143</f>
        <v>5600000</v>
      </c>
    </row>
    <row r="144" spans="1:6" x14ac:dyDescent="0.25">
      <c r="A144" s="166" t="s">
        <v>28</v>
      </c>
      <c r="B144" s="166" t="s">
        <v>29</v>
      </c>
      <c r="C144" s="168"/>
      <c r="D144" s="168"/>
      <c r="E144" s="169"/>
      <c r="F144" s="167">
        <f>SUM(F145:F147)</f>
        <v>80750000</v>
      </c>
    </row>
    <row r="145" spans="1:6" ht="19.5" customHeight="1" x14ac:dyDescent="0.25">
      <c r="A145" s="170"/>
      <c r="B145" s="171" t="s">
        <v>378</v>
      </c>
      <c r="C145" s="172">
        <v>75</v>
      </c>
      <c r="D145" s="172" t="s">
        <v>301</v>
      </c>
      <c r="E145" s="173">
        <v>430000</v>
      </c>
      <c r="F145" s="173">
        <f>C145*E145</f>
        <v>32250000</v>
      </c>
    </row>
    <row r="146" spans="1:6" ht="18.75" customHeight="1" x14ac:dyDescent="0.25">
      <c r="A146" s="170"/>
      <c r="B146" s="171" t="s">
        <v>379</v>
      </c>
      <c r="C146" s="172">
        <v>50</v>
      </c>
      <c r="D146" s="172" t="s">
        <v>296</v>
      </c>
      <c r="E146" s="173">
        <v>284000</v>
      </c>
      <c r="F146" s="173">
        <f t="shared" ref="F146" si="22">C146*E146</f>
        <v>14200000</v>
      </c>
    </row>
    <row r="147" spans="1:6" ht="18.75" customHeight="1" x14ac:dyDescent="0.25">
      <c r="A147" s="170"/>
      <c r="B147" s="171" t="s">
        <v>544</v>
      </c>
      <c r="C147" s="172">
        <v>50</v>
      </c>
      <c r="D147" s="172" t="s">
        <v>296</v>
      </c>
      <c r="E147" s="173">
        <v>686000</v>
      </c>
      <c r="F147" s="173">
        <f>C147*E147</f>
        <v>34300000</v>
      </c>
    </row>
    <row r="148" spans="1:6" x14ac:dyDescent="0.25">
      <c r="A148" s="166" t="s">
        <v>18</v>
      </c>
      <c r="B148" s="166" t="s">
        <v>19</v>
      </c>
      <c r="C148" s="168"/>
      <c r="D148" s="168"/>
      <c r="E148" s="169"/>
      <c r="F148" s="167">
        <f>SUM(F149:F152)</f>
        <v>40180000</v>
      </c>
    </row>
    <row r="149" spans="1:6" ht="20.25" customHeight="1" x14ac:dyDescent="0.25">
      <c r="A149" s="170"/>
      <c r="B149" s="171" t="s">
        <v>546</v>
      </c>
      <c r="C149" s="172">
        <v>50</v>
      </c>
      <c r="D149" s="172" t="s">
        <v>301</v>
      </c>
      <c r="E149" s="173">
        <v>210000</v>
      </c>
      <c r="F149" s="173">
        <f>C149*E149</f>
        <v>10500000</v>
      </c>
    </row>
    <row r="150" spans="1:6" x14ac:dyDescent="0.25">
      <c r="A150" s="170"/>
      <c r="B150" s="171" t="s">
        <v>547</v>
      </c>
      <c r="C150" s="172">
        <v>50</v>
      </c>
      <c r="D150" s="172" t="s">
        <v>296</v>
      </c>
      <c r="E150" s="173">
        <v>170000</v>
      </c>
      <c r="F150" s="173">
        <f>C150*E150</f>
        <v>8500000</v>
      </c>
    </row>
    <row r="151" spans="1:6" ht="20.25" customHeight="1" x14ac:dyDescent="0.25">
      <c r="A151" s="170"/>
      <c r="B151" s="171" t="s">
        <v>548</v>
      </c>
      <c r="C151" s="172">
        <v>100</v>
      </c>
      <c r="D151" s="172" t="s">
        <v>301</v>
      </c>
      <c r="E151" s="210">
        <v>95000</v>
      </c>
      <c r="F151" s="173">
        <f>C151*E151</f>
        <v>9500000</v>
      </c>
    </row>
    <row r="152" spans="1:6" ht="18.75" customHeight="1" x14ac:dyDescent="0.25">
      <c r="A152" s="170"/>
      <c r="B152" s="171" t="s">
        <v>549</v>
      </c>
      <c r="C152" s="172">
        <v>16</v>
      </c>
      <c r="D152" s="172" t="s">
        <v>296</v>
      </c>
      <c r="E152" s="210">
        <v>730000</v>
      </c>
      <c r="F152" s="173">
        <f>C152*E152</f>
        <v>11680000</v>
      </c>
    </row>
    <row r="153" spans="1:6" ht="16.5" customHeight="1" x14ac:dyDescent="0.25">
      <c r="A153" s="162" t="s">
        <v>42</v>
      </c>
      <c r="B153" s="162" t="s">
        <v>43</v>
      </c>
      <c r="C153" s="163"/>
      <c r="D153" s="163"/>
      <c r="E153" s="164"/>
      <c r="F153" s="165">
        <f>F154+F160+F165+F168+F171</f>
        <v>199297000</v>
      </c>
    </row>
    <row r="154" spans="1:6" x14ac:dyDescent="0.25">
      <c r="A154" s="166" t="s">
        <v>22</v>
      </c>
      <c r="B154" s="166" t="s">
        <v>23</v>
      </c>
      <c r="C154" s="168"/>
      <c r="D154" s="168"/>
      <c r="E154" s="169"/>
      <c r="F154" s="167">
        <f>SUM(F155:F159)</f>
        <v>106379000</v>
      </c>
    </row>
    <row r="155" spans="1:6" x14ac:dyDescent="0.25">
      <c r="A155" s="170"/>
      <c r="B155" s="171" t="s">
        <v>375</v>
      </c>
      <c r="C155" s="172">
        <v>1200</v>
      </c>
      <c r="D155" s="172" t="s">
        <v>296</v>
      </c>
      <c r="E155" s="210">
        <v>57000</v>
      </c>
      <c r="F155" s="173">
        <f>C155*E155</f>
        <v>68400000</v>
      </c>
    </row>
    <row r="156" spans="1:6" x14ac:dyDescent="0.25">
      <c r="A156" s="170"/>
      <c r="B156" s="171" t="s">
        <v>376</v>
      </c>
      <c r="C156" s="172">
        <v>1200</v>
      </c>
      <c r="D156" s="172" t="s">
        <v>296</v>
      </c>
      <c r="E156" s="173">
        <v>24000</v>
      </c>
      <c r="F156" s="173">
        <f>C156*E156</f>
        <v>28800000</v>
      </c>
    </row>
    <row r="157" spans="1:6" x14ac:dyDescent="0.25">
      <c r="A157" s="170"/>
      <c r="B157" s="175" t="s">
        <v>344</v>
      </c>
      <c r="C157" s="172">
        <v>1</v>
      </c>
      <c r="D157" s="172" t="s">
        <v>298</v>
      </c>
      <c r="E157" s="173">
        <v>1179000</v>
      </c>
      <c r="F157" s="173">
        <f t="shared" ref="F157:F159" si="23">C157*E157</f>
        <v>1179000</v>
      </c>
    </row>
    <row r="158" spans="1:6" x14ac:dyDescent="0.25">
      <c r="A158" s="170"/>
      <c r="B158" s="175" t="s">
        <v>358</v>
      </c>
      <c r="C158" s="172">
        <v>4</v>
      </c>
      <c r="D158" s="172" t="s">
        <v>298</v>
      </c>
      <c r="E158" s="173">
        <v>1000000</v>
      </c>
      <c r="F158" s="173">
        <f t="shared" si="23"/>
        <v>4000000</v>
      </c>
    </row>
    <row r="159" spans="1:6" x14ac:dyDescent="0.25">
      <c r="A159" s="170"/>
      <c r="B159" s="175" t="s">
        <v>359</v>
      </c>
      <c r="C159" s="172">
        <v>4</v>
      </c>
      <c r="D159" s="172" t="s">
        <v>298</v>
      </c>
      <c r="E159" s="173">
        <v>1000000</v>
      </c>
      <c r="F159" s="173">
        <f t="shared" si="23"/>
        <v>4000000</v>
      </c>
    </row>
    <row r="160" spans="1:6" x14ac:dyDescent="0.25">
      <c r="A160" s="166" t="s">
        <v>14</v>
      </c>
      <c r="B160" s="166" t="s">
        <v>15</v>
      </c>
      <c r="C160" s="168"/>
      <c r="D160" s="168"/>
      <c r="E160" s="169"/>
      <c r="F160" s="167">
        <f>SUM(F161:F164)</f>
        <v>4750000</v>
      </c>
    </row>
    <row r="161" spans="1:6" ht="18" customHeight="1" x14ac:dyDescent="0.25">
      <c r="A161" s="170"/>
      <c r="B161" s="176" t="s">
        <v>360</v>
      </c>
      <c r="C161" s="172">
        <v>1</v>
      </c>
      <c r="D161" s="172" t="s">
        <v>296</v>
      </c>
      <c r="E161" s="173">
        <v>450000</v>
      </c>
      <c r="F161" s="173">
        <f>C161*E161</f>
        <v>450000</v>
      </c>
    </row>
    <row r="162" spans="1:6" ht="18" customHeight="1" x14ac:dyDescent="0.25">
      <c r="A162" s="170"/>
      <c r="B162" s="176" t="s">
        <v>361</v>
      </c>
      <c r="C162" s="172">
        <v>1</v>
      </c>
      <c r="D162" s="172" t="s">
        <v>296</v>
      </c>
      <c r="E162" s="173">
        <v>400000</v>
      </c>
      <c r="F162" s="173">
        <f t="shared" ref="F162:F164" si="24">C162*E162</f>
        <v>400000</v>
      </c>
    </row>
    <row r="163" spans="1:6" ht="18" customHeight="1" x14ac:dyDescent="0.25">
      <c r="A163" s="170"/>
      <c r="B163" s="176" t="s">
        <v>362</v>
      </c>
      <c r="C163" s="172">
        <v>1</v>
      </c>
      <c r="D163" s="172" t="s">
        <v>296</v>
      </c>
      <c r="E163" s="173">
        <v>300000</v>
      </c>
      <c r="F163" s="173">
        <f t="shared" si="24"/>
        <v>300000</v>
      </c>
    </row>
    <row r="164" spans="1:6" ht="18" customHeight="1" x14ac:dyDescent="0.25">
      <c r="A164" s="170"/>
      <c r="B164" s="176" t="s">
        <v>363</v>
      </c>
      <c r="C164" s="172">
        <v>12</v>
      </c>
      <c r="D164" s="172" t="s">
        <v>296</v>
      </c>
      <c r="E164" s="173">
        <v>300000</v>
      </c>
      <c r="F164" s="173">
        <f t="shared" si="24"/>
        <v>3600000</v>
      </c>
    </row>
    <row r="165" spans="1:6" x14ac:dyDescent="0.25">
      <c r="A165" s="166" t="s">
        <v>16</v>
      </c>
      <c r="B165" s="166" t="s">
        <v>17</v>
      </c>
      <c r="C165" s="168"/>
      <c r="D165" s="168"/>
      <c r="E165" s="169"/>
      <c r="F165" s="167">
        <f>SUM(F166:F167)</f>
        <v>41600000</v>
      </c>
    </row>
    <row r="166" spans="1:6" ht="18" customHeight="1" x14ac:dyDescent="0.25">
      <c r="A166" s="170"/>
      <c r="B166" s="171" t="s">
        <v>529</v>
      </c>
      <c r="C166" s="172">
        <v>36</v>
      </c>
      <c r="D166" s="172" t="s">
        <v>297</v>
      </c>
      <c r="E166" s="173">
        <v>1000000</v>
      </c>
      <c r="F166" s="173">
        <f>C166*E166</f>
        <v>36000000</v>
      </c>
    </row>
    <row r="167" spans="1:6" x14ac:dyDescent="0.25">
      <c r="A167" s="170"/>
      <c r="B167" s="171" t="s">
        <v>372</v>
      </c>
      <c r="C167" s="172">
        <v>8</v>
      </c>
      <c r="D167" s="172" t="s">
        <v>347</v>
      </c>
      <c r="E167" s="173">
        <v>700000</v>
      </c>
      <c r="F167" s="173">
        <f t="shared" ref="F167" si="25">C167*E167</f>
        <v>5600000</v>
      </c>
    </row>
    <row r="168" spans="1:6" x14ac:dyDescent="0.25">
      <c r="A168" s="166" t="s">
        <v>28</v>
      </c>
      <c r="B168" s="166" t="s">
        <v>29</v>
      </c>
      <c r="C168" s="168"/>
      <c r="D168" s="168"/>
      <c r="E168" s="169"/>
      <c r="F168" s="167">
        <f>SUM(F169:F170)</f>
        <v>8568000</v>
      </c>
    </row>
    <row r="169" spans="1:6" x14ac:dyDescent="0.25">
      <c r="A169" s="170"/>
      <c r="B169" s="171" t="s">
        <v>365</v>
      </c>
      <c r="C169" s="172">
        <v>12</v>
      </c>
      <c r="D169" s="172" t="s">
        <v>301</v>
      </c>
      <c r="E169" s="173">
        <v>430000</v>
      </c>
      <c r="F169" s="173">
        <f>C169*E169</f>
        <v>5160000</v>
      </c>
    </row>
    <row r="170" spans="1:6" x14ac:dyDescent="0.25">
      <c r="A170" s="170"/>
      <c r="B170" s="171" t="s">
        <v>366</v>
      </c>
      <c r="C170" s="172">
        <v>12</v>
      </c>
      <c r="D170" s="172" t="s">
        <v>296</v>
      </c>
      <c r="E170" s="173">
        <v>284000</v>
      </c>
      <c r="F170" s="173">
        <f t="shared" ref="F170" si="26">C170*E170</f>
        <v>3408000</v>
      </c>
    </row>
    <row r="171" spans="1:6" x14ac:dyDescent="0.25">
      <c r="A171" s="166" t="s">
        <v>18</v>
      </c>
      <c r="B171" s="166" t="s">
        <v>19</v>
      </c>
      <c r="C171" s="168"/>
      <c r="D171" s="168"/>
      <c r="E171" s="169"/>
      <c r="F171" s="167">
        <f>SUM(F172:F173)</f>
        <v>38000000</v>
      </c>
    </row>
    <row r="172" spans="1:6" ht="20.25" customHeight="1" x14ac:dyDescent="0.25">
      <c r="A172" s="170"/>
      <c r="B172" s="171" t="s">
        <v>373</v>
      </c>
      <c r="C172" s="172">
        <v>100</v>
      </c>
      <c r="D172" s="172" t="s">
        <v>301</v>
      </c>
      <c r="E172" s="173">
        <v>210000</v>
      </c>
      <c r="F172" s="173">
        <f>C172*E172</f>
        <v>21000000</v>
      </c>
    </row>
    <row r="173" spans="1:6" x14ac:dyDescent="0.25">
      <c r="A173" s="170"/>
      <c r="B173" s="171" t="s">
        <v>374</v>
      </c>
      <c r="C173" s="172">
        <v>100</v>
      </c>
      <c r="D173" s="172" t="s">
        <v>296</v>
      </c>
      <c r="E173" s="173">
        <v>170000</v>
      </c>
      <c r="F173" s="173">
        <f>C173*E173</f>
        <v>17000000</v>
      </c>
    </row>
    <row r="174" spans="1:6" ht="18.75" customHeight="1" x14ac:dyDescent="0.25">
      <c r="A174" s="170"/>
      <c r="B174" s="171" t="s">
        <v>380</v>
      </c>
      <c r="C174" s="172">
        <v>5</v>
      </c>
      <c r="D174" s="172" t="s">
        <v>296</v>
      </c>
      <c r="E174" s="210">
        <v>730000</v>
      </c>
      <c r="F174" s="173">
        <f>C174*E174</f>
        <v>3650000</v>
      </c>
    </row>
    <row r="175" spans="1:6" ht="20.25" customHeight="1" x14ac:dyDescent="0.25">
      <c r="A175" s="170"/>
      <c r="B175" s="171" t="s">
        <v>528</v>
      </c>
      <c r="C175" s="172">
        <v>100</v>
      </c>
      <c r="D175" s="172" t="s">
        <v>301</v>
      </c>
      <c r="E175" s="210">
        <v>95000</v>
      </c>
      <c r="F175" s="173">
        <f>C175*E175</f>
        <v>9500000</v>
      </c>
    </row>
    <row r="176" spans="1:6" x14ac:dyDescent="0.25">
      <c r="A176" s="162" t="s">
        <v>44</v>
      </c>
      <c r="B176" s="162" t="s">
        <v>45</v>
      </c>
      <c r="C176" s="163"/>
      <c r="D176" s="163"/>
      <c r="E176" s="164"/>
      <c r="F176" s="165">
        <f>F177+F184+F189+F192+F196+F199</f>
        <v>439298000</v>
      </c>
    </row>
    <row r="177" spans="1:6" x14ac:dyDescent="0.25">
      <c r="A177" s="166" t="s">
        <v>22</v>
      </c>
      <c r="B177" s="166" t="s">
        <v>23</v>
      </c>
      <c r="C177" s="168"/>
      <c r="D177" s="168"/>
      <c r="E177" s="169"/>
      <c r="F177" s="167">
        <f>SUM(F178:F183)</f>
        <v>117198000</v>
      </c>
    </row>
    <row r="178" spans="1:6" x14ac:dyDescent="0.25">
      <c r="A178" s="170"/>
      <c r="B178" s="171" t="s">
        <v>375</v>
      </c>
      <c r="C178" s="172">
        <v>1200</v>
      </c>
      <c r="D178" s="172" t="s">
        <v>296</v>
      </c>
      <c r="E178" s="210">
        <v>57000</v>
      </c>
      <c r="F178" s="173">
        <f>C178*E178</f>
        <v>68400000</v>
      </c>
    </row>
    <row r="179" spans="1:6" x14ac:dyDescent="0.25">
      <c r="A179" s="170"/>
      <c r="B179" s="171" t="s">
        <v>376</v>
      </c>
      <c r="C179" s="172">
        <v>1200</v>
      </c>
      <c r="D179" s="172" t="s">
        <v>296</v>
      </c>
      <c r="E179" s="173">
        <v>24000</v>
      </c>
      <c r="F179" s="173">
        <f>C179*E179</f>
        <v>28800000</v>
      </c>
    </row>
    <row r="180" spans="1:6" x14ac:dyDescent="0.25">
      <c r="A180" s="170"/>
      <c r="B180" s="175" t="s">
        <v>344</v>
      </c>
      <c r="C180" s="172">
        <v>1</v>
      </c>
      <c r="D180" s="172" t="s">
        <v>298</v>
      </c>
      <c r="E180" s="173">
        <v>1998000</v>
      </c>
      <c r="F180" s="173">
        <f t="shared" ref="F180:F183" si="27">C180*E180</f>
        <v>1998000</v>
      </c>
    </row>
    <row r="181" spans="1:6" x14ac:dyDescent="0.25">
      <c r="A181" s="170"/>
      <c r="B181" s="175" t="s">
        <v>381</v>
      </c>
      <c r="C181" s="172">
        <v>150</v>
      </c>
      <c r="D181" s="172" t="s">
        <v>296</v>
      </c>
      <c r="E181" s="173">
        <v>40000</v>
      </c>
      <c r="F181" s="173">
        <f t="shared" si="27"/>
        <v>6000000</v>
      </c>
    </row>
    <row r="182" spans="1:6" x14ac:dyDescent="0.25">
      <c r="A182" s="170"/>
      <c r="B182" s="175" t="s">
        <v>358</v>
      </c>
      <c r="C182" s="172">
        <v>4</v>
      </c>
      <c r="D182" s="172" t="s">
        <v>298</v>
      </c>
      <c r="E182" s="173">
        <v>2000000</v>
      </c>
      <c r="F182" s="173">
        <f t="shared" si="27"/>
        <v>8000000</v>
      </c>
    </row>
    <row r="183" spans="1:6" x14ac:dyDescent="0.25">
      <c r="A183" s="170"/>
      <c r="B183" s="175" t="s">
        <v>359</v>
      </c>
      <c r="C183" s="172">
        <v>4</v>
      </c>
      <c r="D183" s="172" t="s">
        <v>298</v>
      </c>
      <c r="E183" s="173">
        <v>1000000</v>
      </c>
      <c r="F183" s="173">
        <f t="shared" si="27"/>
        <v>4000000</v>
      </c>
    </row>
    <row r="184" spans="1:6" x14ac:dyDescent="0.25">
      <c r="A184" s="166" t="s">
        <v>14</v>
      </c>
      <c r="B184" s="166" t="s">
        <v>15</v>
      </c>
      <c r="C184" s="168"/>
      <c r="D184" s="168"/>
      <c r="E184" s="169"/>
      <c r="F184" s="167">
        <f>SUM(F185:F188)</f>
        <v>4750000</v>
      </c>
    </row>
    <row r="185" spans="1:6" ht="18" customHeight="1" x14ac:dyDescent="0.25">
      <c r="A185" s="170"/>
      <c r="B185" s="176" t="s">
        <v>360</v>
      </c>
      <c r="C185" s="172">
        <v>1</v>
      </c>
      <c r="D185" s="172" t="s">
        <v>296</v>
      </c>
      <c r="E185" s="173">
        <v>450000</v>
      </c>
      <c r="F185" s="173">
        <f>C185*E185</f>
        <v>450000</v>
      </c>
    </row>
    <row r="186" spans="1:6" ht="18" customHeight="1" x14ac:dyDescent="0.25">
      <c r="A186" s="170"/>
      <c r="B186" s="176" t="s">
        <v>361</v>
      </c>
      <c r="C186" s="172">
        <v>1</v>
      </c>
      <c r="D186" s="172" t="s">
        <v>296</v>
      </c>
      <c r="E186" s="173">
        <v>400000</v>
      </c>
      <c r="F186" s="173">
        <f t="shared" ref="F186:F188" si="28">C186*E186</f>
        <v>400000</v>
      </c>
    </row>
    <row r="187" spans="1:6" ht="18" customHeight="1" x14ac:dyDescent="0.25">
      <c r="A187" s="170"/>
      <c r="B187" s="176" t="s">
        <v>362</v>
      </c>
      <c r="C187" s="172">
        <v>1</v>
      </c>
      <c r="D187" s="172" t="s">
        <v>296</v>
      </c>
      <c r="E187" s="173">
        <v>300000</v>
      </c>
      <c r="F187" s="173">
        <f t="shared" si="28"/>
        <v>300000</v>
      </c>
    </row>
    <row r="188" spans="1:6" ht="18" customHeight="1" x14ac:dyDescent="0.25">
      <c r="A188" s="170"/>
      <c r="B188" s="176" t="s">
        <v>363</v>
      </c>
      <c r="C188" s="172">
        <v>12</v>
      </c>
      <c r="D188" s="172" t="s">
        <v>296</v>
      </c>
      <c r="E188" s="173">
        <v>300000</v>
      </c>
      <c r="F188" s="173">
        <f t="shared" si="28"/>
        <v>3600000</v>
      </c>
    </row>
    <row r="189" spans="1:6" x14ac:dyDescent="0.25">
      <c r="A189" s="166" t="s">
        <v>16</v>
      </c>
      <c r="B189" s="166" t="s">
        <v>17</v>
      </c>
      <c r="C189" s="168"/>
      <c r="D189" s="168"/>
      <c r="E189" s="169"/>
      <c r="F189" s="167">
        <f>SUM(F190:F191)</f>
        <v>69600000</v>
      </c>
    </row>
    <row r="190" spans="1:6" ht="18" customHeight="1" x14ac:dyDescent="0.25">
      <c r="A190" s="170"/>
      <c r="B190" s="171" t="s">
        <v>371</v>
      </c>
      <c r="C190" s="172">
        <v>64</v>
      </c>
      <c r="D190" s="172" t="s">
        <v>297</v>
      </c>
      <c r="E190" s="173">
        <v>1000000</v>
      </c>
      <c r="F190" s="173">
        <f>C190*E190</f>
        <v>64000000</v>
      </c>
    </row>
    <row r="191" spans="1:6" x14ac:dyDescent="0.25">
      <c r="A191" s="170"/>
      <c r="B191" s="171" t="s">
        <v>372</v>
      </c>
      <c r="C191" s="172">
        <v>8</v>
      </c>
      <c r="D191" s="172" t="s">
        <v>347</v>
      </c>
      <c r="E191" s="173">
        <v>700000</v>
      </c>
      <c r="F191" s="173">
        <f t="shared" ref="F191" si="29">C191*E191</f>
        <v>5600000</v>
      </c>
    </row>
    <row r="192" spans="1:6" x14ac:dyDescent="0.25">
      <c r="A192" s="166" t="s">
        <v>28</v>
      </c>
      <c r="B192" s="166" t="s">
        <v>29</v>
      </c>
      <c r="C192" s="168"/>
      <c r="D192" s="168"/>
      <c r="E192" s="169"/>
      <c r="F192" s="167">
        <f>SUM(F193:F195)</f>
        <v>80750000</v>
      </c>
    </row>
    <row r="193" spans="1:6" ht="19.5" customHeight="1" x14ac:dyDescent="0.25">
      <c r="A193" s="170"/>
      <c r="B193" s="171" t="s">
        <v>378</v>
      </c>
      <c r="C193" s="172">
        <v>75</v>
      </c>
      <c r="D193" s="172" t="s">
        <v>301</v>
      </c>
      <c r="E193" s="173">
        <v>430000</v>
      </c>
      <c r="F193" s="173">
        <f>C193*E193</f>
        <v>32250000</v>
      </c>
    </row>
    <row r="194" spans="1:6" ht="18.75" customHeight="1" x14ac:dyDescent="0.25">
      <c r="A194" s="170"/>
      <c r="B194" s="171" t="s">
        <v>379</v>
      </c>
      <c r="C194" s="172">
        <v>50</v>
      </c>
      <c r="D194" s="172" t="s">
        <v>296</v>
      </c>
      <c r="E194" s="173">
        <v>284000</v>
      </c>
      <c r="F194" s="173">
        <f t="shared" ref="F194" si="30">C194*E194</f>
        <v>14200000</v>
      </c>
    </row>
    <row r="195" spans="1:6" ht="18.75" customHeight="1" x14ac:dyDescent="0.25">
      <c r="A195" s="170"/>
      <c r="B195" s="171" t="s">
        <v>544</v>
      </c>
      <c r="C195" s="172">
        <v>50</v>
      </c>
      <c r="D195" s="172" t="s">
        <v>296</v>
      </c>
      <c r="E195" s="173">
        <v>686000</v>
      </c>
      <c r="F195" s="173">
        <f>C195*E195</f>
        <v>34300000</v>
      </c>
    </row>
    <row r="196" spans="1:6" x14ac:dyDescent="0.25">
      <c r="A196" s="166" t="s">
        <v>18</v>
      </c>
      <c r="B196" s="166" t="s">
        <v>19</v>
      </c>
      <c r="C196" s="168"/>
      <c r="D196" s="168"/>
      <c r="E196" s="169"/>
      <c r="F196" s="167">
        <f>SUM(F197:F198)</f>
        <v>38000000</v>
      </c>
    </row>
    <row r="197" spans="1:6" ht="20.25" customHeight="1" x14ac:dyDescent="0.25">
      <c r="A197" s="170"/>
      <c r="B197" s="171" t="s">
        <v>373</v>
      </c>
      <c r="C197" s="172">
        <v>100</v>
      </c>
      <c r="D197" s="172" t="s">
        <v>301</v>
      </c>
      <c r="E197" s="173">
        <v>210000</v>
      </c>
      <c r="F197" s="173">
        <f>C197*E197</f>
        <v>21000000</v>
      </c>
    </row>
    <row r="198" spans="1:6" x14ac:dyDescent="0.25">
      <c r="A198" s="170"/>
      <c r="B198" s="171" t="s">
        <v>374</v>
      </c>
      <c r="C198" s="172">
        <v>100</v>
      </c>
      <c r="D198" s="172" t="s">
        <v>296</v>
      </c>
      <c r="E198" s="173">
        <v>170000</v>
      </c>
      <c r="F198" s="173">
        <f>C198*E198</f>
        <v>17000000</v>
      </c>
    </row>
    <row r="199" spans="1:6" x14ac:dyDescent="0.25">
      <c r="A199" s="166" t="s">
        <v>33</v>
      </c>
      <c r="B199" s="166" t="s">
        <v>34</v>
      </c>
      <c r="C199" s="168"/>
      <c r="D199" s="168"/>
      <c r="E199" s="169"/>
      <c r="F199" s="167">
        <f>SUM(F200:F202)</f>
        <v>129000000</v>
      </c>
    </row>
    <row r="200" spans="1:6" ht="20.25" customHeight="1" x14ac:dyDescent="0.25">
      <c r="A200" s="170"/>
      <c r="B200" s="171" t="s">
        <v>373</v>
      </c>
      <c r="C200" s="172">
        <v>100</v>
      </c>
      <c r="D200" s="172" t="s">
        <v>301</v>
      </c>
      <c r="E200" s="173">
        <v>210000</v>
      </c>
      <c r="F200" s="173">
        <f>C200*E200</f>
        <v>21000000</v>
      </c>
    </row>
    <row r="201" spans="1:6" x14ac:dyDescent="0.25">
      <c r="A201" s="170"/>
      <c r="B201" s="171" t="s">
        <v>374</v>
      </c>
      <c r="C201" s="172">
        <v>100</v>
      </c>
      <c r="D201" s="172" t="s">
        <v>296</v>
      </c>
      <c r="E201" s="173">
        <v>170000</v>
      </c>
      <c r="F201" s="173">
        <f>C201*E201</f>
        <v>17000000</v>
      </c>
    </row>
    <row r="202" spans="1:6" x14ac:dyDescent="0.25">
      <c r="A202" s="170"/>
      <c r="B202" s="171" t="s">
        <v>527</v>
      </c>
      <c r="C202" s="172">
        <v>200</v>
      </c>
      <c r="D202" s="172" t="s">
        <v>296</v>
      </c>
      <c r="E202" s="173">
        <v>455000</v>
      </c>
      <c r="F202" s="173">
        <f>C202*E202</f>
        <v>91000000</v>
      </c>
    </row>
    <row r="203" spans="1:6" x14ac:dyDescent="0.25">
      <c r="A203" s="158" t="s">
        <v>46</v>
      </c>
      <c r="B203" s="158" t="s">
        <v>47</v>
      </c>
      <c r="C203" s="159" t="s">
        <v>11</v>
      </c>
      <c r="D203" s="159"/>
      <c r="E203" s="160"/>
      <c r="F203" s="161">
        <f>F204+F225</f>
        <v>564875000</v>
      </c>
    </row>
    <row r="204" spans="1:6" x14ac:dyDescent="0.25">
      <c r="A204" s="162" t="s">
        <v>12</v>
      </c>
      <c r="B204" s="162" t="s">
        <v>48</v>
      </c>
      <c r="C204" s="163"/>
      <c r="D204" s="163"/>
      <c r="E204" s="164"/>
      <c r="F204" s="165">
        <f>F205+F211+F216+F219+F222</f>
        <v>92883000</v>
      </c>
    </row>
    <row r="205" spans="1:6" x14ac:dyDescent="0.25">
      <c r="A205" s="166" t="s">
        <v>22</v>
      </c>
      <c r="B205" s="166" t="s">
        <v>23</v>
      </c>
      <c r="C205" s="168"/>
      <c r="D205" s="168"/>
      <c r="E205" s="169"/>
      <c r="F205" s="167">
        <f>SUM(F206:F210)</f>
        <v>16865000</v>
      </c>
    </row>
    <row r="206" spans="1:6" x14ac:dyDescent="0.25">
      <c r="A206" s="170"/>
      <c r="B206" s="171" t="s">
        <v>355</v>
      </c>
      <c r="C206" s="172">
        <v>150</v>
      </c>
      <c r="D206" s="172" t="s">
        <v>296</v>
      </c>
      <c r="E206" s="210">
        <v>57000</v>
      </c>
      <c r="F206" s="173">
        <f>C206*E206</f>
        <v>8550000</v>
      </c>
    </row>
    <row r="207" spans="1:6" x14ac:dyDescent="0.25">
      <c r="A207" s="170"/>
      <c r="B207" s="171" t="s">
        <v>550</v>
      </c>
      <c r="C207" s="172">
        <v>150</v>
      </c>
      <c r="D207" s="172" t="s">
        <v>296</v>
      </c>
      <c r="E207" s="173">
        <v>24000</v>
      </c>
      <c r="F207" s="173">
        <f>C207*E207</f>
        <v>3600000</v>
      </c>
    </row>
    <row r="208" spans="1:6" x14ac:dyDescent="0.25">
      <c r="A208" s="170"/>
      <c r="B208" s="175" t="s">
        <v>344</v>
      </c>
      <c r="C208" s="172">
        <v>1</v>
      </c>
      <c r="D208" s="172" t="s">
        <v>298</v>
      </c>
      <c r="E208" s="173">
        <v>2715000</v>
      </c>
      <c r="F208" s="173">
        <f t="shared" ref="F208:F210" si="31">C208*E208</f>
        <v>2715000</v>
      </c>
    </row>
    <row r="209" spans="1:6" x14ac:dyDescent="0.25">
      <c r="A209" s="170"/>
      <c r="B209" s="178" t="s">
        <v>358</v>
      </c>
      <c r="C209" s="172">
        <v>1</v>
      </c>
      <c r="D209" s="172" t="s">
        <v>298</v>
      </c>
      <c r="E209" s="173">
        <v>1000000</v>
      </c>
      <c r="F209" s="173">
        <f t="shared" si="31"/>
        <v>1000000</v>
      </c>
    </row>
    <row r="210" spans="1:6" x14ac:dyDescent="0.25">
      <c r="A210" s="170"/>
      <c r="B210" s="178" t="s">
        <v>359</v>
      </c>
      <c r="C210" s="172">
        <v>1</v>
      </c>
      <c r="D210" s="172" t="s">
        <v>298</v>
      </c>
      <c r="E210" s="173">
        <v>1000000</v>
      </c>
      <c r="F210" s="173">
        <f t="shared" si="31"/>
        <v>1000000</v>
      </c>
    </row>
    <row r="211" spans="1:6" x14ac:dyDescent="0.25">
      <c r="A211" s="166" t="s">
        <v>14</v>
      </c>
      <c r="B211" s="166" t="s">
        <v>15</v>
      </c>
      <c r="C211" s="168"/>
      <c r="D211" s="168"/>
      <c r="E211" s="169"/>
      <c r="F211" s="167">
        <f>SUM(F212:F215)</f>
        <v>2650000</v>
      </c>
    </row>
    <row r="212" spans="1:6" ht="18" customHeight="1" x14ac:dyDescent="0.25">
      <c r="A212" s="170"/>
      <c r="B212" s="176" t="s">
        <v>360</v>
      </c>
      <c r="C212" s="172">
        <v>1</v>
      </c>
      <c r="D212" s="172" t="s">
        <v>296</v>
      </c>
      <c r="E212" s="173">
        <v>450000</v>
      </c>
      <c r="F212" s="173">
        <f>C212*E212</f>
        <v>450000</v>
      </c>
    </row>
    <row r="213" spans="1:6" ht="18" customHeight="1" x14ac:dyDescent="0.25">
      <c r="A213" s="170"/>
      <c r="B213" s="176" t="s">
        <v>361</v>
      </c>
      <c r="C213" s="172">
        <v>1</v>
      </c>
      <c r="D213" s="172" t="s">
        <v>296</v>
      </c>
      <c r="E213" s="173">
        <v>400000</v>
      </c>
      <c r="F213" s="173">
        <f t="shared" ref="F213:F215" si="32">C213*E213</f>
        <v>400000</v>
      </c>
    </row>
    <row r="214" spans="1:6" ht="18" customHeight="1" x14ac:dyDescent="0.25">
      <c r="A214" s="170"/>
      <c r="B214" s="176" t="s">
        <v>362</v>
      </c>
      <c r="C214" s="172">
        <v>1</v>
      </c>
      <c r="D214" s="172" t="s">
        <v>296</v>
      </c>
      <c r="E214" s="173">
        <v>300000</v>
      </c>
      <c r="F214" s="173">
        <f t="shared" si="32"/>
        <v>300000</v>
      </c>
    </row>
    <row r="215" spans="1:6" ht="18" customHeight="1" x14ac:dyDescent="0.25">
      <c r="A215" s="170"/>
      <c r="B215" s="176" t="s">
        <v>363</v>
      </c>
      <c r="C215" s="172">
        <v>5</v>
      </c>
      <c r="D215" s="172" t="s">
        <v>296</v>
      </c>
      <c r="E215" s="173">
        <v>300000</v>
      </c>
      <c r="F215" s="173">
        <f t="shared" si="32"/>
        <v>1500000</v>
      </c>
    </row>
    <row r="216" spans="1:6" x14ac:dyDescent="0.25">
      <c r="A216" s="166" t="s">
        <v>16</v>
      </c>
      <c r="B216" s="166" t="s">
        <v>17</v>
      </c>
      <c r="C216" s="168"/>
      <c r="D216" s="168"/>
      <c r="E216" s="169"/>
      <c r="F216" s="167">
        <f>SUM(F217:F218)</f>
        <v>26800000</v>
      </c>
    </row>
    <row r="217" spans="1:6" ht="18" customHeight="1" x14ac:dyDescent="0.25">
      <c r="A217" s="170"/>
      <c r="B217" s="171" t="s">
        <v>551</v>
      </c>
      <c r="C217" s="172">
        <v>24</v>
      </c>
      <c r="D217" s="172" t="s">
        <v>297</v>
      </c>
      <c r="E217" s="173">
        <v>1000000</v>
      </c>
      <c r="F217" s="173">
        <f>C217*E217</f>
        <v>24000000</v>
      </c>
    </row>
    <row r="218" spans="1:6" x14ac:dyDescent="0.25">
      <c r="A218" s="170"/>
      <c r="B218" s="171" t="s">
        <v>552</v>
      </c>
      <c r="C218" s="172">
        <v>4</v>
      </c>
      <c r="D218" s="172" t="s">
        <v>347</v>
      </c>
      <c r="E218" s="173">
        <v>700000</v>
      </c>
      <c r="F218" s="173">
        <f t="shared" ref="F218" si="33">C218*E218</f>
        <v>2800000</v>
      </c>
    </row>
    <row r="219" spans="1:6" x14ac:dyDescent="0.25">
      <c r="A219" s="166" t="s">
        <v>28</v>
      </c>
      <c r="B219" s="166" t="s">
        <v>29</v>
      </c>
      <c r="C219" s="168"/>
      <c r="D219" s="168"/>
      <c r="E219" s="169"/>
      <c r="F219" s="167">
        <f>SUM(F220:F221)</f>
        <v>8568000</v>
      </c>
    </row>
    <row r="220" spans="1:6" x14ac:dyDescent="0.25">
      <c r="A220" s="170"/>
      <c r="B220" s="171" t="s">
        <v>365</v>
      </c>
      <c r="C220" s="172">
        <v>12</v>
      </c>
      <c r="D220" s="172" t="s">
        <v>301</v>
      </c>
      <c r="E220" s="173">
        <v>430000</v>
      </c>
      <c r="F220" s="173">
        <f>C220*E220</f>
        <v>5160000</v>
      </c>
    </row>
    <row r="221" spans="1:6" x14ac:dyDescent="0.25">
      <c r="A221" s="170"/>
      <c r="B221" s="171" t="s">
        <v>366</v>
      </c>
      <c r="C221" s="172">
        <v>12</v>
      </c>
      <c r="D221" s="172" t="s">
        <v>296</v>
      </c>
      <c r="E221" s="173">
        <v>284000</v>
      </c>
      <c r="F221" s="173">
        <f t="shared" ref="F221" si="34">C221*E221</f>
        <v>3408000</v>
      </c>
    </row>
    <row r="222" spans="1:6" x14ac:dyDescent="0.25">
      <c r="A222" s="166" t="s">
        <v>18</v>
      </c>
      <c r="B222" s="166" t="s">
        <v>19</v>
      </c>
      <c r="C222" s="168"/>
      <c r="D222" s="168"/>
      <c r="E222" s="169"/>
      <c r="F222" s="167">
        <f>SUM(F223:F224)</f>
        <v>38000000</v>
      </c>
    </row>
    <row r="223" spans="1:6" ht="20.25" customHeight="1" x14ac:dyDescent="0.25">
      <c r="A223" s="170"/>
      <c r="B223" s="171" t="s">
        <v>373</v>
      </c>
      <c r="C223" s="172">
        <v>100</v>
      </c>
      <c r="D223" s="172" t="s">
        <v>301</v>
      </c>
      <c r="E223" s="173">
        <v>210000</v>
      </c>
      <c r="F223" s="173">
        <f>C223*E223</f>
        <v>21000000</v>
      </c>
    </row>
    <row r="224" spans="1:6" x14ac:dyDescent="0.25">
      <c r="A224" s="170"/>
      <c r="B224" s="171" t="s">
        <v>374</v>
      </c>
      <c r="C224" s="172">
        <v>100</v>
      </c>
      <c r="D224" s="172" t="s">
        <v>296</v>
      </c>
      <c r="E224" s="173">
        <v>170000</v>
      </c>
      <c r="F224" s="173">
        <f>C224*E224</f>
        <v>17000000</v>
      </c>
    </row>
    <row r="225" spans="1:6" x14ac:dyDescent="0.25">
      <c r="A225" s="162" t="s">
        <v>26</v>
      </c>
      <c r="B225" s="162" t="s">
        <v>49</v>
      </c>
      <c r="C225" s="163"/>
      <c r="D225" s="163"/>
      <c r="E225" s="164"/>
      <c r="F225" s="165">
        <f>F226+F232+F237+F240+F245</f>
        <v>471992000</v>
      </c>
    </row>
    <row r="226" spans="1:6" x14ac:dyDescent="0.25">
      <c r="A226" s="166" t="s">
        <v>22</v>
      </c>
      <c r="B226" s="166" t="s">
        <v>23</v>
      </c>
      <c r="C226" s="168"/>
      <c r="D226" s="168"/>
      <c r="E226" s="169"/>
      <c r="F226" s="167">
        <f>SUM(F227:F231)</f>
        <v>158492000</v>
      </c>
    </row>
    <row r="227" spans="1:6" x14ac:dyDescent="0.25">
      <c r="A227" s="170"/>
      <c r="B227" s="171" t="s">
        <v>554</v>
      </c>
      <c r="C227" s="172">
        <v>600</v>
      </c>
      <c r="D227" s="172" t="s">
        <v>296</v>
      </c>
      <c r="E227" s="210">
        <v>57000</v>
      </c>
      <c r="F227" s="173">
        <f>C227*E227</f>
        <v>34200000</v>
      </c>
    </row>
    <row r="228" spans="1:6" x14ac:dyDescent="0.25">
      <c r="A228" s="170"/>
      <c r="B228" s="171" t="s">
        <v>555</v>
      </c>
      <c r="C228" s="172">
        <v>600</v>
      </c>
      <c r="D228" s="172" t="s">
        <v>296</v>
      </c>
      <c r="E228" s="173">
        <v>24000</v>
      </c>
      <c r="F228" s="173">
        <f>C228*E228</f>
        <v>14400000</v>
      </c>
    </row>
    <row r="229" spans="1:6" x14ac:dyDescent="0.25">
      <c r="A229" s="170"/>
      <c r="B229" s="175" t="s">
        <v>344</v>
      </c>
      <c r="C229" s="172">
        <v>1</v>
      </c>
      <c r="D229" s="172" t="s">
        <v>298</v>
      </c>
      <c r="E229" s="173">
        <v>3892000</v>
      </c>
      <c r="F229" s="173">
        <f t="shared" ref="F229:F231" si="35">C229*E229</f>
        <v>3892000</v>
      </c>
    </row>
    <row r="230" spans="1:6" x14ac:dyDescent="0.25">
      <c r="A230" s="170"/>
      <c r="B230" s="178" t="s">
        <v>553</v>
      </c>
      <c r="C230" s="172">
        <v>600</v>
      </c>
      <c r="D230" s="172" t="s">
        <v>296</v>
      </c>
      <c r="E230" s="173">
        <v>175000</v>
      </c>
      <c r="F230" s="173">
        <f t="shared" si="35"/>
        <v>105000000</v>
      </c>
    </row>
    <row r="231" spans="1:6" x14ac:dyDescent="0.25">
      <c r="A231" s="170"/>
      <c r="B231" s="178" t="s">
        <v>346</v>
      </c>
      <c r="C231" s="172">
        <v>1</v>
      </c>
      <c r="D231" s="172" t="s">
        <v>298</v>
      </c>
      <c r="E231" s="173">
        <v>1000000</v>
      </c>
      <c r="F231" s="173">
        <f t="shared" si="35"/>
        <v>1000000</v>
      </c>
    </row>
    <row r="232" spans="1:6" x14ac:dyDescent="0.25">
      <c r="A232" s="166" t="s">
        <v>14</v>
      </c>
      <c r="B232" s="166" t="s">
        <v>15</v>
      </c>
      <c r="C232" s="168"/>
      <c r="D232" s="168"/>
      <c r="E232" s="169"/>
      <c r="F232" s="167">
        <f>SUM(F233:F236)</f>
        <v>18250000</v>
      </c>
    </row>
    <row r="233" spans="1:6" ht="18" customHeight="1" x14ac:dyDescent="0.25">
      <c r="A233" s="170"/>
      <c r="B233" s="176" t="s">
        <v>360</v>
      </c>
      <c r="C233" s="172">
        <v>1</v>
      </c>
      <c r="D233" s="172" t="s">
        <v>296</v>
      </c>
      <c r="E233" s="173">
        <v>450000</v>
      </c>
      <c r="F233" s="173">
        <f>C233*E233</f>
        <v>450000</v>
      </c>
    </row>
    <row r="234" spans="1:6" ht="18" customHeight="1" x14ac:dyDescent="0.25">
      <c r="A234" s="170"/>
      <c r="B234" s="176" t="s">
        <v>361</v>
      </c>
      <c r="C234" s="172">
        <v>1</v>
      </c>
      <c r="D234" s="172" t="s">
        <v>296</v>
      </c>
      <c r="E234" s="173">
        <v>400000</v>
      </c>
      <c r="F234" s="173">
        <f t="shared" ref="F234:F236" si="36">C234*E234</f>
        <v>400000</v>
      </c>
    </row>
    <row r="235" spans="1:6" ht="18" customHeight="1" x14ac:dyDescent="0.25">
      <c r="A235" s="170"/>
      <c r="B235" s="176" t="s">
        <v>362</v>
      </c>
      <c r="C235" s="172">
        <v>1</v>
      </c>
      <c r="D235" s="172" t="s">
        <v>296</v>
      </c>
      <c r="E235" s="173">
        <v>300000</v>
      </c>
      <c r="F235" s="173">
        <f t="shared" si="36"/>
        <v>300000</v>
      </c>
    </row>
    <row r="236" spans="1:6" ht="18" customHeight="1" x14ac:dyDescent="0.25">
      <c r="A236" s="170"/>
      <c r="B236" s="176" t="s">
        <v>363</v>
      </c>
      <c r="C236" s="172">
        <v>57</v>
      </c>
      <c r="D236" s="172" t="s">
        <v>296</v>
      </c>
      <c r="E236" s="173">
        <v>300000</v>
      </c>
      <c r="F236" s="173">
        <f t="shared" si="36"/>
        <v>17100000</v>
      </c>
    </row>
    <row r="237" spans="1:6" x14ac:dyDescent="0.25">
      <c r="A237" s="166" t="s">
        <v>24</v>
      </c>
      <c r="B237" s="166" t="s">
        <v>25</v>
      </c>
      <c r="C237" s="168"/>
      <c r="D237" s="168"/>
      <c r="E237" s="169"/>
      <c r="F237" s="167">
        <f>SUM(F238:F239)</f>
        <v>100000000</v>
      </c>
    </row>
    <row r="238" spans="1:6" x14ac:dyDescent="0.25">
      <c r="A238" s="170"/>
      <c r="B238" s="171" t="s">
        <v>168</v>
      </c>
      <c r="C238" s="172">
        <v>2</v>
      </c>
      <c r="D238" s="172" t="s">
        <v>303</v>
      </c>
      <c r="E238" s="173">
        <v>30000000</v>
      </c>
      <c r="F238" s="173">
        <f>C238*E238</f>
        <v>60000000</v>
      </c>
    </row>
    <row r="239" spans="1:6" x14ac:dyDescent="0.25">
      <c r="A239" s="170"/>
      <c r="B239" s="171" t="s">
        <v>387</v>
      </c>
      <c r="C239" s="172">
        <v>2</v>
      </c>
      <c r="D239" s="172" t="s">
        <v>303</v>
      </c>
      <c r="E239" s="173">
        <v>20000000</v>
      </c>
      <c r="F239" s="173">
        <f>C239*E239</f>
        <v>40000000</v>
      </c>
    </row>
    <row r="240" spans="1:6" x14ac:dyDescent="0.25">
      <c r="A240" s="166" t="s">
        <v>16</v>
      </c>
      <c r="B240" s="166" t="s">
        <v>17</v>
      </c>
      <c r="C240" s="168"/>
      <c r="D240" s="168"/>
      <c r="E240" s="169"/>
      <c r="F240" s="167">
        <f>SUM(F241:F244)</f>
        <v>95800000</v>
      </c>
    </row>
    <row r="241" spans="1:6" ht="18" customHeight="1" x14ac:dyDescent="0.25">
      <c r="A241" s="170"/>
      <c r="B241" s="171" t="s">
        <v>388</v>
      </c>
      <c r="C241" s="172">
        <v>4</v>
      </c>
      <c r="D241" s="172" t="s">
        <v>297</v>
      </c>
      <c r="E241" s="173">
        <v>1300000</v>
      </c>
      <c r="F241" s="173">
        <f>C241*E241</f>
        <v>5200000</v>
      </c>
    </row>
    <row r="242" spans="1:6" ht="18" customHeight="1" x14ac:dyDescent="0.25">
      <c r="A242" s="170"/>
      <c r="B242" s="171" t="s">
        <v>371</v>
      </c>
      <c r="C242" s="172">
        <v>64</v>
      </c>
      <c r="D242" s="172" t="s">
        <v>297</v>
      </c>
      <c r="E242" s="173">
        <v>1000000</v>
      </c>
      <c r="F242" s="173">
        <f>C242*E242</f>
        <v>64000000</v>
      </c>
    </row>
    <row r="243" spans="1:6" x14ac:dyDescent="0.25">
      <c r="A243" s="170"/>
      <c r="B243" s="171" t="s">
        <v>384</v>
      </c>
      <c r="C243" s="172">
        <v>21</v>
      </c>
      <c r="D243" s="172" t="s">
        <v>297</v>
      </c>
      <c r="E243" s="173">
        <v>1000000</v>
      </c>
      <c r="F243" s="173">
        <f t="shared" ref="F243:F244" si="37">C243*E243</f>
        <v>21000000</v>
      </c>
    </row>
    <row r="244" spans="1:6" x14ac:dyDescent="0.25">
      <c r="A244" s="170"/>
      <c r="B244" s="171" t="s">
        <v>389</v>
      </c>
      <c r="C244" s="172">
        <v>8</v>
      </c>
      <c r="D244" s="172" t="s">
        <v>347</v>
      </c>
      <c r="E244" s="173">
        <v>700000</v>
      </c>
      <c r="F244" s="173">
        <f t="shared" si="37"/>
        <v>5600000</v>
      </c>
    </row>
    <row r="245" spans="1:6" x14ac:dyDescent="0.25">
      <c r="A245" s="166" t="s">
        <v>28</v>
      </c>
      <c r="B245" s="166" t="s">
        <v>29</v>
      </c>
      <c r="C245" s="168"/>
      <c r="D245" s="168"/>
      <c r="E245" s="169"/>
      <c r="F245" s="167">
        <f>SUM(F246:F249)</f>
        <v>99450000</v>
      </c>
    </row>
    <row r="246" spans="1:6" x14ac:dyDescent="0.25">
      <c r="A246" s="170"/>
      <c r="B246" s="171" t="s">
        <v>390</v>
      </c>
      <c r="C246" s="172">
        <v>65</v>
      </c>
      <c r="D246" s="172" t="s">
        <v>301</v>
      </c>
      <c r="E246" s="173">
        <v>430000</v>
      </c>
      <c r="F246" s="173">
        <f>C246*E246</f>
        <v>27950000</v>
      </c>
    </row>
    <row r="247" spans="1:6" x14ac:dyDescent="0.25">
      <c r="A247" s="170"/>
      <c r="B247" s="171" t="s">
        <v>391</v>
      </c>
      <c r="C247" s="172">
        <v>65</v>
      </c>
      <c r="D247" s="172" t="s">
        <v>296</v>
      </c>
      <c r="E247" s="210">
        <v>130000</v>
      </c>
      <c r="F247" s="173">
        <f t="shared" ref="F247:F248" si="38">C247*E247</f>
        <v>8450000</v>
      </c>
    </row>
    <row r="248" spans="1:6" x14ac:dyDescent="0.25">
      <c r="A248" s="170"/>
      <c r="B248" s="171" t="s">
        <v>392</v>
      </c>
      <c r="C248" s="172">
        <v>65</v>
      </c>
      <c r="D248" s="172" t="s">
        <v>296</v>
      </c>
      <c r="E248" s="173">
        <v>284000</v>
      </c>
      <c r="F248" s="173">
        <f t="shared" si="38"/>
        <v>18460000</v>
      </c>
    </row>
    <row r="249" spans="1:6" ht="18.75" customHeight="1" x14ac:dyDescent="0.25">
      <c r="A249" s="170"/>
      <c r="B249" s="171" t="s">
        <v>393</v>
      </c>
      <c r="C249" s="172">
        <v>65</v>
      </c>
      <c r="D249" s="172" t="s">
        <v>296</v>
      </c>
      <c r="E249" s="173">
        <v>686000</v>
      </c>
      <c r="F249" s="173">
        <f>C249*E249</f>
        <v>44590000</v>
      </c>
    </row>
    <row r="250" spans="1:6" x14ac:dyDescent="0.25">
      <c r="A250" s="158" t="s">
        <v>50</v>
      </c>
      <c r="B250" s="158" t="s">
        <v>51</v>
      </c>
      <c r="C250" s="159" t="s">
        <v>11</v>
      </c>
      <c r="D250" s="159"/>
      <c r="E250" s="160"/>
      <c r="F250" s="161">
        <f>F251+F278</f>
        <v>1792273000</v>
      </c>
    </row>
    <row r="251" spans="1:6" x14ac:dyDescent="0.25">
      <c r="A251" s="162" t="s">
        <v>12</v>
      </c>
      <c r="B251" s="162" t="s">
        <v>52</v>
      </c>
      <c r="C251" s="163"/>
      <c r="D251" s="163"/>
      <c r="E251" s="164"/>
      <c r="F251" s="165">
        <f>F252+F258+F263+F266+F273</f>
        <v>1514998000</v>
      </c>
    </row>
    <row r="252" spans="1:6" x14ac:dyDescent="0.25">
      <c r="A252" s="166" t="s">
        <v>22</v>
      </c>
      <c r="B252" s="166" t="s">
        <v>23</v>
      </c>
      <c r="C252" s="168"/>
      <c r="D252" s="168"/>
      <c r="E252" s="169"/>
      <c r="F252" s="167">
        <f>SUM(F253:F257)</f>
        <v>173888000</v>
      </c>
    </row>
    <row r="253" spans="1:6" ht="14.25" customHeight="1" x14ac:dyDescent="0.25">
      <c r="A253" s="170"/>
      <c r="B253" s="171" t="s">
        <v>382</v>
      </c>
      <c r="C253" s="172">
        <v>2000</v>
      </c>
      <c r="D253" s="172" t="s">
        <v>296</v>
      </c>
      <c r="E253" s="210">
        <v>57000</v>
      </c>
      <c r="F253" s="173">
        <f>C253*E253</f>
        <v>114000000</v>
      </c>
    </row>
    <row r="254" spans="1:6" x14ac:dyDescent="0.25">
      <c r="A254" s="170"/>
      <c r="B254" s="171" t="s">
        <v>383</v>
      </c>
      <c r="C254" s="172">
        <v>2000</v>
      </c>
      <c r="D254" s="172" t="s">
        <v>296</v>
      </c>
      <c r="E254" s="173">
        <v>24000</v>
      </c>
      <c r="F254" s="173">
        <f>C254*E254</f>
        <v>48000000</v>
      </c>
    </row>
    <row r="255" spans="1:6" ht="14.25" customHeight="1" x14ac:dyDescent="0.25">
      <c r="A255" s="170"/>
      <c r="B255" s="178" t="s">
        <v>358</v>
      </c>
      <c r="C255" s="172">
        <v>4</v>
      </c>
      <c r="D255" s="172" t="s">
        <v>298</v>
      </c>
      <c r="E255" s="173">
        <v>1000000</v>
      </c>
      <c r="F255" s="173">
        <f t="shared" ref="F255:F257" si="39">C255*E255</f>
        <v>4000000</v>
      </c>
    </row>
    <row r="256" spans="1:6" x14ac:dyDescent="0.25">
      <c r="A256" s="170"/>
      <c r="B256" s="178" t="s">
        <v>359</v>
      </c>
      <c r="C256" s="172">
        <v>4</v>
      </c>
      <c r="D256" s="172" t="s">
        <v>298</v>
      </c>
      <c r="E256" s="173">
        <v>1000000</v>
      </c>
      <c r="F256" s="173">
        <f t="shared" si="39"/>
        <v>4000000</v>
      </c>
    </row>
    <row r="257" spans="1:6" x14ac:dyDescent="0.25">
      <c r="A257" s="170"/>
      <c r="B257" s="178" t="s">
        <v>394</v>
      </c>
      <c r="C257" s="172">
        <v>1</v>
      </c>
      <c r="D257" s="172" t="s">
        <v>330</v>
      </c>
      <c r="E257" s="173">
        <v>3888000</v>
      </c>
      <c r="F257" s="173">
        <f t="shared" si="39"/>
        <v>3888000</v>
      </c>
    </row>
    <row r="258" spans="1:6" x14ac:dyDescent="0.25">
      <c r="A258" s="166" t="s">
        <v>14</v>
      </c>
      <c r="B258" s="166" t="s">
        <v>15</v>
      </c>
      <c r="C258" s="168"/>
      <c r="D258" s="168"/>
      <c r="E258" s="169"/>
      <c r="F258" s="167">
        <f>SUM(F259:F262)</f>
        <v>4150000</v>
      </c>
    </row>
    <row r="259" spans="1:6" ht="18" customHeight="1" x14ac:dyDescent="0.25">
      <c r="A259" s="170"/>
      <c r="B259" s="176" t="s">
        <v>360</v>
      </c>
      <c r="C259" s="172">
        <v>1</v>
      </c>
      <c r="D259" s="172" t="s">
        <v>296</v>
      </c>
      <c r="E259" s="173">
        <v>450000</v>
      </c>
      <c r="F259" s="173">
        <f>C259*E259</f>
        <v>450000</v>
      </c>
    </row>
    <row r="260" spans="1:6" ht="18" customHeight="1" x14ac:dyDescent="0.25">
      <c r="A260" s="170"/>
      <c r="B260" s="176" t="s">
        <v>361</v>
      </c>
      <c r="C260" s="172">
        <v>1</v>
      </c>
      <c r="D260" s="172" t="s">
        <v>296</v>
      </c>
      <c r="E260" s="173">
        <v>400000</v>
      </c>
      <c r="F260" s="173">
        <f t="shared" ref="F260:F262" si="40">C260*E260</f>
        <v>400000</v>
      </c>
    </row>
    <row r="261" spans="1:6" ht="18" customHeight="1" x14ac:dyDescent="0.25">
      <c r="A261" s="170"/>
      <c r="B261" s="176" t="s">
        <v>362</v>
      </c>
      <c r="C261" s="172">
        <v>1</v>
      </c>
      <c r="D261" s="172" t="s">
        <v>296</v>
      </c>
      <c r="E261" s="173">
        <v>300000</v>
      </c>
      <c r="F261" s="173">
        <f t="shared" si="40"/>
        <v>300000</v>
      </c>
    </row>
    <row r="262" spans="1:6" ht="18" customHeight="1" x14ac:dyDescent="0.25">
      <c r="A262" s="170"/>
      <c r="B262" s="176" t="s">
        <v>363</v>
      </c>
      <c r="C262" s="172">
        <v>10</v>
      </c>
      <c r="D262" s="172" t="s">
        <v>296</v>
      </c>
      <c r="E262" s="173">
        <v>300000</v>
      </c>
      <c r="F262" s="173">
        <f t="shared" si="40"/>
        <v>3000000</v>
      </c>
    </row>
    <row r="263" spans="1:6" x14ac:dyDescent="0.25">
      <c r="A263" s="166" t="s">
        <v>16</v>
      </c>
      <c r="B263" s="166" t="s">
        <v>17</v>
      </c>
      <c r="C263" s="168"/>
      <c r="D263" s="168"/>
      <c r="E263" s="169"/>
      <c r="F263" s="167">
        <f>SUM(F264:F265)</f>
        <v>166400000</v>
      </c>
    </row>
    <row r="264" spans="1:6" ht="18" customHeight="1" x14ac:dyDescent="0.25">
      <c r="A264" s="170"/>
      <c r="B264" s="171" t="s">
        <v>395</v>
      </c>
      <c r="C264" s="172">
        <v>144</v>
      </c>
      <c r="D264" s="172" t="s">
        <v>297</v>
      </c>
      <c r="E264" s="173">
        <v>1000000</v>
      </c>
      <c r="F264" s="173">
        <f>C264*E264</f>
        <v>144000000</v>
      </c>
    </row>
    <row r="265" spans="1:6" x14ac:dyDescent="0.25">
      <c r="A265" s="170"/>
      <c r="B265" s="171" t="s">
        <v>385</v>
      </c>
      <c r="C265" s="172">
        <v>32</v>
      </c>
      <c r="D265" s="172" t="s">
        <v>347</v>
      </c>
      <c r="E265" s="173">
        <v>700000</v>
      </c>
      <c r="F265" s="173">
        <f t="shared" ref="F265" si="41">C265*E265</f>
        <v>22400000</v>
      </c>
    </row>
    <row r="266" spans="1:6" x14ac:dyDescent="0.25">
      <c r="A266" s="166" t="s">
        <v>28</v>
      </c>
      <c r="B266" s="166" t="s">
        <v>29</v>
      </c>
      <c r="C266" s="168"/>
      <c r="D266" s="168"/>
      <c r="E266" s="169"/>
      <c r="F266" s="167">
        <f>SUM(F267:F272)</f>
        <v>686560000</v>
      </c>
    </row>
    <row r="267" spans="1:6" x14ac:dyDescent="0.25">
      <c r="A267" s="170"/>
      <c r="B267" s="171" t="s">
        <v>396</v>
      </c>
      <c r="C267" s="172">
        <v>300</v>
      </c>
      <c r="D267" s="172" t="s">
        <v>301</v>
      </c>
      <c r="E267" s="173">
        <v>430000</v>
      </c>
      <c r="F267" s="173">
        <f>C267*E267</f>
        <v>129000000</v>
      </c>
    </row>
    <row r="268" spans="1:6" x14ac:dyDescent="0.25">
      <c r="A268" s="170"/>
      <c r="B268" s="171" t="s">
        <v>397</v>
      </c>
      <c r="C268" s="172">
        <v>500</v>
      </c>
      <c r="D268" s="172" t="s">
        <v>296</v>
      </c>
      <c r="E268" s="210">
        <v>130000</v>
      </c>
      <c r="F268" s="173">
        <f t="shared" ref="F268:F269" si="42">C268*E268</f>
        <v>65000000</v>
      </c>
    </row>
    <row r="269" spans="1:6" s="138" customFormat="1" x14ac:dyDescent="0.25">
      <c r="A269" s="170"/>
      <c r="B269" s="171" t="s">
        <v>398</v>
      </c>
      <c r="C269" s="172">
        <v>500</v>
      </c>
      <c r="D269" s="172" t="s">
        <v>296</v>
      </c>
      <c r="E269" s="173">
        <v>284000</v>
      </c>
      <c r="F269" s="173">
        <f t="shared" si="42"/>
        <v>142000000</v>
      </c>
    </row>
    <row r="270" spans="1:6" s="138" customFormat="1" ht="18.75" customHeight="1" x14ac:dyDescent="0.25">
      <c r="A270" s="170"/>
      <c r="B270" s="171" t="s">
        <v>399</v>
      </c>
      <c r="C270" s="172">
        <v>160</v>
      </c>
      <c r="D270" s="172" t="s">
        <v>296</v>
      </c>
      <c r="E270" s="173">
        <v>686000</v>
      </c>
      <c r="F270" s="173">
        <f>C270*E270</f>
        <v>109760000</v>
      </c>
    </row>
    <row r="271" spans="1:6" s="138" customFormat="1" x14ac:dyDescent="0.25">
      <c r="A271" s="170"/>
      <c r="B271" s="171" t="s">
        <v>400</v>
      </c>
      <c r="C271" s="172">
        <v>520</v>
      </c>
      <c r="D271" s="172" t="s">
        <v>296</v>
      </c>
      <c r="E271" s="173">
        <v>105000</v>
      </c>
      <c r="F271" s="173">
        <f t="shared" ref="F271" si="43">C271*E271</f>
        <v>54600000</v>
      </c>
    </row>
    <row r="272" spans="1:6" s="138" customFormat="1" x14ac:dyDescent="0.25">
      <c r="A272" s="170"/>
      <c r="B272" s="171" t="s">
        <v>401</v>
      </c>
      <c r="C272" s="172">
        <v>200</v>
      </c>
      <c r="D272" s="172" t="s">
        <v>301</v>
      </c>
      <c r="E272" s="173">
        <v>931000</v>
      </c>
      <c r="F272" s="173">
        <f>C272*E272</f>
        <v>186200000</v>
      </c>
    </row>
    <row r="273" spans="1:6" s="138" customFormat="1" x14ac:dyDescent="0.25">
      <c r="A273" s="166" t="s">
        <v>18</v>
      </c>
      <c r="B273" s="166" t="s">
        <v>19</v>
      </c>
      <c r="C273" s="168"/>
      <c r="D273" s="168"/>
      <c r="E273" s="169"/>
      <c r="F273" s="167">
        <f>SUM(F274:F277)</f>
        <v>484000000</v>
      </c>
    </row>
    <row r="274" spans="1:6" s="138" customFormat="1" ht="20.25" customHeight="1" x14ac:dyDescent="0.25">
      <c r="A274" s="170"/>
      <c r="B274" s="171" t="s">
        <v>402</v>
      </c>
      <c r="C274" s="172">
        <v>800</v>
      </c>
      <c r="D274" s="172" t="s">
        <v>301</v>
      </c>
      <c r="E274" s="173">
        <v>210000</v>
      </c>
      <c r="F274" s="173">
        <f>C274*E274</f>
        <v>168000000</v>
      </c>
    </row>
    <row r="275" spans="1:6" s="138" customFormat="1" x14ac:dyDescent="0.25">
      <c r="A275" s="170"/>
      <c r="B275" s="171" t="s">
        <v>403</v>
      </c>
      <c r="C275" s="172">
        <v>800</v>
      </c>
      <c r="D275" s="172" t="s">
        <v>296</v>
      </c>
      <c r="E275" s="210">
        <v>95000</v>
      </c>
      <c r="F275" s="173">
        <f>C275*E275</f>
        <v>76000000</v>
      </c>
    </row>
    <row r="276" spans="1:6" s="138" customFormat="1" x14ac:dyDescent="0.25">
      <c r="A276" s="170"/>
      <c r="B276" s="171" t="s">
        <v>404</v>
      </c>
      <c r="C276" s="172">
        <v>800</v>
      </c>
      <c r="D276" s="172" t="s">
        <v>296</v>
      </c>
      <c r="E276" s="210">
        <v>130000</v>
      </c>
      <c r="F276" s="173">
        <f>C276*E276</f>
        <v>104000000</v>
      </c>
    </row>
    <row r="277" spans="1:6" s="138" customFormat="1" x14ac:dyDescent="0.25">
      <c r="A277" s="170"/>
      <c r="B277" s="171" t="s">
        <v>405</v>
      </c>
      <c r="C277" s="172">
        <v>800</v>
      </c>
      <c r="D277" s="172" t="s">
        <v>296</v>
      </c>
      <c r="E277" s="173">
        <v>170000</v>
      </c>
      <c r="F277" s="173">
        <f>C277*E277</f>
        <v>136000000</v>
      </c>
    </row>
    <row r="278" spans="1:6" x14ac:dyDescent="0.25">
      <c r="A278" s="162" t="s">
        <v>26</v>
      </c>
      <c r="B278" s="162" t="s">
        <v>53</v>
      </c>
      <c r="C278" s="163"/>
      <c r="D278" s="163"/>
      <c r="E278" s="164"/>
      <c r="F278" s="165">
        <f>F279+F285+F290+F293+F297</f>
        <v>277275000</v>
      </c>
    </row>
    <row r="279" spans="1:6" x14ac:dyDescent="0.25">
      <c r="A279" s="166" t="s">
        <v>22</v>
      </c>
      <c r="B279" s="166" t="s">
        <v>23</v>
      </c>
      <c r="C279" s="168"/>
      <c r="D279" s="168"/>
      <c r="E279" s="169"/>
      <c r="F279" s="167">
        <f>SUM(F280:F284)</f>
        <v>47425000</v>
      </c>
    </row>
    <row r="280" spans="1:6" ht="14.25" customHeight="1" x14ac:dyDescent="0.25">
      <c r="A280" s="170"/>
      <c r="B280" s="171" t="s">
        <v>584</v>
      </c>
      <c r="C280" s="172">
        <v>500</v>
      </c>
      <c r="D280" s="172" t="s">
        <v>296</v>
      </c>
      <c r="E280" s="210">
        <v>57000</v>
      </c>
      <c r="F280" s="173">
        <f>C280*E280</f>
        <v>28500000</v>
      </c>
    </row>
    <row r="281" spans="1:6" x14ac:dyDescent="0.25">
      <c r="A281" s="170"/>
      <c r="B281" s="171" t="s">
        <v>585</v>
      </c>
      <c r="C281" s="172">
        <v>500</v>
      </c>
      <c r="D281" s="172" t="s">
        <v>296</v>
      </c>
      <c r="E281" s="173">
        <v>24000</v>
      </c>
      <c r="F281" s="173">
        <f>C281*E281</f>
        <v>12000000</v>
      </c>
    </row>
    <row r="282" spans="1:6" x14ac:dyDescent="0.25">
      <c r="A282" s="170"/>
      <c r="B282" s="178" t="s">
        <v>344</v>
      </c>
      <c r="C282" s="172">
        <v>1</v>
      </c>
      <c r="D282" s="172" t="s">
        <v>330</v>
      </c>
      <c r="E282" s="173">
        <v>925000</v>
      </c>
      <c r="F282" s="173">
        <f t="shared" ref="F282:F284" si="44">C282*E282</f>
        <v>925000</v>
      </c>
    </row>
    <row r="283" spans="1:6" x14ac:dyDescent="0.25">
      <c r="A283" s="170"/>
      <c r="B283" s="178" t="s">
        <v>358</v>
      </c>
      <c r="C283" s="172">
        <v>3</v>
      </c>
      <c r="D283" s="172" t="s">
        <v>298</v>
      </c>
      <c r="E283" s="173">
        <v>1000000</v>
      </c>
      <c r="F283" s="173">
        <f t="shared" si="44"/>
        <v>3000000</v>
      </c>
    </row>
    <row r="284" spans="1:6" x14ac:dyDescent="0.25">
      <c r="A284" s="170"/>
      <c r="B284" s="178" t="s">
        <v>359</v>
      </c>
      <c r="C284" s="172">
        <v>3</v>
      </c>
      <c r="D284" s="172" t="s">
        <v>298</v>
      </c>
      <c r="E284" s="173">
        <v>1000000</v>
      </c>
      <c r="F284" s="173">
        <f t="shared" si="44"/>
        <v>3000000</v>
      </c>
    </row>
    <row r="285" spans="1:6" x14ac:dyDescent="0.25">
      <c r="A285" s="166" t="s">
        <v>14</v>
      </c>
      <c r="B285" s="166" t="s">
        <v>15</v>
      </c>
      <c r="C285" s="168"/>
      <c r="D285" s="168"/>
      <c r="E285" s="169"/>
      <c r="F285" s="167">
        <f>SUM(F286:F289)</f>
        <v>14650000</v>
      </c>
    </row>
    <row r="286" spans="1:6" ht="18" customHeight="1" x14ac:dyDescent="0.25">
      <c r="A286" s="170"/>
      <c r="B286" s="176" t="s">
        <v>360</v>
      </c>
      <c r="C286" s="172">
        <v>1</v>
      </c>
      <c r="D286" s="172" t="s">
        <v>296</v>
      </c>
      <c r="E286" s="173">
        <v>450000</v>
      </c>
      <c r="F286" s="173">
        <f>C286*E286</f>
        <v>450000</v>
      </c>
    </row>
    <row r="287" spans="1:6" ht="18" customHeight="1" x14ac:dyDescent="0.25">
      <c r="A287" s="170"/>
      <c r="B287" s="176" t="s">
        <v>361</v>
      </c>
      <c r="C287" s="172">
        <v>1</v>
      </c>
      <c r="D287" s="172" t="s">
        <v>296</v>
      </c>
      <c r="E287" s="173">
        <v>400000</v>
      </c>
      <c r="F287" s="173">
        <f t="shared" ref="F287:F289" si="45">C287*E287</f>
        <v>400000</v>
      </c>
    </row>
    <row r="288" spans="1:6" ht="18" customHeight="1" x14ac:dyDescent="0.25">
      <c r="A288" s="170"/>
      <c r="B288" s="176" t="s">
        <v>362</v>
      </c>
      <c r="C288" s="172">
        <v>1</v>
      </c>
      <c r="D288" s="172" t="s">
        <v>296</v>
      </c>
      <c r="E288" s="173">
        <v>300000</v>
      </c>
      <c r="F288" s="173">
        <f t="shared" si="45"/>
        <v>300000</v>
      </c>
    </row>
    <row r="289" spans="1:7" ht="18" customHeight="1" x14ac:dyDescent="0.25">
      <c r="A289" s="170"/>
      <c r="B289" s="176" t="s">
        <v>363</v>
      </c>
      <c r="C289" s="172">
        <v>45</v>
      </c>
      <c r="D289" s="172" t="s">
        <v>296</v>
      </c>
      <c r="E289" s="173">
        <v>300000</v>
      </c>
      <c r="F289" s="173">
        <f t="shared" si="45"/>
        <v>13500000</v>
      </c>
    </row>
    <row r="290" spans="1:7" x14ac:dyDescent="0.25">
      <c r="A290" s="166" t="s">
        <v>16</v>
      </c>
      <c r="B290" s="166" t="s">
        <v>17</v>
      </c>
      <c r="C290" s="168"/>
      <c r="D290" s="168"/>
      <c r="E290" s="169"/>
      <c r="F290" s="167">
        <f>SUM(F291:F292)</f>
        <v>118400000</v>
      </c>
    </row>
    <row r="291" spans="1:7" ht="18" customHeight="1" x14ac:dyDescent="0.25">
      <c r="A291" s="170"/>
      <c r="B291" s="171" t="s">
        <v>618</v>
      </c>
      <c r="C291" s="172">
        <v>96</v>
      </c>
      <c r="D291" s="172" t="s">
        <v>297</v>
      </c>
      <c r="E291" s="173">
        <v>1000000</v>
      </c>
      <c r="F291" s="173">
        <f>C291*E291</f>
        <v>96000000</v>
      </c>
    </row>
    <row r="292" spans="1:7" x14ac:dyDescent="0.25">
      <c r="A292" s="170"/>
      <c r="B292" s="171" t="s">
        <v>385</v>
      </c>
      <c r="C292" s="172">
        <v>32</v>
      </c>
      <c r="D292" s="172" t="s">
        <v>347</v>
      </c>
      <c r="E292" s="173">
        <v>700000</v>
      </c>
      <c r="F292" s="173">
        <f t="shared" ref="F292" si="46">C292*E292</f>
        <v>22400000</v>
      </c>
    </row>
    <row r="293" spans="1:7" x14ac:dyDescent="0.25">
      <c r="A293" s="166" t="s">
        <v>28</v>
      </c>
      <c r="B293" s="166" t="s">
        <v>29</v>
      </c>
      <c r="C293" s="168"/>
      <c r="D293" s="168"/>
      <c r="E293" s="169"/>
      <c r="F293" s="167">
        <f>SUM(F294:F296)</f>
        <v>57350000</v>
      </c>
    </row>
    <row r="294" spans="1:7" x14ac:dyDescent="0.25">
      <c r="A294" s="170"/>
      <c r="B294" s="171" t="s">
        <v>586</v>
      </c>
      <c r="C294" s="172">
        <v>200</v>
      </c>
      <c r="D294" s="172" t="s">
        <v>301</v>
      </c>
      <c r="E294" s="210">
        <v>130000</v>
      </c>
      <c r="F294" s="173">
        <f>C294*E294</f>
        <v>26000000</v>
      </c>
    </row>
    <row r="295" spans="1:7" x14ac:dyDescent="0.25">
      <c r="A295" s="170"/>
      <c r="B295" s="171" t="s">
        <v>379</v>
      </c>
      <c r="C295" s="172">
        <v>50</v>
      </c>
      <c r="D295" s="172" t="s">
        <v>296</v>
      </c>
      <c r="E295" s="173">
        <v>284000</v>
      </c>
      <c r="F295" s="173">
        <f t="shared" ref="F295" si="47">C295*E295</f>
        <v>14200000</v>
      </c>
    </row>
    <row r="296" spans="1:7" ht="18.75" customHeight="1" x14ac:dyDescent="0.25">
      <c r="A296" s="170"/>
      <c r="B296" s="171" t="s">
        <v>386</v>
      </c>
      <c r="C296" s="172">
        <v>25</v>
      </c>
      <c r="D296" s="172" t="s">
        <v>296</v>
      </c>
      <c r="E296" s="173">
        <v>686000</v>
      </c>
      <c r="F296" s="173">
        <f>C296*E296</f>
        <v>17150000</v>
      </c>
    </row>
    <row r="297" spans="1:7" x14ac:dyDescent="0.25">
      <c r="A297" s="166" t="s">
        <v>18</v>
      </c>
      <c r="B297" s="166" t="s">
        <v>19</v>
      </c>
      <c r="C297" s="168"/>
      <c r="D297" s="168"/>
      <c r="E297" s="169"/>
      <c r="F297" s="167">
        <f>SUM(F298:F300)</f>
        <v>39450000</v>
      </c>
    </row>
    <row r="298" spans="1:7" ht="20.25" customHeight="1" x14ac:dyDescent="0.25">
      <c r="A298" s="170"/>
      <c r="B298" s="171" t="s">
        <v>367</v>
      </c>
      <c r="C298" s="172">
        <v>75</v>
      </c>
      <c r="D298" s="172" t="s">
        <v>301</v>
      </c>
      <c r="E298" s="173">
        <v>210000</v>
      </c>
      <c r="F298" s="173">
        <f>C298*E298</f>
        <v>15750000</v>
      </c>
    </row>
    <row r="299" spans="1:7" ht="18.75" customHeight="1" x14ac:dyDescent="0.25">
      <c r="A299" s="170"/>
      <c r="B299" s="171" t="s">
        <v>587</v>
      </c>
      <c r="C299" s="172">
        <v>15</v>
      </c>
      <c r="D299" s="172" t="s">
        <v>296</v>
      </c>
      <c r="E299" s="210">
        <v>730000</v>
      </c>
      <c r="F299" s="173">
        <f>C299*E299</f>
        <v>10950000</v>
      </c>
    </row>
    <row r="300" spans="1:7" x14ac:dyDescent="0.25">
      <c r="A300" s="170"/>
      <c r="B300" s="171" t="s">
        <v>368</v>
      </c>
      <c r="C300" s="172">
        <v>75</v>
      </c>
      <c r="D300" s="172" t="s">
        <v>296</v>
      </c>
      <c r="E300" s="173">
        <v>170000</v>
      </c>
      <c r="F300" s="173">
        <f>C300*E300</f>
        <v>12750000</v>
      </c>
    </row>
    <row r="301" spans="1:7" ht="30" x14ac:dyDescent="0.25">
      <c r="A301" s="154" t="s">
        <v>54</v>
      </c>
      <c r="B301" s="154" t="s">
        <v>55</v>
      </c>
      <c r="C301" s="155" t="s">
        <v>56</v>
      </c>
      <c r="D301" s="155" t="s">
        <v>295</v>
      </c>
      <c r="E301" s="156"/>
      <c r="F301" s="157">
        <f>F302+F321+F347</f>
        <v>410352000</v>
      </c>
      <c r="G301" s="183" t="e">
        <f>#REF!-F301</f>
        <v>#REF!</v>
      </c>
    </row>
    <row r="302" spans="1:7" x14ac:dyDescent="0.25">
      <c r="A302" s="158" t="s">
        <v>9</v>
      </c>
      <c r="B302" s="158" t="s">
        <v>57</v>
      </c>
      <c r="C302" s="159" t="s">
        <v>11</v>
      </c>
      <c r="D302" s="159"/>
      <c r="E302" s="160"/>
      <c r="F302" s="161">
        <f>F303</f>
        <v>83990000</v>
      </c>
      <c r="G302" s="183" t="e">
        <f>#REF!-F302</f>
        <v>#REF!</v>
      </c>
    </row>
    <row r="303" spans="1:7" ht="30" x14ac:dyDescent="0.25">
      <c r="A303" s="162" t="s">
        <v>12</v>
      </c>
      <c r="B303" s="162" t="s">
        <v>58</v>
      </c>
      <c r="C303" s="163"/>
      <c r="D303" s="163"/>
      <c r="E303" s="164"/>
      <c r="F303" s="165">
        <f>F304+F310+F315+F318</f>
        <v>83990000</v>
      </c>
    </row>
    <row r="304" spans="1:7" x14ac:dyDescent="0.25">
      <c r="A304" s="166" t="s">
        <v>22</v>
      </c>
      <c r="B304" s="166" t="s">
        <v>23</v>
      </c>
      <c r="C304" s="168"/>
      <c r="D304" s="168"/>
      <c r="E304" s="169"/>
      <c r="F304" s="167">
        <f>SUM(F305:F309)</f>
        <v>15940000</v>
      </c>
    </row>
    <row r="305" spans="1:6" x14ac:dyDescent="0.25">
      <c r="A305" s="170"/>
      <c r="B305" s="171" t="s">
        <v>355</v>
      </c>
      <c r="C305" s="172">
        <v>150</v>
      </c>
      <c r="D305" s="172" t="s">
        <v>296</v>
      </c>
      <c r="E305" s="210">
        <v>57000</v>
      </c>
      <c r="F305" s="173">
        <f>C305*E305</f>
        <v>8550000</v>
      </c>
    </row>
    <row r="306" spans="1:6" x14ac:dyDescent="0.25">
      <c r="A306" s="170"/>
      <c r="B306" s="171" t="s">
        <v>356</v>
      </c>
      <c r="C306" s="172">
        <v>150</v>
      </c>
      <c r="D306" s="172" t="s">
        <v>296</v>
      </c>
      <c r="E306" s="173">
        <v>24000</v>
      </c>
      <c r="F306" s="173">
        <f>C306*E306</f>
        <v>3600000</v>
      </c>
    </row>
    <row r="307" spans="1:6" x14ac:dyDescent="0.25">
      <c r="A307" s="170"/>
      <c r="B307" s="178" t="s">
        <v>344</v>
      </c>
      <c r="C307" s="172">
        <v>1</v>
      </c>
      <c r="D307" s="172" t="s">
        <v>330</v>
      </c>
      <c r="E307" s="173">
        <f>2390000-600000</f>
        <v>1790000</v>
      </c>
      <c r="F307" s="173">
        <f t="shared" ref="F307:F309" si="48">C307*E307</f>
        <v>1790000</v>
      </c>
    </row>
    <row r="308" spans="1:6" x14ac:dyDescent="0.25">
      <c r="A308" s="170"/>
      <c r="B308" s="175" t="s">
        <v>358</v>
      </c>
      <c r="C308" s="172">
        <v>1</v>
      </c>
      <c r="D308" s="172" t="s">
        <v>298</v>
      </c>
      <c r="E308" s="173">
        <v>1000000</v>
      </c>
      <c r="F308" s="173">
        <f t="shared" si="48"/>
        <v>1000000</v>
      </c>
    </row>
    <row r="309" spans="1:6" x14ac:dyDescent="0.25">
      <c r="A309" s="170"/>
      <c r="B309" s="175" t="s">
        <v>359</v>
      </c>
      <c r="C309" s="172">
        <v>1</v>
      </c>
      <c r="D309" s="172" t="s">
        <v>298</v>
      </c>
      <c r="E309" s="173">
        <v>1000000</v>
      </c>
      <c r="F309" s="173">
        <f t="shared" si="48"/>
        <v>1000000</v>
      </c>
    </row>
    <row r="310" spans="1:6" x14ac:dyDescent="0.25">
      <c r="A310" s="166" t="s">
        <v>14</v>
      </c>
      <c r="B310" s="166" t="s">
        <v>15</v>
      </c>
      <c r="C310" s="168"/>
      <c r="D310" s="168"/>
      <c r="E310" s="169"/>
      <c r="F310" s="167">
        <f>SUM(F311:F314)</f>
        <v>4750000</v>
      </c>
    </row>
    <row r="311" spans="1:6" ht="18" customHeight="1" x14ac:dyDescent="0.25">
      <c r="A311" s="170"/>
      <c r="B311" s="176" t="s">
        <v>360</v>
      </c>
      <c r="C311" s="172">
        <v>1</v>
      </c>
      <c r="D311" s="172" t="s">
        <v>296</v>
      </c>
      <c r="E311" s="173">
        <v>450000</v>
      </c>
      <c r="F311" s="173">
        <f>C311*E311</f>
        <v>450000</v>
      </c>
    </row>
    <row r="312" spans="1:6" ht="18" customHeight="1" x14ac:dyDescent="0.25">
      <c r="A312" s="170"/>
      <c r="B312" s="176" t="s">
        <v>361</v>
      </c>
      <c r="C312" s="172">
        <v>1</v>
      </c>
      <c r="D312" s="172" t="s">
        <v>296</v>
      </c>
      <c r="E312" s="173">
        <v>400000</v>
      </c>
      <c r="F312" s="173">
        <f t="shared" ref="F312:F314" si="49">C312*E312</f>
        <v>400000</v>
      </c>
    </row>
    <row r="313" spans="1:6" ht="18" customHeight="1" x14ac:dyDescent="0.25">
      <c r="A313" s="170"/>
      <c r="B313" s="176" t="s">
        <v>362</v>
      </c>
      <c r="C313" s="172">
        <v>1</v>
      </c>
      <c r="D313" s="172" t="s">
        <v>296</v>
      </c>
      <c r="E313" s="173">
        <v>300000</v>
      </c>
      <c r="F313" s="173">
        <f t="shared" si="49"/>
        <v>300000</v>
      </c>
    </row>
    <row r="314" spans="1:6" ht="18" customHeight="1" x14ac:dyDescent="0.25">
      <c r="A314" s="170"/>
      <c r="B314" s="176" t="s">
        <v>363</v>
      </c>
      <c r="C314" s="172">
        <v>12</v>
      </c>
      <c r="D314" s="172" t="s">
        <v>296</v>
      </c>
      <c r="E314" s="173">
        <v>300000</v>
      </c>
      <c r="F314" s="173">
        <f t="shared" si="49"/>
        <v>3600000</v>
      </c>
    </row>
    <row r="315" spans="1:6" x14ac:dyDescent="0.25">
      <c r="A315" s="166" t="s">
        <v>16</v>
      </c>
      <c r="B315" s="166" t="s">
        <v>17</v>
      </c>
      <c r="C315" s="168"/>
      <c r="D315" s="168"/>
      <c r="E315" s="169"/>
      <c r="F315" s="167">
        <f>SUM(F316:F317)</f>
        <v>34800000</v>
      </c>
    </row>
    <row r="316" spans="1:6" ht="18" customHeight="1" x14ac:dyDescent="0.25">
      <c r="A316" s="170"/>
      <c r="B316" s="171" t="s">
        <v>406</v>
      </c>
      <c r="C316" s="172">
        <v>32</v>
      </c>
      <c r="D316" s="172" t="s">
        <v>297</v>
      </c>
      <c r="E316" s="173">
        <v>1000000</v>
      </c>
      <c r="F316" s="173">
        <f>C316*E316</f>
        <v>32000000</v>
      </c>
    </row>
    <row r="317" spans="1:6" ht="17.25" customHeight="1" x14ac:dyDescent="0.25">
      <c r="A317" s="170"/>
      <c r="B317" s="171" t="s">
        <v>407</v>
      </c>
      <c r="C317" s="172">
        <v>4</v>
      </c>
      <c r="D317" s="172" t="s">
        <v>347</v>
      </c>
      <c r="E317" s="173">
        <v>700000</v>
      </c>
      <c r="F317" s="173">
        <f t="shared" ref="F317" si="50">C317*E317</f>
        <v>2800000</v>
      </c>
    </row>
    <row r="318" spans="1:6" x14ac:dyDescent="0.25">
      <c r="A318" s="166" t="s">
        <v>18</v>
      </c>
      <c r="B318" s="166" t="s">
        <v>19</v>
      </c>
      <c r="C318" s="168"/>
      <c r="D318" s="168"/>
      <c r="E318" s="169"/>
      <c r="F318" s="167">
        <f>SUM(F319:F320)</f>
        <v>28500000</v>
      </c>
    </row>
    <row r="319" spans="1:6" ht="20.25" customHeight="1" x14ac:dyDescent="0.25">
      <c r="A319" s="170"/>
      <c r="B319" s="171" t="s">
        <v>367</v>
      </c>
      <c r="C319" s="172">
        <v>75</v>
      </c>
      <c r="D319" s="172" t="s">
        <v>301</v>
      </c>
      <c r="E319" s="173">
        <v>210000</v>
      </c>
      <c r="F319" s="173">
        <f>C319*E319</f>
        <v>15750000</v>
      </c>
    </row>
    <row r="320" spans="1:6" x14ac:dyDescent="0.25">
      <c r="A320" s="170"/>
      <c r="B320" s="171" t="s">
        <v>368</v>
      </c>
      <c r="C320" s="172">
        <v>75</v>
      </c>
      <c r="D320" s="172" t="s">
        <v>296</v>
      </c>
      <c r="E320" s="173">
        <v>170000</v>
      </c>
      <c r="F320" s="173">
        <f>C320*E320</f>
        <v>12750000</v>
      </c>
    </row>
    <row r="321" spans="1:7" x14ac:dyDescent="0.25">
      <c r="A321" s="158" t="s">
        <v>20</v>
      </c>
      <c r="B321" s="158" t="s">
        <v>59</v>
      </c>
      <c r="C321" s="159" t="s">
        <v>11</v>
      </c>
      <c r="D321" s="159"/>
      <c r="E321" s="160"/>
      <c r="F321" s="161">
        <f>F322</f>
        <v>256698000</v>
      </c>
      <c r="G321" s="183" t="e">
        <f>#REF!-F321</f>
        <v>#REF!</v>
      </c>
    </row>
    <row r="322" spans="1:7" x14ac:dyDescent="0.25">
      <c r="A322" s="162" t="s">
        <v>12</v>
      </c>
      <c r="B322" s="162" t="s">
        <v>60</v>
      </c>
      <c r="C322" s="163"/>
      <c r="D322" s="163"/>
      <c r="E322" s="164"/>
      <c r="F322" s="165">
        <f>F323+F329+F334+F337+F342</f>
        <v>256698000</v>
      </c>
    </row>
    <row r="323" spans="1:7" x14ac:dyDescent="0.25">
      <c r="A323" s="166" t="s">
        <v>22</v>
      </c>
      <c r="B323" s="166" t="s">
        <v>23</v>
      </c>
      <c r="C323" s="168"/>
      <c r="D323" s="168"/>
      <c r="E323" s="169"/>
      <c r="F323" s="167">
        <f>SUM(F324:F328)</f>
        <v>82258000</v>
      </c>
    </row>
    <row r="324" spans="1:7" x14ac:dyDescent="0.25">
      <c r="A324" s="170"/>
      <c r="B324" s="171" t="s">
        <v>559</v>
      </c>
      <c r="C324" s="172">
        <v>900</v>
      </c>
      <c r="D324" s="172" t="s">
        <v>296</v>
      </c>
      <c r="E324" s="210">
        <v>57000</v>
      </c>
      <c r="F324" s="173">
        <f>C324*E324</f>
        <v>51300000</v>
      </c>
    </row>
    <row r="325" spans="1:7" x14ac:dyDescent="0.25">
      <c r="A325" s="170"/>
      <c r="B325" s="171" t="s">
        <v>560</v>
      </c>
      <c r="C325" s="172">
        <v>900</v>
      </c>
      <c r="D325" s="172" t="s">
        <v>296</v>
      </c>
      <c r="E325" s="173">
        <v>24000</v>
      </c>
      <c r="F325" s="173">
        <f>C325*E325</f>
        <v>21600000</v>
      </c>
    </row>
    <row r="326" spans="1:7" x14ac:dyDescent="0.25">
      <c r="A326" s="170"/>
      <c r="B326" s="178" t="s">
        <v>569</v>
      </c>
      <c r="C326" s="172">
        <v>1</v>
      </c>
      <c r="D326" s="172" t="s">
        <v>303</v>
      </c>
      <c r="E326" s="173">
        <f>638000+720000</f>
        <v>1358000</v>
      </c>
      <c r="F326" s="173">
        <f>C326*E326</f>
        <v>1358000</v>
      </c>
    </row>
    <row r="327" spans="1:7" x14ac:dyDescent="0.25">
      <c r="A327" s="170"/>
      <c r="B327" s="178" t="s">
        <v>568</v>
      </c>
      <c r="C327" s="172">
        <v>4</v>
      </c>
      <c r="D327" s="172" t="s">
        <v>298</v>
      </c>
      <c r="E327" s="173">
        <v>1000000</v>
      </c>
      <c r="F327" s="173">
        <f t="shared" ref="F327:F328" si="51">C327*E327</f>
        <v>4000000</v>
      </c>
    </row>
    <row r="328" spans="1:7" x14ac:dyDescent="0.25">
      <c r="A328" s="170"/>
      <c r="B328" s="178" t="s">
        <v>570</v>
      </c>
      <c r="C328" s="172">
        <v>4</v>
      </c>
      <c r="D328" s="172" t="s">
        <v>298</v>
      </c>
      <c r="E328" s="173">
        <v>1000000</v>
      </c>
      <c r="F328" s="173">
        <f t="shared" si="51"/>
        <v>4000000</v>
      </c>
    </row>
    <row r="329" spans="1:7" x14ac:dyDescent="0.25">
      <c r="A329" s="166" t="s">
        <v>14</v>
      </c>
      <c r="B329" s="166" t="s">
        <v>15</v>
      </c>
      <c r="C329" s="168"/>
      <c r="D329" s="168"/>
      <c r="E329" s="169"/>
      <c r="F329" s="167">
        <f>SUM(F330:F333)</f>
        <v>13150000</v>
      </c>
    </row>
    <row r="330" spans="1:7" ht="18" customHeight="1" x14ac:dyDescent="0.25">
      <c r="A330" s="170"/>
      <c r="B330" s="176" t="s">
        <v>360</v>
      </c>
      <c r="C330" s="172">
        <v>1</v>
      </c>
      <c r="D330" s="172" t="s">
        <v>296</v>
      </c>
      <c r="E330" s="173">
        <v>450000</v>
      </c>
      <c r="F330" s="173">
        <f>C330*E330</f>
        <v>450000</v>
      </c>
    </row>
    <row r="331" spans="1:7" ht="18" customHeight="1" x14ac:dyDescent="0.25">
      <c r="A331" s="170"/>
      <c r="B331" s="176" t="s">
        <v>361</v>
      </c>
      <c r="C331" s="172">
        <v>1</v>
      </c>
      <c r="D331" s="172" t="s">
        <v>296</v>
      </c>
      <c r="E331" s="173">
        <v>400000</v>
      </c>
      <c r="F331" s="173">
        <f t="shared" ref="F331:F333" si="52">C331*E331</f>
        <v>400000</v>
      </c>
    </row>
    <row r="332" spans="1:7" ht="18" customHeight="1" x14ac:dyDescent="0.25">
      <c r="A332" s="170"/>
      <c r="B332" s="176" t="s">
        <v>362</v>
      </c>
      <c r="C332" s="172">
        <v>1</v>
      </c>
      <c r="D332" s="172" t="s">
        <v>296</v>
      </c>
      <c r="E332" s="173">
        <v>300000</v>
      </c>
      <c r="F332" s="173">
        <f t="shared" si="52"/>
        <v>300000</v>
      </c>
    </row>
    <row r="333" spans="1:7" ht="18" customHeight="1" x14ac:dyDescent="0.25">
      <c r="A333" s="170"/>
      <c r="B333" s="176" t="s">
        <v>363</v>
      </c>
      <c r="C333" s="172">
        <v>40</v>
      </c>
      <c r="D333" s="172" t="s">
        <v>296</v>
      </c>
      <c r="E333" s="173">
        <v>300000</v>
      </c>
      <c r="F333" s="173">
        <f t="shared" si="52"/>
        <v>12000000</v>
      </c>
    </row>
    <row r="334" spans="1:7" x14ac:dyDescent="0.25">
      <c r="A334" s="166" t="s">
        <v>16</v>
      </c>
      <c r="B334" s="166" t="s">
        <v>17</v>
      </c>
      <c r="C334" s="168"/>
      <c r="D334" s="168"/>
      <c r="E334" s="169"/>
      <c r="F334" s="167">
        <f>SUM(F335:F336)</f>
        <v>23600000</v>
      </c>
    </row>
    <row r="335" spans="1:7" ht="18" customHeight="1" x14ac:dyDescent="0.25">
      <c r="A335" s="170"/>
      <c r="B335" s="171" t="s">
        <v>436</v>
      </c>
      <c r="C335" s="172">
        <v>18</v>
      </c>
      <c r="D335" s="172" t="s">
        <v>297</v>
      </c>
      <c r="E335" s="173">
        <v>1000000</v>
      </c>
      <c r="F335" s="173">
        <f>C335*E335</f>
        <v>18000000</v>
      </c>
    </row>
    <row r="336" spans="1:7" x14ac:dyDescent="0.25">
      <c r="A336" s="170"/>
      <c r="B336" s="171" t="s">
        <v>389</v>
      </c>
      <c r="C336" s="172">
        <v>8</v>
      </c>
      <c r="D336" s="172" t="s">
        <v>347</v>
      </c>
      <c r="E336" s="173">
        <v>700000</v>
      </c>
      <c r="F336" s="173">
        <f t="shared" ref="F336" si="53">C336*E336</f>
        <v>5600000</v>
      </c>
    </row>
    <row r="337" spans="1:7" x14ac:dyDescent="0.25">
      <c r="A337" s="166" t="s">
        <v>28</v>
      </c>
      <c r="B337" s="166" t="s">
        <v>29</v>
      </c>
      <c r="C337" s="168"/>
      <c r="D337" s="168"/>
      <c r="E337" s="169"/>
      <c r="F337" s="167">
        <f>SUM(F338:F341)</f>
        <v>72990000</v>
      </c>
    </row>
    <row r="338" spans="1:7" x14ac:dyDescent="0.25">
      <c r="A338" s="170"/>
      <c r="B338" s="171" t="s">
        <v>562</v>
      </c>
      <c r="C338" s="172">
        <v>5</v>
      </c>
      <c r="D338" s="172" t="s">
        <v>301</v>
      </c>
      <c r="E338" s="173">
        <v>430000</v>
      </c>
      <c r="F338" s="173">
        <f>C338*E338</f>
        <v>2150000</v>
      </c>
    </row>
    <row r="339" spans="1:7" x14ac:dyDescent="0.25">
      <c r="A339" s="170"/>
      <c r="B339" s="171" t="s">
        <v>564</v>
      </c>
      <c r="C339" s="172">
        <v>230</v>
      </c>
      <c r="D339" s="172" t="s">
        <v>296</v>
      </c>
      <c r="E339" s="210">
        <v>130000</v>
      </c>
      <c r="F339" s="173">
        <f t="shared" ref="F339:F340" si="54">C339*E339</f>
        <v>29900000</v>
      </c>
    </row>
    <row r="340" spans="1:7" x14ac:dyDescent="0.25">
      <c r="A340" s="170"/>
      <c r="B340" s="171" t="s">
        <v>563</v>
      </c>
      <c r="C340" s="172">
        <v>120</v>
      </c>
      <c r="D340" s="172" t="s">
        <v>296</v>
      </c>
      <c r="E340" s="173">
        <v>284000</v>
      </c>
      <c r="F340" s="173">
        <f t="shared" si="54"/>
        <v>34080000</v>
      </c>
    </row>
    <row r="341" spans="1:7" ht="18.75" customHeight="1" x14ac:dyDescent="0.25">
      <c r="A341" s="170"/>
      <c r="B341" s="171" t="s">
        <v>561</v>
      </c>
      <c r="C341" s="172">
        <v>10</v>
      </c>
      <c r="D341" s="172" t="s">
        <v>296</v>
      </c>
      <c r="E341" s="173">
        <v>686000</v>
      </c>
      <c r="F341" s="173">
        <f>C341*E341</f>
        <v>6860000</v>
      </c>
    </row>
    <row r="342" spans="1:7" x14ac:dyDescent="0.25">
      <c r="A342" s="166" t="s">
        <v>18</v>
      </c>
      <c r="B342" s="166" t="s">
        <v>19</v>
      </c>
      <c r="C342" s="168"/>
      <c r="D342" s="168"/>
      <c r="E342" s="169"/>
      <c r="F342" s="167">
        <f>SUM(F343:F346)</f>
        <v>64700000</v>
      </c>
    </row>
    <row r="343" spans="1:7" ht="20.25" customHeight="1" x14ac:dyDescent="0.25">
      <c r="A343" s="170"/>
      <c r="B343" s="171" t="s">
        <v>567</v>
      </c>
      <c r="C343" s="172">
        <v>60</v>
      </c>
      <c r="D343" s="172" t="s">
        <v>301</v>
      </c>
      <c r="E343" s="173">
        <v>210000</v>
      </c>
      <c r="F343" s="173">
        <f>C343*E343</f>
        <v>12600000</v>
      </c>
    </row>
    <row r="344" spans="1:7" x14ac:dyDescent="0.25">
      <c r="A344" s="170"/>
      <c r="B344" s="171" t="s">
        <v>571</v>
      </c>
      <c r="C344" s="172">
        <v>120</v>
      </c>
      <c r="D344" s="172" t="s">
        <v>296</v>
      </c>
      <c r="E344" s="173">
        <v>170000</v>
      </c>
      <c r="F344" s="173">
        <f>C344*E344</f>
        <v>20400000</v>
      </c>
    </row>
    <row r="345" spans="1:7" x14ac:dyDescent="0.25">
      <c r="A345" s="170"/>
      <c r="B345" s="171" t="s">
        <v>565</v>
      </c>
      <c r="C345" s="172">
        <v>180</v>
      </c>
      <c r="D345" s="172" t="s">
        <v>296</v>
      </c>
      <c r="E345" s="210">
        <v>95000</v>
      </c>
      <c r="F345" s="173">
        <f t="shared" ref="F345" si="55">C345*E345</f>
        <v>17100000</v>
      </c>
    </row>
    <row r="346" spans="1:7" ht="18.75" customHeight="1" x14ac:dyDescent="0.25">
      <c r="A346" s="170"/>
      <c r="B346" s="171" t="s">
        <v>566</v>
      </c>
      <c r="C346" s="172">
        <v>20</v>
      </c>
      <c r="D346" s="172" t="s">
        <v>296</v>
      </c>
      <c r="E346" s="210">
        <v>730000</v>
      </c>
      <c r="F346" s="173">
        <f>C346*E346</f>
        <v>14600000</v>
      </c>
    </row>
    <row r="347" spans="1:7" x14ac:dyDescent="0.25">
      <c r="A347" s="158" t="s">
        <v>46</v>
      </c>
      <c r="B347" s="158" t="s">
        <v>63</v>
      </c>
      <c r="C347" s="159" t="s">
        <v>11</v>
      </c>
      <c r="D347" s="159"/>
      <c r="E347" s="160"/>
      <c r="F347" s="161">
        <f>F348</f>
        <v>69664000</v>
      </c>
      <c r="G347" s="183" t="e">
        <f>#REF!-F347</f>
        <v>#REF!</v>
      </c>
    </row>
    <row r="348" spans="1:7" x14ac:dyDescent="0.25">
      <c r="A348" s="162" t="s">
        <v>12</v>
      </c>
      <c r="B348" s="162" t="s">
        <v>64</v>
      </c>
      <c r="C348" s="163"/>
      <c r="D348" s="163"/>
      <c r="E348" s="164"/>
      <c r="F348" s="165">
        <f>F349+F354+F357</f>
        <v>69664000</v>
      </c>
    </row>
    <row r="349" spans="1:7" x14ac:dyDescent="0.25">
      <c r="A349" s="166" t="s">
        <v>22</v>
      </c>
      <c r="B349" s="166" t="s">
        <v>23</v>
      </c>
      <c r="C349" s="168"/>
      <c r="D349" s="168"/>
      <c r="E349" s="169"/>
      <c r="F349" s="167">
        <f>SUM(F350:F353)</f>
        <v>22024000</v>
      </c>
    </row>
    <row r="350" spans="1:7" x14ac:dyDescent="0.25">
      <c r="A350" s="170"/>
      <c r="B350" s="171" t="s">
        <v>557</v>
      </c>
      <c r="C350" s="172">
        <v>200</v>
      </c>
      <c r="D350" s="172" t="s">
        <v>296</v>
      </c>
      <c r="E350" s="210">
        <v>57000</v>
      </c>
      <c r="F350" s="173">
        <f>C350*E350</f>
        <v>11400000</v>
      </c>
    </row>
    <row r="351" spans="1:7" x14ac:dyDescent="0.25">
      <c r="A351" s="170"/>
      <c r="B351" s="171" t="s">
        <v>558</v>
      </c>
      <c r="C351" s="172">
        <v>200</v>
      </c>
      <c r="D351" s="172" t="s">
        <v>296</v>
      </c>
      <c r="E351" s="173">
        <v>24000</v>
      </c>
      <c r="F351" s="173">
        <f>C351*E351</f>
        <v>4800000</v>
      </c>
    </row>
    <row r="352" spans="1:7" x14ac:dyDescent="0.25">
      <c r="A352" s="170"/>
      <c r="B352" s="178" t="s">
        <v>359</v>
      </c>
      <c r="C352" s="172">
        <v>1</v>
      </c>
      <c r="D352" s="172" t="s">
        <v>298</v>
      </c>
      <c r="E352" s="173">
        <v>1000000</v>
      </c>
      <c r="F352" s="173">
        <f t="shared" ref="F352:F353" si="56">C352*E352</f>
        <v>1000000</v>
      </c>
    </row>
    <row r="353" spans="1:6" x14ac:dyDescent="0.25">
      <c r="A353" s="170"/>
      <c r="B353" s="178" t="s">
        <v>394</v>
      </c>
      <c r="C353" s="172">
        <v>1</v>
      </c>
      <c r="D353" s="172" t="s">
        <v>303</v>
      </c>
      <c r="E353" s="173">
        <f>4424000+400000</f>
        <v>4824000</v>
      </c>
      <c r="F353" s="173">
        <f t="shared" si="56"/>
        <v>4824000</v>
      </c>
    </row>
    <row r="354" spans="1:6" x14ac:dyDescent="0.25">
      <c r="A354" s="166" t="s">
        <v>28</v>
      </c>
      <c r="B354" s="166" t="s">
        <v>29</v>
      </c>
      <c r="C354" s="168"/>
      <c r="D354" s="168"/>
      <c r="E354" s="169"/>
      <c r="F354" s="167">
        <f>SUM(F355:F356)</f>
        <v>24840000</v>
      </c>
    </row>
    <row r="355" spans="1:6" x14ac:dyDescent="0.25">
      <c r="A355" s="170"/>
      <c r="B355" s="171" t="s">
        <v>408</v>
      </c>
      <c r="C355" s="172">
        <v>60</v>
      </c>
      <c r="D355" s="172" t="s">
        <v>301</v>
      </c>
      <c r="E355" s="210">
        <v>130000</v>
      </c>
      <c r="F355" s="173">
        <f>C355*E355</f>
        <v>7800000</v>
      </c>
    </row>
    <row r="356" spans="1:6" x14ac:dyDescent="0.25">
      <c r="A356" s="170"/>
      <c r="B356" s="171" t="s">
        <v>556</v>
      </c>
      <c r="C356" s="172">
        <v>60</v>
      </c>
      <c r="D356" s="172" t="s">
        <v>296</v>
      </c>
      <c r="E356" s="173">
        <v>284000</v>
      </c>
      <c r="F356" s="173">
        <f t="shared" ref="F356" si="57">C356*E356</f>
        <v>17040000</v>
      </c>
    </row>
    <row r="357" spans="1:6" x14ac:dyDescent="0.25">
      <c r="A357" s="166" t="s">
        <v>18</v>
      </c>
      <c r="B357" s="166" t="s">
        <v>19</v>
      </c>
      <c r="C357" s="168"/>
      <c r="D357" s="168"/>
      <c r="E357" s="169"/>
      <c r="F357" s="167">
        <f>SUM(F358:F359)</f>
        <v>22800000</v>
      </c>
    </row>
    <row r="358" spans="1:6" ht="20.25" customHeight="1" x14ac:dyDescent="0.25">
      <c r="A358" s="170"/>
      <c r="B358" s="171" t="s">
        <v>409</v>
      </c>
      <c r="C358" s="172">
        <v>60</v>
      </c>
      <c r="D358" s="172" t="s">
        <v>301</v>
      </c>
      <c r="E358" s="173">
        <v>210000</v>
      </c>
      <c r="F358" s="173">
        <f>C358*E358</f>
        <v>12600000</v>
      </c>
    </row>
    <row r="359" spans="1:6" x14ac:dyDescent="0.25">
      <c r="A359" s="170"/>
      <c r="B359" s="171" t="s">
        <v>410</v>
      </c>
      <c r="C359" s="172">
        <v>60</v>
      </c>
      <c r="D359" s="172" t="s">
        <v>296</v>
      </c>
      <c r="E359" s="173">
        <v>170000</v>
      </c>
      <c r="F359" s="173">
        <f>C359*E359</f>
        <v>10200000</v>
      </c>
    </row>
    <row r="360" spans="1:6" ht="30" x14ac:dyDescent="0.25">
      <c r="A360" s="179" t="s">
        <v>65</v>
      </c>
      <c r="B360" s="179" t="s">
        <v>66</v>
      </c>
      <c r="C360" s="151" t="s">
        <v>67</v>
      </c>
      <c r="D360" s="151" t="s">
        <v>306</v>
      </c>
      <c r="E360" s="152"/>
      <c r="F360" s="153">
        <f>F362</f>
        <v>367858073000</v>
      </c>
    </row>
    <row r="361" spans="1:6" x14ac:dyDescent="0.25">
      <c r="A361" s="170"/>
      <c r="B361" s="180" t="s">
        <v>68</v>
      </c>
      <c r="C361" s="172"/>
      <c r="D361" s="172"/>
      <c r="E361" s="170"/>
      <c r="F361" s="170"/>
    </row>
    <row r="362" spans="1:6" ht="30" x14ac:dyDescent="0.25">
      <c r="A362" s="154" t="s">
        <v>69</v>
      </c>
      <c r="B362" s="154" t="s">
        <v>70</v>
      </c>
      <c r="C362" s="155" t="s">
        <v>67</v>
      </c>
      <c r="D362" s="155" t="s">
        <v>306</v>
      </c>
      <c r="E362" s="156"/>
      <c r="F362" s="157">
        <f t="shared" ref="F362:F364" si="58">F363</f>
        <v>367858073000</v>
      </c>
    </row>
    <row r="363" spans="1:6" x14ac:dyDescent="0.25">
      <c r="A363" s="158" t="s">
        <v>71</v>
      </c>
      <c r="B363" s="158" t="s">
        <v>72</v>
      </c>
      <c r="C363" s="159" t="s">
        <v>11</v>
      </c>
      <c r="D363" s="159"/>
      <c r="E363" s="160"/>
      <c r="F363" s="161">
        <f t="shared" si="58"/>
        <v>367858073000</v>
      </c>
    </row>
    <row r="364" spans="1:6" x14ac:dyDescent="0.25">
      <c r="A364" s="162" t="s">
        <v>12</v>
      </c>
      <c r="B364" s="162" t="s">
        <v>73</v>
      </c>
      <c r="C364" s="163"/>
      <c r="D364" s="163"/>
      <c r="E364" s="164"/>
      <c r="F364" s="165">
        <f t="shared" si="58"/>
        <v>367858073000</v>
      </c>
    </row>
    <row r="365" spans="1:6" x14ac:dyDescent="0.25">
      <c r="A365" s="166" t="s">
        <v>74</v>
      </c>
      <c r="B365" s="166" t="s">
        <v>75</v>
      </c>
      <c r="C365" s="168"/>
      <c r="D365" s="168"/>
      <c r="E365" s="169"/>
      <c r="F365" s="167">
        <f>SUM(F366:F401)</f>
        <v>367858073000</v>
      </c>
    </row>
    <row r="366" spans="1:6" x14ac:dyDescent="0.25">
      <c r="A366" s="170"/>
      <c r="B366" s="171" t="s">
        <v>573</v>
      </c>
      <c r="C366" s="172">
        <v>4200</v>
      </c>
      <c r="D366" s="172" t="s">
        <v>299</v>
      </c>
      <c r="E366" s="173">
        <v>3200000</v>
      </c>
      <c r="F366" s="173">
        <f t="shared" ref="F366:F401" si="59">C366*E366</f>
        <v>13440000000</v>
      </c>
    </row>
    <row r="367" spans="1:6" x14ac:dyDescent="0.25">
      <c r="A367" s="170"/>
      <c r="B367" s="177" t="s">
        <v>174</v>
      </c>
      <c r="C367" s="172">
        <v>4488</v>
      </c>
      <c r="D367" s="172" t="s">
        <v>299</v>
      </c>
      <c r="E367" s="173">
        <v>3200000</v>
      </c>
      <c r="F367" s="173">
        <f t="shared" si="59"/>
        <v>14361600000</v>
      </c>
    </row>
    <row r="368" spans="1:6" x14ac:dyDescent="0.25">
      <c r="A368" s="170"/>
      <c r="B368" s="177" t="s">
        <v>175</v>
      </c>
      <c r="C368" s="172">
        <v>2796</v>
      </c>
      <c r="D368" s="172" t="s">
        <v>299</v>
      </c>
      <c r="E368" s="173">
        <v>3100000</v>
      </c>
      <c r="F368" s="173">
        <f t="shared" si="59"/>
        <v>8667600000</v>
      </c>
    </row>
    <row r="369" spans="1:6" x14ac:dyDescent="0.25">
      <c r="A369" s="170"/>
      <c r="B369" s="177" t="s">
        <v>176</v>
      </c>
      <c r="C369" s="172">
        <v>8964</v>
      </c>
      <c r="D369" s="172" t="s">
        <v>299</v>
      </c>
      <c r="E369" s="173">
        <v>3200000</v>
      </c>
      <c r="F369" s="173">
        <f t="shared" si="59"/>
        <v>28684800000</v>
      </c>
    </row>
    <row r="370" spans="1:6" x14ac:dyDescent="0.25">
      <c r="A370" s="170"/>
      <c r="B370" s="171" t="s">
        <v>574</v>
      </c>
      <c r="C370" s="172">
        <v>6600</v>
      </c>
      <c r="D370" s="172" t="s">
        <v>299</v>
      </c>
      <c r="E370" s="173">
        <v>3400000</v>
      </c>
      <c r="F370" s="173">
        <f t="shared" si="59"/>
        <v>22440000000</v>
      </c>
    </row>
    <row r="371" spans="1:6" x14ac:dyDescent="0.25">
      <c r="A371" s="170"/>
      <c r="B371" s="177" t="s">
        <v>178</v>
      </c>
      <c r="C371" s="172">
        <v>6048</v>
      </c>
      <c r="D371" s="172" t="s">
        <v>299</v>
      </c>
      <c r="E371" s="173">
        <v>3500000</v>
      </c>
      <c r="F371" s="173">
        <f t="shared" si="59"/>
        <v>21168000000</v>
      </c>
    </row>
    <row r="372" spans="1:6" x14ac:dyDescent="0.25">
      <c r="A372" s="170"/>
      <c r="B372" s="177" t="s">
        <v>179</v>
      </c>
      <c r="C372" s="172">
        <v>5088</v>
      </c>
      <c r="D372" s="172" t="s">
        <v>299</v>
      </c>
      <c r="E372" s="173">
        <v>3500000</v>
      </c>
      <c r="F372" s="173">
        <f t="shared" si="59"/>
        <v>17808000000</v>
      </c>
    </row>
    <row r="373" spans="1:6" x14ac:dyDescent="0.25">
      <c r="A373" s="170"/>
      <c r="B373" s="177" t="s">
        <v>180</v>
      </c>
      <c r="C373" s="172">
        <v>7404</v>
      </c>
      <c r="D373" s="172" t="s">
        <v>299</v>
      </c>
      <c r="E373" s="173">
        <v>3500000</v>
      </c>
      <c r="F373" s="173">
        <f t="shared" si="59"/>
        <v>25914000000</v>
      </c>
    </row>
    <row r="374" spans="1:6" x14ac:dyDescent="0.25">
      <c r="A374" s="170"/>
      <c r="B374" s="177" t="s">
        <v>181</v>
      </c>
      <c r="C374" s="172">
        <v>6420</v>
      </c>
      <c r="D374" s="172" t="s">
        <v>299</v>
      </c>
      <c r="E374" s="173">
        <v>3500000</v>
      </c>
      <c r="F374" s="173">
        <f t="shared" si="59"/>
        <v>22470000000</v>
      </c>
    </row>
    <row r="375" spans="1:6" x14ac:dyDescent="0.25">
      <c r="A375" s="170"/>
      <c r="B375" s="171" t="s">
        <v>575</v>
      </c>
      <c r="C375" s="172">
        <v>9972</v>
      </c>
      <c r="D375" s="172" t="s">
        <v>299</v>
      </c>
      <c r="E375" s="173">
        <v>3500000</v>
      </c>
      <c r="F375" s="173">
        <f t="shared" si="59"/>
        <v>34902000000</v>
      </c>
    </row>
    <row r="376" spans="1:6" x14ac:dyDescent="0.25">
      <c r="A376" s="170"/>
      <c r="B376" s="177" t="s">
        <v>183</v>
      </c>
      <c r="C376" s="172">
        <v>9984</v>
      </c>
      <c r="D376" s="172" t="s">
        <v>299</v>
      </c>
      <c r="E376" s="173">
        <v>3500000</v>
      </c>
      <c r="F376" s="173">
        <f t="shared" si="59"/>
        <v>34944000000</v>
      </c>
    </row>
    <row r="377" spans="1:6" x14ac:dyDescent="0.25">
      <c r="A377" s="170"/>
      <c r="B377" s="177" t="s">
        <v>184</v>
      </c>
      <c r="C377" s="172">
        <v>11064</v>
      </c>
      <c r="D377" s="172" t="s">
        <v>299</v>
      </c>
      <c r="E377" s="173">
        <v>3500000</v>
      </c>
      <c r="F377" s="173">
        <f t="shared" si="59"/>
        <v>38724000000</v>
      </c>
    </row>
    <row r="378" spans="1:6" x14ac:dyDescent="0.25">
      <c r="A378" s="170"/>
      <c r="B378" s="177" t="s">
        <v>185</v>
      </c>
      <c r="C378" s="172">
        <v>8544</v>
      </c>
      <c r="D378" s="172" t="s">
        <v>299</v>
      </c>
      <c r="E378" s="173">
        <v>3350000</v>
      </c>
      <c r="F378" s="173">
        <f t="shared" si="59"/>
        <v>28622400000</v>
      </c>
    </row>
    <row r="379" spans="1:6" x14ac:dyDescent="0.25">
      <c r="A379" s="170"/>
      <c r="B379" s="171" t="s">
        <v>186</v>
      </c>
      <c r="C379" s="172">
        <v>5796</v>
      </c>
      <c r="D379" s="172" t="s">
        <v>299</v>
      </c>
      <c r="E379" s="173">
        <v>3200000</v>
      </c>
      <c r="F379" s="173">
        <f t="shared" si="59"/>
        <v>18547200000</v>
      </c>
    </row>
    <row r="380" spans="1:6" x14ac:dyDescent="0.25">
      <c r="A380" s="170"/>
      <c r="B380" s="171" t="s">
        <v>187</v>
      </c>
      <c r="C380" s="172">
        <v>2088</v>
      </c>
      <c r="D380" s="172" t="s">
        <v>299</v>
      </c>
      <c r="E380" s="173">
        <v>3921000</v>
      </c>
      <c r="F380" s="173">
        <f t="shared" si="59"/>
        <v>8187048000</v>
      </c>
    </row>
    <row r="381" spans="1:6" x14ac:dyDescent="0.25">
      <c r="A381" s="170"/>
      <c r="B381" s="171" t="s">
        <v>188</v>
      </c>
      <c r="C381" s="172">
        <v>2088</v>
      </c>
      <c r="D381" s="172" t="s">
        <v>299</v>
      </c>
      <c r="E381" s="173">
        <v>4150000</v>
      </c>
      <c r="F381" s="173">
        <f t="shared" si="59"/>
        <v>8665200000</v>
      </c>
    </row>
    <row r="382" spans="1:6" x14ac:dyDescent="0.25">
      <c r="A382" s="170"/>
      <c r="B382" s="171" t="s">
        <v>189</v>
      </c>
      <c r="C382" s="172">
        <v>1020</v>
      </c>
      <c r="D382" s="172" t="s">
        <v>299</v>
      </c>
      <c r="E382" s="173">
        <v>3902000</v>
      </c>
      <c r="F382" s="173">
        <f t="shared" si="59"/>
        <v>3980040000</v>
      </c>
    </row>
    <row r="383" spans="1:6" x14ac:dyDescent="0.25">
      <c r="A383" s="170"/>
      <c r="B383" s="177" t="s">
        <v>190</v>
      </c>
      <c r="C383" s="172">
        <v>156</v>
      </c>
      <c r="D383" s="172" t="s">
        <v>299</v>
      </c>
      <c r="E383" s="173">
        <v>4200000</v>
      </c>
      <c r="F383" s="173">
        <f t="shared" si="59"/>
        <v>655200000</v>
      </c>
    </row>
    <row r="384" spans="1:6" x14ac:dyDescent="0.25">
      <c r="A384" s="170"/>
      <c r="B384" s="177" t="s">
        <v>191</v>
      </c>
      <c r="C384" s="172">
        <v>144</v>
      </c>
      <c r="D384" s="172" t="s">
        <v>299</v>
      </c>
      <c r="E384" s="173">
        <v>3860000</v>
      </c>
      <c r="F384" s="173">
        <f t="shared" si="59"/>
        <v>555840000</v>
      </c>
    </row>
    <row r="385" spans="1:6" x14ac:dyDescent="0.25">
      <c r="A385" s="170"/>
      <c r="B385" s="177" t="s">
        <v>192</v>
      </c>
      <c r="C385" s="172">
        <v>216</v>
      </c>
      <c r="D385" s="172" t="s">
        <v>299</v>
      </c>
      <c r="E385" s="173">
        <v>3800000</v>
      </c>
      <c r="F385" s="173">
        <f t="shared" si="59"/>
        <v>820800000</v>
      </c>
    </row>
    <row r="386" spans="1:6" x14ac:dyDescent="0.25">
      <c r="A386" s="170"/>
      <c r="B386" s="177" t="s">
        <v>193</v>
      </c>
      <c r="C386" s="172">
        <v>24</v>
      </c>
      <c r="D386" s="172" t="s">
        <v>299</v>
      </c>
      <c r="E386" s="173">
        <v>3450000</v>
      </c>
      <c r="F386" s="173">
        <f t="shared" si="59"/>
        <v>82800000</v>
      </c>
    </row>
    <row r="387" spans="1:6" x14ac:dyDescent="0.25">
      <c r="A387" s="170"/>
      <c r="B387" s="177" t="s">
        <v>194</v>
      </c>
      <c r="C387" s="172">
        <v>36</v>
      </c>
      <c r="D387" s="172" t="s">
        <v>299</v>
      </c>
      <c r="E387" s="173">
        <v>3400000</v>
      </c>
      <c r="F387" s="173">
        <f t="shared" si="59"/>
        <v>122400000</v>
      </c>
    </row>
    <row r="388" spans="1:6" x14ac:dyDescent="0.25">
      <c r="A388" s="170"/>
      <c r="B388" s="177" t="s">
        <v>195</v>
      </c>
      <c r="C388" s="172">
        <v>48</v>
      </c>
      <c r="D388" s="172" t="s">
        <v>299</v>
      </c>
      <c r="E388" s="173">
        <v>4300000</v>
      </c>
      <c r="F388" s="173">
        <f t="shared" si="59"/>
        <v>206400000</v>
      </c>
    </row>
    <row r="389" spans="1:6" x14ac:dyDescent="0.25">
      <c r="A389" s="170"/>
      <c r="B389" s="177" t="s">
        <v>196</v>
      </c>
      <c r="C389" s="172">
        <v>48</v>
      </c>
      <c r="D389" s="172" t="s">
        <v>299</v>
      </c>
      <c r="E389" s="173">
        <v>3921000</v>
      </c>
      <c r="F389" s="173">
        <f t="shared" si="59"/>
        <v>188208000</v>
      </c>
    </row>
    <row r="390" spans="1:6" x14ac:dyDescent="0.25">
      <c r="A390" s="170"/>
      <c r="B390" s="177" t="s">
        <v>197</v>
      </c>
      <c r="C390" s="172">
        <v>36</v>
      </c>
      <c r="D390" s="172" t="s">
        <v>299</v>
      </c>
      <c r="E390" s="173">
        <v>3500000</v>
      </c>
      <c r="F390" s="173">
        <f t="shared" si="59"/>
        <v>126000000</v>
      </c>
    </row>
    <row r="391" spans="1:6" x14ac:dyDescent="0.25">
      <c r="A391" s="170"/>
      <c r="B391" s="177" t="s">
        <v>198</v>
      </c>
      <c r="C391" s="172">
        <v>24</v>
      </c>
      <c r="D391" s="172" t="s">
        <v>299</v>
      </c>
      <c r="E391" s="173">
        <v>3992000</v>
      </c>
      <c r="F391" s="173">
        <f t="shared" si="59"/>
        <v>95808000</v>
      </c>
    </row>
    <row r="392" spans="1:6" x14ac:dyDescent="0.25">
      <c r="A392" s="170"/>
      <c r="B392" s="171" t="s">
        <v>572</v>
      </c>
      <c r="C392" s="172">
        <v>960</v>
      </c>
      <c r="D392" s="172" t="s">
        <v>299</v>
      </c>
      <c r="E392" s="173">
        <v>8205000</v>
      </c>
      <c r="F392" s="173">
        <f t="shared" si="59"/>
        <v>7876800000</v>
      </c>
    </row>
    <row r="393" spans="1:6" x14ac:dyDescent="0.25">
      <c r="A393" s="170"/>
      <c r="B393" s="177" t="s">
        <v>200</v>
      </c>
      <c r="C393" s="172">
        <v>156</v>
      </c>
      <c r="D393" s="172" t="s">
        <v>299</v>
      </c>
      <c r="E393" s="173">
        <v>8220000</v>
      </c>
      <c r="F393" s="173">
        <f t="shared" si="59"/>
        <v>1282320000</v>
      </c>
    </row>
    <row r="394" spans="1:6" x14ac:dyDescent="0.25">
      <c r="A394" s="170"/>
      <c r="B394" s="177" t="s">
        <v>201</v>
      </c>
      <c r="C394" s="172">
        <v>144</v>
      </c>
      <c r="D394" s="172" t="s">
        <v>299</v>
      </c>
      <c r="E394" s="173">
        <v>7648000</v>
      </c>
      <c r="F394" s="173">
        <f t="shared" si="59"/>
        <v>1101312000</v>
      </c>
    </row>
    <row r="395" spans="1:6" x14ac:dyDescent="0.25">
      <c r="A395" s="170"/>
      <c r="B395" s="177" t="s">
        <v>202</v>
      </c>
      <c r="C395" s="172">
        <v>216</v>
      </c>
      <c r="D395" s="172" t="s">
        <v>299</v>
      </c>
      <c r="E395" s="173">
        <v>7528000</v>
      </c>
      <c r="F395" s="173">
        <f t="shared" si="59"/>
        <v>1626048000</v>
      </c>
    </row>
    <row r="396" spans="1:6" x14ac:dyDescent="0.25">
      <c r="A396" s="170"/>
      <c r="B396" s="177" t="s">
        <v>203</v>
      </c>
      <c r="C396" s="172">
        <v>24</v>
      </c>
      <c r="D396" s="172" t="s">
        <v>299</v>
      </c>
      <c r="E396" s="173">
        <v>6929000</v>
      </c>
      <c r="F396" s="173">
        <f t="shared" si="59"/>
        <v>166296000</v>
      </c>
    </row>
    <row r="397" spans="1:6" x14ac:dyDescent="0.25">
      <c r="A397" s="170"/>
      <c r="B397" s="177" t="s">
        <v>204</v>
      </c>
      <c r="C397" s="172">
        <v>36</v>
      </c>
      <c r="D397" s="172" t="s">
        <v>299</v>
      </c>
      <c r="E397" s="173">
        <v>6985000</v>
      </c>
      <c r="F397" s="173">
        <f t="shared" si="59"/>
        <v>251460000</v>
      </c>
    </row>
    <row r="398" spans="1:6" x14ac:dyDescent="0.25">
      <c r="A398" s="170"/>
      <c r="B398" s="177" t="s">
        <v>205</v>
      </c>
      <c r="C398" s="172">
        <v>48</v>
      </c>
      <c r="D398" s="172" t="s">
        <v>299</v>
      </c>
      <c r="E398" s="173">
        <v>9817000</v>
      </c>
      <c r="F398" s="173">
        <f t="shared" si="59"/>
        <v>471216000</v>
      </c>
    </row>
    <row r="399" spans="1:6" x14ac:dyDescent="0.25">
      <c r="A399" s="170"/>
      <c r="B399" s="177" t="s">
        <v>206</v>
      </c>
      <c r="C399" s="172">
        <v>48</v>
      </c>
      <c r="D399" s="172" t="s">
        <v>299</v>
      </c>
      <c r="E399" s="173">
        <v>8850000</v>
      </c>
      <c r="F399" s="173">
        <f t="shared" si="59"/>
        <v>424800000</v>
      </c>
    </row>
    <row r="400" spans="1:6" x14ac:dyDescent="0.25">
      <c r="A400" s="170"/>
      <c r="B400" s="177" t="s">
        <v>207</v>
      </c>
      <c r="C400" s="172">
        <v>36</v>
      </c>
      <c r="D400" s="172" t="s">
        <v>299</v>
      </c>
      <c r="E400" s="173">
        <v>7528000</v>
      </c>
      <c r="F400" s="173">
        <f t="shared" si="59"/>
        <v>271008000</v>
      </c>
    </row>
    <row r="401" spans="1:8" x14ac:dyDescent="0.25">
      <c r="A401" s="170"/>
      <c r="B401" s="171" t="s">
        <v>208</v>
      </c>
      <c r="C401" s="172">
        <v>1</v>
      </c>
      <c r="D401" s="172" t="s">
        <v>299</v>
      </c>
      <c r="E401" s="173">
        <v>7469000</v>
      </c>
      <c r="F401" s="173">
        <f t="shared" si="59"/>
        <v>7469000</v>
      </c>
    </row>
    <row r="402" spans="1:8" x14ac:dyDescent="0.25">
      <c r="A402" s="181" t="s">
        <v>76</v>
      </c>
      <c r="B402" s="181" t="s">
        <v>77</v>
      </c>
      <c r="C402" s="143"/>
      <c r="D402" s="143"/>
      <c r="E402" s="144"/>
      <c r="F402" s="145">
        <f>F403</f>
        <v>87589611000</v>
      </c>
    </row>
    <row r="403" spans="1:8" x14ac:dyDescent="0.25">
      <c r="A403" s="182" t="s">
        <v>78</v>
      </c>
      <c r="B403" s="182" t="s">
        <v>79</v>
      </c>
      <c r="C403" s="147"/>
      <c r="D403" s="147"/>
      <c r="E403" s="148"/>
      <c r="F403" s="149">
        <f>F404</f>
        <v>87589611000</v>
      </c>
    </row>
    <row r="404" spans="1:8" ht="105" x14ac:dyDescent="0.25">
      <c r="A404" s="179" t="s">
        <v>80</v>
      </c>
      <c r="B404" s="179" t="s">
        <v>81</v>
      </c>
      <c r="C404" s="151" t="s">
        <v>82</v>
      </c>
      <c r="D404" s="151" t="s">
        <v>307</v>
      </c>
      <c r="E404" s="152"/>
      <c r="F404" s="153">
        <f>F406+F465+F613</f>
        <v>87589611000</v>
      </c>
    </row>
    <row r="405" spans="1:8" x14ac:dyDescent="0.25">
      <c r="A405" s="170"/>
      <c r="B405" s="180" t="s">
        <v>6</v>
      </c>
      <c r="C405" s="172"/>
      <c r="D405" s="172"/>
      <c r="E405" s="170"/>
      <c r="F405" s="170"/>
    </row>
    <row r="406" spans="1:8" ht="30" x14ac:dyDescent="0.25">
      <c r="A406" s="154" t="s">
        <v>83</v>
      </c>
      <c r="B406" s="154" t="s">
        <v>84</v>
      </c>
      <c r="C406" s="155" t="s">
        <v>85</v>
      </c>
      <c r="D406" s="155" t="s">
        <v>308</v>
      </c>
      <c r="E406" s="156"/>
      <c r="F406" s="157">
        <f>F407</f>
        <v>464230000</v>
      </c>
      <c r="G406" s="211"/>
      <c r="H406" s="212"/>
    </row>
    <row r="407" spans="1:8" x14ac:dyDescent="0.25">
      <c r="A407" s="158" t="s">
        <v>9</v>
      </c>
      <c r="B407" s="158" t="s">
        <v>86</v>
      </c>
      <c r="C407" s="159" t="s">
        <v>11</v>
      </c>
      <c r="D407" s="159"/>
      <c r="E407" s="160"/>
      <c r="F407" s="161">
        <f>F408+F428+F448</f>
        <v>464230000</v>
      </c>
      <c r="G407" s="183"/>
    </row>
    <row r="408" spans="1:8" x14ac:dyDescent="0.25">
      <c r="A408" s="162" t="s">
        <v>12</v>
      </c>
      <c r="B408" s="162" t="s">
        <v>87</v>
      </c>
      <c r="C408" s="163"/>
      <c r="D408" s="163"/>
      <c r="E408" s="164"/>
      <c r="F408" s="165">
        <f>F409+F415+F420+F423</f>
        <v>50050000</v>
      </c>
    </row>
    <row r="409" spans="1:8" x14ac:dyDescent="0.25">
      <c r="A409" s="166" t="s">
        <v>22</v>
      </c>
      <c r="B409" s="166" t="s">
        <v>23</v>
      </c>
      <c r="C409" s="168"/>
      <c r="D409" s="168"/>
      <c r="E409" s="169"/>
      <c r="F409" s="167">
        <f>SUM(F410:F414)</f>
        <v>8125000</v>
      </c>
    </row>
    <row r="410" spans="1:8" x14ac:dyDescent="0.25">
      <c r="A410" s="170"/>
      <c r="B410" s="171" t="s">
        <v>355</v>
      </c>
      <c r="C410" s="172">
        <v>75</v>
      </c>
      <c r="D410" s="172" t="s">
        <v>296</v>
      </c>
      <c r="E410" s="210">
        <v>57000</v>
      </c>
      <c r="F410" s="173">
        <f>C410*E410</f>
        <v>4275000</v>
      </c>
    </row>
    <row r="411" spans="1:8" x14ac:dyDescent="0.25">
      <c r="A411" s="170"/>
      <c r="B411" s="171" t="s">
        <v>356</v>
      </c>
      <c r="C411" s="172">
        <v>75</v>
      </c>
      <c r="D411" s="172" t="s">
        <v>296</v>
      </c>
      <c r="E411" s="173">
        <v>24000</v>
      </c>
      <c r="F411" s="173">
        <f>C411*E411</f>
        <v>1800000</v>
      </c>
    </row>
    <row r="412" spans="1:8" x14ac:dyDescent="0.25">
      <c r="A412" s="170"/>
      <c r="B412" s="175" t="s">
        <v>358</v>
      </c>
      <c r="C412" s="172">
        <v>1</v>
      </c>
      <c r="D412" s="172" t="s">
        <v>298</v>
      </c>
      <c r="E412" s="173">
        <v>1000000</v>
      </c>
      <c r="F412" s="173">
        <f t="shared" ref="F412:F414" si="60">C412*E412</f>
        <v>1000000</v>
      </c>
    </row>
    <row r="413" spans="1:8" x14ac:dyDescent="0.25">
      <c r="A413" s="170"/>
      <c r="B413" s="175" t="s">
        <v>359</v>
      </c>
      <c r="C413" s="172">
        <v>1</v>
      </c>
      <c r="D413" s="172" t="s">
        <v>298</v>
      </c>
      <c r="E413" s="173">
        <v>500000</v>
      </c>
      <c r="F413" s="173">
        <f t="shared" si="60"/>
        <v>500000</v>
      </c>
    </row>
    <row r="414" spans="1:8" x14ac:dyDescent="0.25">
      <c r="A414" s="170"/>
      <c r="B414" s="175" t="s">
        <v>394</v>
      </c>
      <c r="C414" s="172">
        <v>1</v>
      </c>
      <c r="D414" s="172" t="s">
        <v>298</v>
      </c>
      <c r="E414" s="173">
        <v>550000</v>
      </c>
      <c r="F414" s="173">
        <f t="shared" si="60"/>
        <v>550000</v>
      </c>
    </row>
    <row r="415" spans="1:8" x14ac:dyDescent="0.25">
      <c r="A415" s="166" t="s">
        <v>14</v>
      </c>
      <c r="B415" s="166" t="s">
        <v>15</v>
      </c>
      <c r="C415" s="168"/>
      <c r="D415" s="168"/>
      <c r="E415" s="169"/>
      <c r="F415" s="167">
        <f>SUM(F416:F419)</f>
        <v>4150000</v>
      </c>
    </row>
    <row r="416" spans="1:8" ht="18" customHeight="1" x14ac:dyDescent="0.25">
      <c r="A416" s="170"/>
      <c r="B416" s="176" t="s">
        <v>360</v>
      </c>
      <c r="C416" s="172">
        <v>1</v>
      </c>
      <c r="D416" s="172" t="s">
        <v>296</v>
      </c>
      <c r="E416" s="173">
        <v>450000</v>
      </c>
      <c r="F416" s="173">
        <f>C416*E416</f>
        <v>450000</v>
      </c>
    </row>
    <row r="417" spans="1:6" ht="18" customHeight="1" x14ac:dyDescent="0.25">
      <c r="A417" s="170"/>
      <c r="B417" s="176" t="s">
        <v>361</v>
      </c>
      <c r="C417" s="172">
        <v>1</v>
      </c>
      <c r="D417" s="172" t="s">
        <v>296</v>
      </c>
      <c r="E417" s="173">
        <v>400000</v>
      </c>
      <c r="F417" s="173">
        <f t="shared" ref="F417:F419" si="61">C417*E417</f>
        <v>400000</v>
      </c>
    </row>
    <row r="418" spans="1:6" ht="18" customHeight="1" x14ac:dyDescent="0.25">
      <c r="A418" s="170"/>
      <c r="B418" s="176" t="s">
        <v>362</v>
      </c>
      <c r="C418" s="172">
        <v>1</v>
      </c>
      <c r="D418" s="172" t="s">
        <v>296</v>
      </c>
      <c r="E418" s="173">
        <v>300000</v>
      </c>
      <c r="F418" s="173">
        <f t="shared" si="61"/>
        <v>300000</v>
      </c>
    </row>
    <row r="419" spans="1:6" ht="18" customHeight="1" x14ac:dyDescent="0.25">
      <c r="A419" s="170"/>
      <c r="B419" s="176" t="s">
        <v>363</v>
      </c>
      <c r="C419" s="172">
        <v>10</v>
      </c>
      <c r="D419" s="172" t="s">
        <v>296</v>
      </c>
      <c r="E419" s="173">
        <v>300000</v>
      </c>
      <c r="F419" s="173">
        <f t="shared" si="61"/>
        <v>3000000</v>
      </c>
    </row>
    <row r="420" spans="1:6" x14ac:dyDescent="0.25">
      <c r="A420" s="166" t="s">
        <v>16</v>
      </c>
      <c r="B420" s="166" t="s">
        <v>17</v>
      </c>
      <c r="C420" s="168"/>
      <c r="D420" s="168"/>
      <c r="E420" s="169"/>
      <c r="F420" s="167">
        <f>SUM(F421:F422)</f>
        <v>18800000</v>
      </c>
    </row>
    <row r="421" spans="1:6" ht="18" customHeight="1" x14ac:dyDescent="0.25">
      <c r="A421" s="170"/>
      <c r="B421" s="171" t="s">
        <v>576</v>
      </c>
      <c r="C421" s="172">
        <v>16</v>
      </c>
      <c r="D421" s="172" t="s">
        <v>297</v>
      </c>
      <c r="E421" s="173">
        <v>1000000</v>
      </c>
      <c r="F421" s="173">
        <f>C421*E421</f>
        <v>16000000</v>
      </c>
    </row>
    <row r="422" spans="1:6" x14ac:dyDescent="0.25">
      <c r="A422" s="170"/>
      <c r="B422" s="171" t="s">
        <v>577</v>
      </c>
      <c r="C422" s="172">
        <v>4</v>
      </c>
      <c r="D422" s="172" t="s">
        <v>347</v>
      </c>
      <c r="E422" s="173">
        <v>700000</v>
      </c>
      <c r="F422" s="173">
        <f t="shared" ref="F422" si="62">C422*E422</f>
        <v>2800000</v>
      </c>
    </row>
    <row r="423" spans="1:6" x14ac:dyDescent="0.25">
      <c r="A423" s="166" t="s">
        <v>28</v>
      </c>
      <c r="B423" s="166" t="s">
        <v>29</v>
      </c>
      <c r="C423" s="168"/>
      <c r="D423" s="168"/>
      <c r="E423" s="169"/>
      <c r="F423" s="167">
        <f>SUM(F424:F427)</f>
        <v>18975000</v>
      </c>
    </row>
    <row r="424" spans="1:6" x14ac:dyDescent="0.25">
      <c r="A424" s="170"/>
      <c r="B424" s="171" t="s">
        <v>578</v>
      </c>
      <c r="C424" s="172">
        <v>10</v>
      </c>
      <c r="D424" s="172" t="s">
        <v>301</v>
      </c>
      <c r="E424" s="173">
        <v>430000</v>
      </c>
      <c r="F424" s="173">
        <f>C424*E424</f>
        <v>4300000</v>
      </c>
    </row>
    <row r="425" spans="1:6" ht="20.25" customHeight="1" x14ac:dyDescent="0.25">
      <c r="A425" s="170"/>
      <c r="B425" s="171" t="s">
        <v>579</v>
      </c>
      <c r="C425" s="172">
        <v>25</v>
      </c>
      <c r="D425" s="172" t="s">
        <v>301</v>
      </c>
      <c r="E425" s="210">
        <v>130000</v>
      </c>
      <c r="F425" s="173">
        <f>C425*E425</f>
        <v>3250000</v>
      </c>
    </row>
    <row r="426" spans="1:6" ht="20.25" customHeight="1" x14ac:dyDescent="0.25">
      <c r="A426" s="170"/>
      <c r="B426" s="171" t="s">
        <v>583</v>
      </c>
      <c r="C426" s="172">
        <v>15</v>
      </c>
      <c r="D426" s="172" t="s">
        <v>301</v>
      </c>
      <c r="E426" s="210">
        <v>95000</v>
      </c>
      <c r="F426" s="173">
        <f>C426*E426</f>
        <v>1425000</v>
      </c>
    </row>
    <row r="427" spans="1:6" x14ac:dyDescent="0.25">
      <c r="A427" s="170"/>
      <c r="B427" s="171" t="s">
        <v>379</v>
      </c>
      <c r="C427" s="172">
        <v>50</v>
      </c>
      <c r="D427" s="172" t="s">
        <v>296</v>
      </c>
      <c r="E427" s="173">
        <v>200000</v>
      </c>
      <c r="F427" s="173">
        <f t="shared" ref="F427" si="63">C427*E427</f>
        <v>10000000</v>
      </c>
    </row>
    <row r="428" spans="1:6" x14ac:dyDescent="0.25">
      <c r="A428" s="162" t="s">
        <v>26</v>
      </c>
      <c r="B428" s="162" t="s">
        <v>88</v>
      </c>
      <c r="C428" s="163"/>
      <c r="D428" s="163"/>
      <c r="E428" s="164"/>
      <c r="F428" s="165">
        <f>F429+F435+F440+F443</f>
        <v>50455000</v>
      </c>
    </row>
    <row r="429" spans="1:6" x14ac:dyDescent="0.25">
      <c r="A429" s="166" t="s">
        <v>22</v>
      </c>
      <c r="B429" s="166" t="s">
        <v>23</v>
      </c>
      <c r="C429" s="168"/>
      <c r="D429" s="168"/>
      <c r="E429" s="169"/>
      <c r="F429" s="167">
        <f>SUM(F430:F434)</f>
        <v>8530000</v>
      </c>
    </row>
    <row r="430" spans="1:6" x14ac:dyDescent="0.25">
      <c r="A430" s="170"/>
      <c r="B430" s="171" t="s">
        <v>355</v>
      </c>
      <c r="C430" s="172">
        <v>80</v>
      </c>
      <c r="D430" s="172" t="s">
        <v>296</v>
      </c>
      <c r="E430" s="210">
        <v>57000</v>
      </c>
      <c r="F430" s="173">
        <f>C430*E430</f>
        <v>4560000</v>
      </c>
    </row>
    <row r="431" spans="1:6" x14ac:dyDescent="0.25">
      <c r="A431" s="170"/>
      <c r="B431" s="171" t="s">
        <v>356</v>
      </c>
      <c r="C431" s="172">
        <v>80</v>
      </c>
      <c r="D431" s="172" t="s">
        <v>296</v>
      </c>
      <c r="E431" s="173">
        <v>24000</v>
      </c>
      <c r="F431" s="173">
        <f>C431*E431</f>
        <v>1920000</v>
      </c>
    </row>
    <row r="432" spans="1:6" x14ac:dyDescent="0.25">
      <c r="A432" s="170"/>
      <c r="B432" s="175" t="s">
        <v>358</v>
      </c>
      <c r="C432" s="172">
        <v>1</v>
      </c>
      <c r="D432" s="172" t="s">
        <v>298</v>
      </c>
      <c r="E432" s="173">
        <v>1000000</v>
      </c>
      <c r="F432" s="173">
        <f t="shared" ref="F432:F434" si="64">C432*E432</f>
        <v>1000000</v>
      </c>
    </row>
    <row r="433" spans="1:6" x14ac:dyDescent="0.25">
      <c r="A433" s="170"/>
      <c r="B433" s="175" t="s">
        <v>359</v>
      </c>
      <c r="C433" s="172">
        <v>1</v>
      </c>
      <c r="D433" s="172" t="s">
        <v>298</v>
      </c>
      <c r="E433" s="173">
        <v>500000</v>
      </c>
      <c r="F433" s="173">
        <f t="shared" si="64"/>
        <v>500000</v>
      </c>
    </row>
    <row r="434" spans="1:6" x14ac:dyDescent="0.25">
      <c r="A434" s="170"/>
      <c r="B434" s="175" t="s">
        <v>394</v>
      </c>
      <c r="C434" s="172">
        <v>1</v>
      </c>
      <c r="D434" s="172" t="s">
        <v>298</v>
      </c>
      <c r="E434" s="173">
        <v>550000</v>
      </c>
      <c r="F434" s="173">
        <f t="shared" si="64"/>
        <v>550000</v>
      </c>
    </row>
    <row r="435" spans="1:6" x14ac:dyDescent="0.25">
      <c r="A435" s="166" t="s">
        <v>14</v>
      </c>
      <c r="B435" s="166" t="s">
        <v>15</v>
      </c>
      <c r="C435" s="168"/>
      <c r="D435" s="168"/>
      <c r="E435" s="169"/>
      <c r="F435" s="167">
        <f>SUM(F436:F439)</f>
        <v>4150000</v>
      </c>
    </row>
    <row r="436" spans="1:6" ht="18" customHeight="1" x14ac:dyDescent="0.25">
      <c r="A436" s="170"/>
      <c r="B436" s="176" t="s">
        <v>360</v>
      </c>
      <c r="C436" s="172">
        <v>1</v>
      </c>
      <c r="D436" s="172" t="s">
        <v>296</v>
      </c>
      <c r="E436" s="173">
        <v>450000</v>
      </c>
      <c r="F436" s="173">
        <f>C436*E436</f>
        <v>450000</v>
      </c>
    </row>
    <row r="437" spans="1:6" ht="18" customHeight="1" x14ac:dyDescent="0.25">
      <c r="A437" s="170"/>
      <c r="B437" s="176" t="s">
        <v>361</v>
      </c>
      <c r="C437" s="172">
        <v>1</v>
      </c>
      <c r="D437" s="172" t="s">
        <v>296</v>
      </c>
      <c r="E437" s="173">
        <v>400000</v>
      </c>
      <c r="F437" s="173">
        <f t="shared" ref="F437:F439" si="65">C437*E437</f>
        <v>400000</v>
      </c>
    </row>
    <row r="438" spans="1:6" ht="18" customHeight="1" x14ac:dyDescent="0.25">
      <c r="A438" s="170"/>
      <c r="B438" s="176" t="s">
        <v>362</v>
      </c>
      <c r="C438" s="172">
        <v>1</v>
      </c>
      <c r="D438" s="172" t="s">
        <v>296</v>
      </c>
      <c r="E438" s="173">
        <v>300000</v>
      </c>
      <c r="F438" s="173">
        <f t="shared" si="65"/>
        <v>300000</v>
      </c>
    </row>
    <row r="439" spans="1:6" ht="18" customHeight="1" x14ac:dyDescent="0.25">
      <c r="A439" s="170"/>
      <c r="B439" s="176" t="s">
        <v>363</v>
      </c>
      <c r="C439" s="172">
        <v>10</v>
      </c>
      <c r="D439" s="172" t="s">
        <v>296</v>
      </c>
      <c r="E439" s="173">
        <v>300000</v>
      </c>
      <c r="F439" s="173">
        <f t="shared" si="65"/>
        <v>3000000</v>
      </c>
    </row>
    <row r="440" spans="1:6" x14ac:dyDescent="0.25">
      <c r="A440" s="166" t="s">
        <v>16</v>
      </c>
      <c r="B440" s="166" t="s">
        <v>17</v>
      </c>
      <c r="C440" s="168"/>
      <c r="D440" s="168"/>
      <c r="E440" s="169"/>
      <c r="F440" s="167">
        <f>SUM(F441:F442)</f>
        <v>18800000</v>
      </c>
    </row>
    <row r="441" spans="1:6" ht="18" customHeight="1" x14ac:dyDescent="0.25">
      <c r="A441" s="170"/>
      <c r="B441" s="171" t="s">
        <v>576</v>
      </c>
      <c r="C441" s="172">
        <v>16</v>
      </c>
      <c r="D441" s="172" t="s">
        <v>297</v>
      </c>
      <c r="E441" s="173">
        <v>1000000</v>
      </c>
      <c r="F441" s="173">
        <f>C441*E441</f>
        <v>16000000</v>
      </c>
    </row>
    <row r="442" spans="1:6" x14ac:dyDescent="0.25">
      <c r="A442" s="170"/>
      <c r="B442" s="171" t="s">
        <v>577</v>
      </c>
      <c r="C442" s="172">
        <v>4</v>
      </c>
      <c r="D442" s="172" t="s">
        <v>347</v>
      </c>
      <c r="E442" s="173">
        <v>700000</v>
      </c>
      <c r="F442" s="173">
        <f t="shared" ref="F442" si="66">C442*E442</f>
        <v>2800000</v>
      </c>
    </row>
    <row r="443" spans="1:6" x14ac:dyDescent="0.25">
      <c r="A443" s="166" t="s">
        <v>28</v>
      </c>
      <c r="B443" s="166" t="s">
        <v>29</v>
      </c>
      <c r="C443" s="168"/>
      <c r="D443" s="168"/>
      <c r="E443" s="169"/>
      <c r="F443" s="167">
        <f>SUM(F444:F447)</f>
        <v>18975000</v>
      </c>
    </row>
    <row r="444" spans="1:6" x14ac:dyDescent="0.25">
      <c r="A444" s="170"/>
      <c r="B444" s="171" t="s">
        <v>578</v>
      </c>
      <c r="C444" s="172">
        <v>10</v>
      </c>
      <c r="D444" s="172" t="s">
        <v>301</v>
      </c>
      <c r="E444" s="173">
        <v>430000</v>
      </c>
      <c r="F444" s="173">
        <f>C444*E444</f>
        <v>4300000</v>
      </c>
    </row>
    <row r="445" spans="1:6" ht="20.25" customHeight="1" x14ac:dyDescent="0.25">
      <c r="A445" s="170"/>
      <c r="B445" s="171" t="s">
        <v>579</v>
      </c>
      <c r="C445" s="172">
        <v>25</v>
      </c>
      <c r="D445" s="172" t="s">
        <v>301</v>
      </c>
      <c r="E445" s="210">
        <v>130000</v>
      </c>
      <c r="F445" s="173">
        <f>C445*E445</f>
        <v>3250000</v>
      </c>
    </row>
    <row r="446" spans="1:6" ht="20.25" customHeight="1" x14ac:dyDescent="0.25">
      <c r="A446" s="170"/>
      <c r="B446" s="171" t="s">
        <v>583</v>
      </c>
      <c r="C446" s="172">
        <v>15</v>
      </c>
      <c r="D446" s="172" t="s">
        <v>301</v>
      </c>
      <c r="E446" s="210">
        <v>95000</v>
      </c>
      <c r="F446" s="173">
        <f>C446*E446</f>
        <v>1425000</v>
      </c>
    </row>
    <row r="447" spans="1:6" x14ac:dyDescent="0.25">
      <c r="A447" s="170"/>
      <c r="B447" s="171" t="s">
        <v>379</v>
      </c>
      <c r="C447" s="172">
        <v>50</v>
      </c>
      <c r="D447" s="172" t="s">
        <v>296</v>
      </c>
      <c r="E447" s="173">
        <v>200000</v>
      </c>
      <c r="F447" s="173">
        <f t="shared" ref="F447" si="67">C447*E447</f>
        <v>10000000</v>
      </c>
    </row>
    <row r="448" spans="1:6" x14ac:dyDescent="0.25">
      <c r="A448" s="162" t="s">
        <v>32</v>
      </c>
      <c r="B448" s="162" t="s">
        <v>89</v>
      </c>
      <c r="C448" s="163"/>
      <c r="D448" s="163"/>
      <c r="E448" s="164"/>
      <c r="F448" s="165">
        <f>F449+F455+F458+F461</f>
        <v>363725000</v>
      </c>
    </row>
    <row r="449" spans="1:6" x14ac:dyDescent="0.25">
      <c r="A449" s="166" t="s">
        <v>22</v>
      </c>
      <c r="B449" s="166" t="s">
        <v>23</v>
      </c>
      <c r="C449" s="168"/>
      <c r="D449" s="168"/>
      <c r="E449" s="169"/>
      <c r="F449" s="167">
        <f>SUM(F450:F454)</f>
        <v>45025000</v>
      </c>
    </row>
    <row r="450" spans="1:6" x14ac:dyDescent="0.25">
      <c r="A450" s="170"/>
      <c r="B450" s="171" t="s">
        <v>611</v>
      </c>
      <c r="C450" s="172">
        <v>500</v>
      </c>
      <c r="D450" s="172" t="s">
        <v>296</v>
      </c>
      <c r="E450" s="210">
        <v>57000</v>
      </c>
      <c r="F450" s="173">
        <f>C450*E450</f>
        <v>28500000</v>
      </c>
    </row>
    <row r="451" spans="1:6" x14ac:dyDescent="0.25">
      <c r="A451" s="170"/>
      <c r="B451" s="171" t="s">
        <v>612</v>
      </c>
      <c r="C451" s="172">
        <v>500</v>
      </c>
      <c r="D451" s="172" t="s">
        <v>296</v>
      </c>
      <c r="E451" s="173">
        <v>24000</v>
      </c>
      <c r="F451" s="173">
        <f>C451*E451</f>
        <v>12000000</v>
      </c>
    </row>
    <row r="452" spans="1:6" x14ac:dyDescent="0.25">
      <c r="A452" s="170"/>
      <c r="B452" s="175" t="s">
        <v>358</v>
      </c>
      <c r="C452" s="172">
        <v>2</v>
      </c>
      <c r="D452" s="172" t="s">
        <v>298</v>
      </c>
      <c r="E452" s="173">
        <v>1000000</v>
      </c>
      <c r="F452" s="173">
        <f t="shared" ref="F452:F453" si="68">C452*E452</f>
        <v>2000000</v>
      </c>
    </row>
    <row r="453" spans="1:6" x14ac:dyDescent="0.25">
      <c r="A453" s="170"/>
      <c r="B453" s="175" t="s">
        <v>359</v>
      </c>
      <c r="C453" s="172">
        <v>2</v>
      </c>
      <c r="D453" s="172" t="s">
        <v>298</v>
      </c>
      <c r="E453" s="173">
        <v>1000000</v>
      </c>
      <c r="F453" s="173">
        <f t="shared" si="68"/>
        <v>2000000</v>
      </c>
    </row>
    <row r="454" spans="1:6" x14ac:dyDescent="0.25">
      <c r="A454" s="170"/>
      <c r="B454" s="175" t="s">
        <v>344</v>
      </c>
      <c r="C454" s="172">
        <v>1</v>
      </c>
      <c r="D454" s="172" t="s">
        <v>298</v>
      </c>
      <c r="E454" s="173">
        <f>1179000-654000</f>
        <v>525000</v>
      </c>
      <c r="F454" s="173">
        <f>C454*E454</f>
        <v>525000</v>
      </c>
    </row>
    <row r="455" spans="1:6" ht="17.25" customHeight="1" x14ac:dyDescent="0.25">
      <c r="A455" s="166" t="s">
        <v>16</v>
      </c>
      <c r="B455" s="166" t="s">
        <v>17</v>
      </c>
      <c r="C455" s="168"/>
      <c r="D455" s="168"/>
      <c r="E455" s="169"/>
      <c r="F455" s="167">
        <f>SUM(F456:F457)</f>
        <v>50800000</v>
      </c>
    </row>
    <row r="456" spans="1:6" ht="18" customHeight="1" x14ac:dyDescent="0.25">
      <c r="A456" s="170"/>
      <c r="B456" s="171" t="s">
        <v>580</v>
      </c>
      <c r="C456" s="172">
        <v>48</v>
      </c>
      <c r="D456" s="172" t="s">
        <v>297</v>
      </c>
      <c r="E456" s="173">
        <v>1000000</v>
      </c>
      <c r="F456" s="173">
        <f>C456*E456</f>
        <v>48000000</v>
      </c>
    </row>
    <row r="457" spans="1:6" x14ac:dyDescent="0.25">
      <c r="A457" s="170"/>
      <c r="B457" s="171" t="s">
        <v>577</v>
      </c>
      <c r="C457" s="172">
        <v>4</v>
      </c>
      <c r="D457" s="172" t="s">
        <v>347</v>
      </c>
      <c r="E457" s="173">
        <v>700000</v>
      </c>
      <c r="F457" s="173">
        <f t="shared" ref="F457" si="69">C457*E457</f>
        <v>2800000</v>
      </c>
    </row>
    <row r="458" spans="1:6" x14ac:dyDescent="0.25">
      <c r="A458" s="166" t="s">
        <v>18</v>
      </c>
      <c r="B458" s="166" t="s">
        <v>19</v>
      </c>
      <c r="C458" s="168"/>
      <c r="D458" s="168"/>
      <c r="E458" s="169"/>
      <c r="F458" s="167">
        <f>SUM(F459:F460)</f>
        <v>36480000</v>
      </c>
    </row>
    <row r="459" spans="1:6" ht="20.25" customHeight="1" x14ac:dyDescent="0.25">
      <c r="A459" s="170"/>
      <c r="B459" s="171" t="s">
        <v>581</v>
      </c>
      <c r="C459" s="172">
        <v>96</v>
      </c>
      <c r="D459" s="172" t="s">
        <v>301</v>
      </c>
      <c r="E459" s="173">
        <v>210000</v>
      </c>
      <c r="F459" s="173">
        <f>C459*E459</f>
        <v>20160000</v>
      </c>
    </row>
    <row r="460" spans="1:6" x14ac:dyDescent="0.25">
      <c r="A460" s="170"/>
      <c r="B460" s="171" t="s">
        <v>582</v>
      </c>
      <c r="C460" s="172">
        <v>96</v>
      </c>
      <c r="D460" s="172" t="s">
        <v>296</v>
      </c>
      <c r="E460" s="173">
        <v>170000</v>
      </c>
      <c r="F460" s="173">
        <f>C460*E460</f>
        <v>16320000</v>
      </c>
    </row>
    <row r="461" spans="1:6" x14ac:dyDescent="0.25">
      <c r="A461" s="166" t="s">
        <v>28</v>
      </c>
      <c r="B461" s="166" t="s">
        <v>29</v>
      </c>
      <c r="C461" s="168"/>
      <c r="D461" s="168"/>
      <c r="E461" s="169"/>
      <c r="F461" s="167">
        <f>SUM(F462:F464)</f>
        <v>231420000</v>
      </c>
    </row>
    <row r="462" spans="1:6" ht="19.5" customHeight="1" x14ac:dyDescent="0.25">
      <c r="A462" s="170"/>
      <c r="B462" s="171" t="s">
        <v>613</v>
      </c>
      <c r="C462" s="172">
        <v>180</v>
      </c>
      <c r="D462" s="172" t="s">
        <v>301</v>
      </c>
      <c r="E462" s="173">
        <v>430000</v>
      </c>
      <c r="F462" s="173">
        <f>C462*E462</f>
        <v>77400000</v>
      </c>
    </row>
    <row r="463" spans="1:6" ht="18.75" customHeight="1" x14ac:dyDescent="0.25">
      <c r="A463" s="170"/>
      <c r="B463" s="171" t="s">
        <v>614</v>
      </c>
      <c r="C463" s="172">
        <v>180</v>
      </c>
      <c r="D463" s="172" t="s">
        <v>296</v>
      </c>
      <c r="E463" s="173">
        <v>284000</v>
      </c>
      <c r="F463" s="173">
        <f t="shared" ref="F463" si="70">C463*E463</f>
        <v>51120000</v>
      </c>
    </row>
    <row r="464" spans="1:6" x14ac:dyDescent="0.25">
      <c r="A464" s="170"/>
      <c r="B464" s="171" t="s">
        <v>615</v>
      </c>
      <c r="C464" s="172">
        <v>150</v>
      </c>
      <c r="D464" s="172" t="s">
        <v>296</v>
      </c>
      <c r="E464" s="173">
        <v>686000</v>
      </c>
      <c r="F464" s="173">
        <f>C464*E464</f>
        <v>102900000</v>
      </c>
    </row>
    <row r="465" spans="1:7" ht="30" x14ac:dyDescent="0.25">
      <c r="A465" s="154" t="s">
        <v>92</v>
      </c>
      <c r="B465" s="154" t="s">
        <v>93</v>
      </c>
      <c r="C465" s="155" t="s">
        <v>85</v>
      </c>
      <c r="D465" s="155" t="s">
        <v>308</v>
      </c>
      <c r="E465" s="156"/>
      <c r="F465" s="157">
        <f>F466+F566</f>
        <v>86941092000</v>
      </c>
    </row>
    <row r="466" spans="1:7" x14ac:dyDescent="0.25">
      <c r="A466" s="158" t="s">
        <v>94</v>
      </c>
      <c r="B466" s="158" t="s">
        <v>95</v>
      </c>
      <c r="C466" s="159" t="s">
        <v>11</v>
      </c>
      <c r="D466" s="159"/>
      <c r="E466" s="160"/>
      <c r="F466" s="161">
        <f>F467</f>
        <v>80060404000</v>
      </c>
    </row>
    <row r="467" spans="1:7" x14ac:dyDescent="0.25">
      <c r="A467" s="162" t="s">
        <v>12</v>
      </c>
      <c r="B467" s="162" t="s">
        <v>96</v>
      </c>
      <c r="C467" s="163"/>
      <c r="D467" s="163"/>
      <c r="E467" s="164"/>
      <c r="F467" s="165">
        <f>F468+F472+F476+F480+F484+F488+F492+F496+F498+F502+F506+F529+F538+F540+F542+F544+F546+F548+F550+F552+F559+F562+F564</f>
        <v>80060404000</v>
      </c>
      <c r="G467" s="183"/>
    </row>
    <row r="468" spans="1:7" x14ac:dyDescent="0.25">
      <c r="A468" s="166" t="s">
        <v>97</v>
      </c>
      <c r="B468" s="215" t="s">
        <v>98</v>
      </c>
      <c r="C468" s="168"/>
      <c r="D468" s="168"/>
      <c r="E468" s="169"/>
      <c r="F468" s="167">
        <f>SUM(F469:F471)</f>
        <v>28551920000</v>
      </c>
    </row>
    <row r="469" spans="1:7" x14ac:dyDescent="0.25">
      <c r="A469" s="170"/>
      <c r="B469" s="217" t="s">
        <v>211</v>
      </c>
      <c r="C469" s="172">
        <v>1</v>
      </c>
      <c r="D469" s="172" t="s">
        <v>309</v>
      </c>
      <c r="E469" s="173">
        <v>22816874000</v>
      </c>
      <c r="F469" s="173">
        <f>C469*E469</f>
        <v>22816874000</v>
      </c>
    </row>
    <row r="470" spans="1:7" x14ac:dyDescent="0.25">
      <c r="A470" s="170"/>
      <c r="B470" s="217" t="s">
        <v>212</v>
      </c>
      <c r="C470" s="172">
        <v>1</v>
      </c>
      <c r="D470" s="172" t="s">
        <v>310</v>
      </c>
      <c r="E470" s="173">
        <v>2867523000</v>
      </c>
      <c r="F470" s="173">
        <f>C470*E470</f>
        <v>2867523000</v>
      </c>
    </row>
    <row r="471" spans="1:7" x14ac:dyDescent="0.25">
      <c r="A471" s="170"/>
      <c r="B471" s="217" t="s">
        <v>213</v>
      </c>
      <c r="C471" s="172">
        <v>1</v>
      </c>
      <c r="D471" s="172" t="s">
        <v>310</v>
      </c>
      <c r="E471" s="173">
        <v>2867523000</v>
      </c>
      <c r="F471" s="173">
        <f>C471*E471</f>
        <v>2867523000</v>
      </c>
    </row>
    <row r="472" spans="1:7" x14ac:dyDescent="0.25">
      <c r="A472" s="166" t="s">
        <v>99</v>
      </c>
      <c r="B472" s="215" t="s">
        <v>100</v>
      </c>
      <c r="C472" s="168"/>
      <c r="D472" s="168"/>
      <c r="E472" s="169"/>
      <c r="F472" s="167">
        <f>SUM(F473:F475)</f>
        <v>446000</v>
      </c>
    </row>
    <row r="473" spans="1:7" x14ac:dyDescent="0.25">
      <c r="A473" s="170"/>
      <c r="B473" s="217" t="s">
        <v>214</v>
      </c>
      <c r="C473" s="172">
        <v>1</v>
      </c>
      <c r="D473" s="172" t="s">
        <v>309</v>
      </c>
      <c r="E473" s="173">
        <v>376000</v>
      </c>
      <c r="F473" s="173">
        <f>C473*E473</f>
        <v>376000</v>
      </c>
    </row>
    <row r="474" spans="1:7" x14ac:dyDescent="0.25">
      <c r="A474" s="170"/>
      <c r="B474" s="217" t="s">
        <v>215</v>
      </c>
      <c r="C474" s="172">
        <v>1</v>
      </c>
      <c r="D474" s="172" t="s">
        <v>310</v>
      </c>
      <c r="E474" s="173">
        <v>35000</v>
      </c>
      <c r="F474" s="173">
        <f>C474*E474</f>
        <v>35000</v>
      </c>
    </row>
    <row r="475" spans="1:7" x14ac:dyDescent="0.25">
      <c r="A475" s="170"/>
      <c r="B475" s="217" t="s">
        <v>216</v>
      </c>
      <c r="C475" s="172">
        <v>1</v>
      </c>
      <c r="D475" s="172" t="s">
        <v>310</v>
      </c>
      <c r="E475" s="173">
        <v>35000</v>
      </c>
      <c r="F475" s="173">
        <f>C475*E475</f>
        <v>35000</v>
      </c>
    </row>
    <row r="476" spans="1:7" x14ac:dyDescent="0.25">
      <c r="A476" s="166" t="s">
        <v>101</v>
      </c>
      <c r="B476" s="215" t="s">
        <v>102</v>
      </c>
      <c r="C476" s="168"/>
      <c r="D476" s="168"/>
      <c r="E476" s="169"/>
      <c r="F476" s="167">
        <f>SUM(F477:F479)</f>
        <v>2947448000</v>
      </c>
    </row>
    <row r="477" spans="1:7" x14ac:dyDescent="0.25">
      <c r="A477" s="170"/>
      <c r="B477" s="217" t="s">
        <v>217</v>
      </c>
      <c r="C477" s="172">
        <v>1</v>
      </c>
      <c r="D477" s="172" t="s">
        <v>309</v>
      </c>
      <c r="E477" s="173">
        <v>2526384000</v>
      </c>
      <c r="F477" s="173">
        <f>C477*E477</f>
        <v>2526384000</v>
      </c>
    </row>
    <row r="478" spans="1:7" x14ac:dyDescent="0.25">
      <c r="A478" s="170"/>
      <c r="B478" s="217" t="s">
        <v>218</v>
      </c>
      <c r="C478" s="172">
        <v>1</v>
      </c>
      <c r="D478" s="172" t="s">
        <v>310</v>
      </c>
      <c r="E478" s="173">
        <v>210532000</v>
      </c>
      <c r="F478" s="173">
        <f>C478*E478</f>
        <v>210532000</v>
      </c>
    </row>
    <row r="479" spans="1:7" x14ac:dyDescent="0.25">
      <c r="A479" s="170"/>
      <c r="B479" s="217" t="s">
        <v>219</v>
      </c>
      <c r="C479" s="172">
        <v>1</v>
      </c>
      <c r="D479" s="172" t="s">
        <v>310</v>
      </c>
      <c r="E479" s="173">
        <v>210532000</v>
      </c>
      <c r="F479" s="173">
        <f>C479*E479</f>
        <v>210532000</v>
      </c>
    </row>
    <row r="480" spans="1:7" x14ac:dyDescent="0.25">
      <c r="A480" s="166" t="s">
        <v>103</v>
      </c>
      <c r="B480" s="215" t="s">
        <v>104</v>
      </c>
      <c r="C480" s="168"/>
      <c r="D480" s="168"/>
      <c r="E480" s="169"/>
      <c r="F480" s="167">
        <f>SUM(F481:F483)</f>
        <v>566654000</v>
      </c>
    </row>
    <row r="481" spans="1:6" x14ac:dyDescent="0.25">
      <c r="A481" s="170"/>
      <c r="B481" s="217" t="s">
        <v>220</v>
      </c>
      <c r="C481" s="172">
        <v>1</v>
      </c>
      <c r="D481" s="172" t="s">
        <v>309</v>
      </c>
      <c r="E481" s="173">
        <v>485702000</v>
      </c>
      <c r="F481" s="173">
        <f>C481*E481</f>
        <v>485702000</v>
      </c>
    </row>
    <row r="482" spans="1:6" x14ac:dyDescent="0.25">
      <c r="A482" s="170"/>
      <c r="B482" s="217" t="s">
        <v>221</v>
      </c>
      <c r="C482" s="172">
        <v>1</v>
      </c>
      <c r="D482" s="172" t="s">
        <v>310</v>
      </c>
      <c r="E482" s="173">
        <v>40476000</v>
      </c>
      <c r="F482" s="173">
        <f>C482*E482</f>
        <v>40476000</v>
      </c>
    </row>
    <row r="483" spans="1:6" x14ac:dyDescent="0.25">
      <c r="A483" s="170"/>
      <c r="B483" s="217" t="s">
        <v>222</v>
      </c>
      <c r="C483" s="172">
        <v>1</v>
      </c>
      <c r="D483" s="172" t="s">
        <v>310</v>
      </c>
      <c r="E483" s="173">
        <v>40476000</v>
      </c>
      <c r="F483" s="173">
        <f>C483*E483</f>
        <v>40476000</v>
      </c>
    </row>
    <row r="484" spans="1:6" x14ac:dyDescent="0.25">
      <c r="A484" s="166" t="s">
        <v>105</v>
      </c>
      <c r="B484" s="215" t="s">
        <v>106</v>
      </c>
      <c r="C484" s="168"/>
      <c r="D484" s="168"/>
      <c r="E484" s="169"/>
      <c r="F484" s="167">
        <f>SUM(F485:F487)</f>
        <v>45990000</v>
      </c>
    </row>
    <row r="485" spans="1:6" x14ac:dyDescent="0.25">
      <c r="A485" s="170"/>
      <c r="B485" s="217" t="s">
        <v>223</v>
      </c>
      <c r="C485" s="172">
        <v>1</v>
      </c>
      <c r="D485" s="172" t="s">
        <v>309</v>
      </c>
      <c r="E485" s="173">
        <v>39420000</v>
      </c>
      <c r="F485" s="173">
        <f>C485*E485</f>
        <v>39420000</v>
      </c>
    </row>
    <row r="486" spans="1:6" x14ac:dyDescent="0.25">
      <c r="A486" s="170"/>
      <c r="B486" s="217" t="s">
        <v>224</v>
      </c>
      <c r="C486" s="172">
        <v>1</v>
      </c>
      <c r="D486" s="172" t="s">
        <v>310</v>
      </c>
      <c r="E486" s="173">
        <v>3285000</v>
      </c>
      <c r="F486" s="173">
        <f>C486*E486</f>
        <v>3285000</v>
      </c>
    </row>
    <row r="487" spans="1:6" x14ac:dyDescent="0.25">
      <c r="A487" s="170"/>
      <c r="B487" s="217" t="s">
        <v>225</v>
      </c>
      <c r="C487" s="172">
        <v>1</v>
      </c>
      <c r="D487" s="172" t="s">
        <v>310</v>
      </c>
      <c r="E487" s="173">
        <v>3285000</v>
      </c>
      <c r="F487" s="173">
        <f>C487*E487</f>
        <v>3285000</v>
      </c>
    </row>
    <row r="488" spans="1:6" x14ac:dyDescent="0.25">
      <c r="A488" s="166" t="s">
        <v>107</v>
      </c>
      <c r="B488" s="215" t="s">
        <v>108</v>
      </c>
      <c r="C488" s="168"/>
      <c r="D488" s="168"/>
      <c r="E488" s="169"/>
      <c r="F488" s="167">
        <f>SUM(F489:F491)</f>
        <v>6177850000</v>
      </c>
    </row>
    <row r="489" spans="1:6" x14ac:dyDescent="0.25">
      <c r="A489" s="170"/>
      <c r="B489" s="217" t="s">
        <v>226</v>
      </c>
      <c r="C489" s="172">
        <v>1</v>
      </c>
      <c r="D489" s="172" t="s">
        <v>309</v>
      </c>
      <c r="E489" s="173">
        <v>5295300000</v>
      </c>
      <c r="F489" s="173">
        <f>C489*E489</f>
        <v>5295300000</v>
      </c>
    </row>
    <row r="490" spans="1:6" x14ac:dyDescent="0.25">
      <c r="A490" s="170"/>
      <c r="B490" s="217" t="s">
        <v>227</v>
      </c>
      <c r="C490" s="172">
        <v>1</v>
      </c>
      <c r="D490" s="172" t="s">
        <v>310</v>
      </c>
      <c r="E490" s="173">
        <v>441275000</v>
      </c>
      <c r="F490" s="173">
        <f>C490*E490</f>
        <v>441275000</v>
      </c>
    </row>
    <row r="491" spans="1:6" x14ac:dyDescent="0.25">
      <c r="A491" s="170"/>
      <c r="B491" s="217" t="s">
        <v>228</v>
      </c>
      <c r="C491" s="172">
        <v>1</v>
      </c>
      <c r="D491" s="172" t="s">
        <v>310</v>
      </c>
      <c r="E491" s="173">
        <v>441275000</v>
      </c>
      <c r="F491" s="173">
        <f>C491*E491</f>
        <v>441275000</v>
      </c>
    </row>
    <row r="492" spans="1:6" x14ac:dyDescent="0.25">
      <c r="A492" s="166" t="s">
        <v>109</v>
      </c>
      <c r="B492" s="215" t="s">
        <v>110</v>
      </c>
      <c r="C492" s="168"/>
      <c r="D492" s="168"/>
      <c r="E492" s="169"/>
      <c r="F492" s="167">
        <f>SUM(F493:F495)</f>
        <v>722550000</v>
      </c>
    </row>
    <row r="493" spans="1:6" x14ac:dyDescent="0.25">
      <c r="A493" s="170"/>
      <c r="B493" s="217" t="s">
        <v>229</v>
      </c>
      <c r="C493" s="172">
        <v>1</v>
      </c>
      <c r="D493" s="172" t="s">
        <v>309</v>
      </c>
      <c r="E493" s="173">
        <v>640850000</v>
      </c>
      <c r="F493" s="173">
        <f>C493*E493</f>
        <v>640850000</v>
      </c>
    </row>
    <row r="494" spans="1:6" x14ac:dyDescent="0.25">
      <c r="A494" s="170"/>
      <c r="B494" s="217" t="s">
        <v>230</v>
      </c>
      <c r="C494" s="172">
        <v>1</v>
      </c>
      <c r="D494" s="172" t="s">
        <v>310</v>
      </c>
      <c r="E494" s="173">
        <v>40850000</v>
      </c>
      <c r="F494" s="173">
        <f>C494*E494</f>
        <v>40850000</v>
      </c>
    </row>
    <row r="495" spans="1:6" x14ac:dyDescent="0.25">
      <c r="A495" s="170"/>
      <c r="B495" s="217" t="s">
        <v>231</v>
      </c>
      <c r="C495" s="172">
        <v>1</v>
      </c>
      <c r="D495" s="172" t="s">
        <v>310</v>
      </c>
      <c r="E495" s="173">
        <v>40850000</v>
      </c>
      <c r="F495" s="173">
        <f>C495*E495</f>
        <v>40850000</v>
      </c>
    </row>
    <row r="496" spans="1:6" x14ac:dyDescent="0.25">
      <c r="A496" s="166" t="s">
        <v>111</v>
      </c>
      <c r="B496" s="215" t="s">
        <v>112</v>
      </c>
      <c r="C496" s="168"/>
      <c r="D496" s="168"/>
      <c r="E496" s="169"/>
      <c r="F496" s="167">
        <f>F497</f>
        <v>1501268000</v>
      </c>
    </row>
    <row r="497" spans="1:6" x14ac:dyDescent="0.25">
      <c r="A497" s="170"/>
      <c r="B497" s="217" t="s">
        <v>232</v>
      </c>
      <c r="C497" s="172">
        <v>1</v>
      </c>
      <c r="D497" s="172" t="s">
        <v>309</v>
      </c>
      <c r="E497" s="173">
        <v>1501268000</v>
      </c>
      <c r="F497" s="173">
        <f>C497*E497</f>
        <v>1501268000</v>
      </c>
    </row>
    <row r="498" spans="1:6" x14ac:dyDescent="0.25">
      <c r="A498" s="166" t="s">
        <v>113</v>
      </c>
      <c r="B498" s="215" t="s">
        <v>114</v>
      </c>
      <c r="C498" s="168"/>
      <c r="D498" s="168"/>
      <c r="E498" s="169"/>
      <c r="F498" s="167">
        <f>SUM(F499:F501)</f>
        <v>5960592000</v>
      </c>
    </row>
    <row r="499" spans="1:6" x14ac:dyDescent="0.25">
      <c r="A499" s="170"/>
      <c r="B499" s="217" t="s">
        <v>233</v>
      </c>
      <c r="C499" s="172">
        <v>66000</v>
      </c>
      <c r="D499" s="172" t="s">
        <v>301</v>
      </c>
      <c r="E499" s="173">
        <v>41000</v>
      </c>
      <c r="F499" s="173">
        <f>C499*E499</f>
        <v>2706000000</v>
      </c>
    </row>
    <row r="500" spans="1:6" x14ac:dyDescent="0.25">
      <c r="A500" s="170"/>
      <c r="B500" s="217" t="s">
        <v>234</v>
      </c>
      <c r="C500" s="172">
        <v>84216</v>
      </c>
      <c r="D500" s="172" t="s">
        <v>301</v>
      </c>
      <c r="E500" s="173">
        <v>37000</v>
      </c>
      <c r="F500" s="173">
        <f>C500*E500</f>
        <v>3115992000</v>
      </c>
    </row>
    <row r="501" spans="1:6" x14ac:dyDescent="0.25">
      <c r="A501" s="170"/>
      <c r="B501" s="217" t="s">
        <v>235</v>
      </c>
      <c r="C501" s="172">
        <v>3960</v>
      </c>
      <c r="D501" s="172" t="s">
        <v>301</v>
      </c>
      <c r="E501" s="173">
        <v>35000</v>
      </c>
      <c r="F501" s="173">
        <f>C501*E501</f>
        <v>138600000</v>
      </c>
    </row>
    <row r="502" spans="1:6" x14ac:dyDescent="0.25">
      <c r="A502" s="166" t="s">
        <v>115</v>
      </c>
      <c r="B502" s="215" t="s">
        <v>116</v>
      </c>
      <c r="C502" s="168"/>
      <c r="D502" s="168"/>
      <c r="E502" s="169"/>
      <c r="F502" s="167">
        <f>SUM(F503:F505)</f>
        <v>154560000</v>
      </c>
    </row>
    <row r="503" spans="1:6" x14ac:dyDescent="0.25">
      <c r="A503" s="170"/>
      <c r="B503" s="217" t="s">
        <v>236</v>
      </c>
      <c r="C503" s="172">
        <v>1</v>
      </c>
      <c r="D503" s="172" t="s">
        <v>309</v>
      </c>
      <c r="E503" s="173">
        <v>132480000</v>
      </c>
      <c r="F503" s="173">
        <f>C503*E503</f>
        <v>132480000</v>
      </c>
    </row>
    <row r="504" spans="1:6" x14ac:dyDescent="0.25">
      <c r="A504" s="170"/>
      <c r="B504" s="217" t="s">
        <v>237</v>
      </c>
      <c r="C504" s="172">
        <v>1</v>
      </c>
      <c r="D504" s="172" t="s">
        <v>310</v>
      </c>
      <c r="E504" s="173">
        <v>11040000</v>
      </c>
      <c r="F504" s="173">
        <f>C504*E504</f>
        <v>11040000</v>
      </c>
    </row>
    <row r="505" spans="1:6" x14ac:dyDescent="0.25">
      <c r="A505" s="170"/>
      <c r="B505" s="217" t="s">
        <v>238</v>
      </c>
      <c r="C505" s="172">
        <v>1</v>
      </c>
      <c r="D505" s="172" t="s">
        <v>310</v>
      </c>
      <c r="E505" s="173">
        <v>11040000</v>
      </c>
      <c r="F505" s="173">
        <f>C505*E505</f>
        <v>11040000</v>
      </c>
    </row>
    <row r="506" spans="1:6" x14ac:dyDescent="0.25">
      <c r="A506" s="166" t="s">
        <v>117</v>
      </c>
      <c r="B506" s="215" t="s">
        <v>118</v>
      </c>
      <c r="C506" s="168"/>
      <c r="D506" s="168"/>
      <c r="E506" s="169"/>
      <c r="F506" s="167">
        <f>SUM(F507:F528)</f>
        <v>20059008000</v>
      </c>
    </row>
    <row r="507" spans="1:6" x14ac:dyDescent="0.25">
      <c r="A507" s="170"/>
      <c r="B507" s="217" t="s">
        <v>239</v>
      </c>
      <c r="C507" s="172">
        <v>312</v>
      </c>
      <c r="D507" s="172" t="s">
        <v>299</v>
      </c>
      <c r="E507" s="173">
        <v>3500000</v>
      </c>
      <c r="F507" s="173">
        <f t="shared" ref="F507:F528" si="71">C507*E507</f>
        <v>1092000000</v>
      </c>
    </row>
    <row r="508" spans="1:6" x14ac:dyDescent="0.25">
      <c r="A508" s="170"/>
      <c r="B508" s="217" t="s">
        <v>240</v>
      </c>
      <c r="C508" s="172">
        <v>612</v>
      </c>
      <c r="D508" s="172" t="s">
        <v>299</v>
      </c>
      <c r="E508" s="173">
        <v>3500000</v>
      </c>
      <c r="F508" s="173">
        <f t="shared" si="71"/>
        <v>2142000000</v>
      </c>
    </row>
    <row r="509" spans="1:6" x14ac:dyDescent="0.25">
      <c r="A509" s="170"/>
      <c r="B509" s="217" t="s">
        <v>241</v>
      </c>
      <c r="C509" s="172">
        <v>348</v>
      </c>
      <c r="D509" s="172" t="s">
        <v>299</v>
      </c>
      <c r="E509" s="173">
        <v>3500000</v>
      </c>
      <c r="F509" s="173">
        <f t="shared" si="71"/>
        <v>1218000000</v>
      </c>
    </row>
    <row r="510" spans="1:6" x14ac:dyDescent="0.25">
      <c r="A510" s="170"/>
      <c r="B510" s="217" t="s">
        <v>242</v>
      </c>
      <c r="C510" s="172">
        <v>864</v>
      </c>
      <c r="D510" s="172" t="s">
        <v>299</v>
      </c>
      <c r="E510" s="173">
        <v>3500000</v>
      </c>
      <c r="F510" s="173">
        <f t="shared" si="71"/>
        <v>3024000000</v>
      </c>
    </row>
    <row r="511" spans="1:6" x14ac:dyDescent="0.25">
      <c r="A511" s="170"/>
      <c r="B511" s="217" t="s">
        <v>243</v>
      </c>
      <c r="C511" s="172">
        <v>516</v>
      </c>
      <c r="D511" s="172" t="s">
        <v>299</v>
      </c>
      <c r="E511" s="173">
        <v>4000000</v>
      </c>
      <c r="F511" s="173">
        <f t="shared" si="71"/>
        <v>2064000000</v>
      </c>
    </row>
    <row r="512" spans="1:6" x14ac:dyDescent="0.25">
      <c r="A512" s="170"/>
      <c r="B512" s="217" t="s">
        <v>244</v>
      </c>
      <c r="C512" s="172">
        <v>288</v>
      </c>
      <c r="D512" s="172" t="s">
        <v>299</v>
      </c>
      <c r="E512" s="173">
        <v>4000000</v>
      </c>
      <c r="F512" s="173">
        <f t="shared" si="71"/>
        <v>1152000000</v>
      </c>
    </row>
    <row r="513" spans="1:6" x14ac:dyDescent="0.25">
      <c r="A513" s="170"/>
      <c r="B513" s="217" t="s">
        <v>245</v>
      </c>
      <c r="C513" s="172">
        <v>144</v>
      </c>
      <c r="D513" s="172" t="s">
        <v>299</v>
      </c>
      <c r="E513" s="173">
        <v>4100000</v>
      </c>
      <c r="F513" s="173">
        <f t="shared" si="71"/>
        <v>590400000</v>
      </c>
    </row>
    <row r="514" spans="1:6" x14ac:dyDescent="0.25">
      <c r="A514" s="170"/>
      <c r="B514" s="217" t="s">
        <v>246</v>
      </c>
      <c r="C514" s="172">
        <v>396</v>
      </c>
      <c r="D514" s="172" t="s">
        <v>299</v>
      </c>
      <c r="E514" s="173">
        <v>4500000</v>
      </c>
      <c r="F514" s="173">
        <f t="shared" si="71"/>
        <v>1782000000</v>
      </c>
    </row>
    <row r="515" spans="1:6" x14ac:dyDescent="0.25">
      <c r="A515" s="170"/>
      <c r="B515" s="217" t="s">
        <v>247</v>
      </c>
      <c r="C515" s="172">
        <v>144</v>
      </c>
      <c r="D515" s="172" t="s">
        <v>299</v>
      </c>
      <c r="E515" s="173">
        <v>4500000</v>
      </c>
      <c r="F515" s="173">
        <f t="shared" si="71"/>
        <v>648000000</v>
      </c>
    </row>
    <row r="516" spans="1:6" x14ac:dyDescent="0.25">
      <c r="A516" s="170"/>
      <c r="B516" s="217" t="s">
        <v>248</v>
      </c>
      <c r="C516" s="172">
        <v>216</v>
      </c>
      <c r="D516" s="172" t="s">
        <v>299</v>
      </c>
      <c r="E516" s="173">
        <v>4500000</v>
      </c>
      <c r="F516" s="173">
        <f t="shared" si="71"/>
        <v>972000000</v>
      </c>
    </row>
    <row r="517" spans="1:6" x14ac:dyDescent="0.25">
      <c r="A517" s="170"/>
      <c r="B517" s="217" t="s">
        <v>340</v>
      </c>
      <c r="C517" s="172">
        <v>300</v>
      </c>
      <c r="D517" s="172" t="s">
        <v>299</v>
      </c>
      <c r="E517" s="173">
        <v>4200000</v>
      </c>
      <c r="F517" s="173">
        <f t="shared" si="71"/>
        <v>1260000000</v>
      </c>
    </row>
    <row r="518" spans="1:6" x14ac:dyDescent="0.25">
      <c r="A518" s="170"/>
      <c r="B518" s="217" t="s">
        <v>249</v>
      </c>
      <c r="C518" s="172">
        <v>120</v>
      </c>
      <c r="D518" s="172" t="s">
        <v>299</v>
      </c>
      <c r="E518" s="173">
        <v>4200000</v>
      </c>
      <c r="F518" s="173">
        <f t="shared" si="71"/>
        <v>504000000</v>
      </c>
    </row>
    <row r="519" spans="1:6" x14ac:dyDescent="0.25">
      <c r="A519" s="170"/>
      <c r="B519" s="217" t="s">
        <v>250</v>
      </c>
      <c r="C519" s="172">
        <v>144</v>
      </c>
      <c r="D519" s="172" t="s">
        <v>299</v>
      </c>
      <c r="E519" s="173">
        <v>4500000</v>
      </c>
      <c r="F519" s="173">
        <f t="shared" si="71"/>
        <v>648000000</v>
      </c>
    </row>
    <row r="520" spans="1:6" x14ac:dyDescent="0.25">
      <c r="A520" s="170"/>
      <c r="B520" s="217" t="s">
        <v>251</v>
      </c>
      <c r="C520" s="172">
        <v>12</v>
      </c>
      <c r="D520" s="172" t="s">
        <v>299</v>
      </c>
      <c r="E520" s="173">
        <v>3800000</v>
      </c>
      <c r="F520" s="173">
        <f t="shared" si="71"/>
        <v>45600000</v>
      </c>
    </row>
    <row r="521" spans="1:6" x14ac:dyDescent="0.25">
      <c r="A521" s="170"/>
      <c r="B521" s="217" t="s">
        <v>339</v>
      </c>
      <c r="C521" s="172">
        <v>3</v>
      </c>
      <c r="D521" s="172" t="s">
        <v>299</v>
      </c>
      <c r="E521" s="173">
        <v>8336000</v>
      </c>
      <c r="F521" s="173">
        <f t="shared" si="71"/>
        <v>25008000</v>
      </c>
    </row>
    <row r="522" spans="1:6" x14ac:dyDescent="0.25">
      <c r="A522" s="170"/>
      <c r="B522" s="217" t="s">
        <v>252</v>
      </c>
      <c r="C522" s="172">
        <v>408</v>
      </c>
      <c r="D522" s="172" t="s">
        <v>299</v>
      </c>
      <c r="E522" s="173">
        <v>4500000</v>
      </c>
      <c r="F522" s="173">
        <f t="shared" si="71"/>
        <v>1836000000</v>
      </c>
    </row>
    <row r="523" spans="1:6" x14ac:dyDescent="0.25">
      <c r="A523" s="170"/>
      <c r="B523" s="217" t="s">
        <v>253</v>
      </c>
      <c r="C523" s="172">
        <v>84</v>
      </c>
      <c r="D523" s="172" t="s">
        <v>299</v>
      </c>
      <c r="E523" s="173">
        <v>4200000</v>
      </c>
      <c r="F523" s="173">
        <f t="shared" si="71"/>
        <v>352800000</v>
      </c>
    </row>
    <row r="524" spans="1:6" x14ac:dyDescent="0.25">
      <c r="A524" s="170"/>
      <c r="B524" s="217" t="s">
        <v>254</v>
      </c>
      <c r="C524" s="172">
        <v>60</v>
      </c>
      <c r="D524" s="172" t="s">
        <v>299</v>
      </c>
      <c r="E524" s="173">
        <v>4200000</v>
      </c>
      <c r="F524" s="173">
        <f t="shared" si="71"/>
        <v>252000000</v>
      </c>
    </row>
    <row r="525" spans="1:6" x14ac:dyDescent="0.25">
      <c r="A525" s="170"/>
      <c r="B525" s="217" t="s">
        <v>255</v>
      </c>
      <c r="C525" s="172">
        <v>60</v>
      </c>
      <c r="D525" s="172" t="s">
        <v>299</v>
      </c>
      <c r="E525" s="173">
        <v>4200000</v>
      </c>
      <c r="F525" s="173">
        <f t="shared" si="71"/>
        <v>252000000</v>
      </c>
    </row>
    <row r="526" spans="1:6" x14ac:dyDescent="0.25">
      <c r="A526" s="170"/>
      <c r="B526" s="217" t="s">
        <v>256</v>
      </c>
      <c r="C526" s="172">
        <v>12</v>
      </c>
      <c r="D526" s="172" t="s">
        <v>299</v>
      </c>
      <c r="E526" s="173">
        <v>4200000</v>
      </c>
      <c r="F526" s="173">
        <f t="shared" si="71"/>
        <v>50400000</v>
      </c>
    </row>
    <row r="527" spans="1:6" x14ac:dyDescent="0.25">
      <c r="A527" s="170"/>
      <c r="B527" s="217" t="s">
        <v>257</v>
      </c>
      <c r="C527" s="172">
        <v>24</v>
      </c>
      <c r="D527" s="172" t="s">
        <v>299</v>
      </c>
      <c r="E527" s="173">
        <v>4100000</v>
      </c>
      <c r="F527" s="173">
        <f t="shared" si="71"/>
        <v>98400000</v>
      </c>
    </row>
    <row r="528" spans="1:6" x14ac:dyDescent="0.25">
      <c r="A528" s="170"/>
      <c r="B528" s="217" t="s">
        <v>258</v>
      </c>
      <c r="C528" s="172">
        <v>12</v>
      </c>
      <c r="D528" s="172" t="s">
        <v>299</v>
      </c>
      <c r="E528" s="173">
        <v>4200000</v>
      </c>
      <c r="F528" s="173">
        <f t="shared" si="71"/>
        <v>50400000</v>
      </c>
    </row>
    <row r="529" spans="1:6" x14ac:dyDescent="0.25">
      <c r="A529" s="166" t="s">
        <v>119</v>
      </c>
      <c r="B529" s="215" t="s">
        <v>120</v>
      </c>
      <c r="C529" s="168"/>
      <c r="D529" s="168"/>
      <c r="E529" s="169"/>
      <c r="F529" s="167">
        <f>SUM(F530:F537)</f>
        <v>8626114000</v>
      </c>
    </row>
    <row r="530" spans="1:6" x14ac:dyDescent="0.25">
      <c r="A530" s="170"/>
      <c r="B530" s="217" t="s">
        <v>259</v>
      </c>
      <c r="C530" s="172">
        <v>242</v>
      </c>
      <c r="D530" s="172" t="s">
        <v>299</v>
      </c>
      <c r="E530" s="173">
        <v>17450000</v>
      </c>
      <c r="F530" s="173">
        <f t="shared" ref="F530:F537" si="72">C530*E530</f>
        <v>4222900000</v>
      </c>
    </row>
    <row r="531" spans="1:6" x14ac:dyDescent="0.25">
      <c r="A531" s="170"/>
      <c r="B531" s="217" t="s">
        <v>260</v>
      </c>
      <c r="C531" s="172">
        <v>84</v>
      </c>
      <c r="D531" s="172" t="s">
        <v>299</v>
      </c>
      <c r="E531" s="173">
        <v>17500000</v>
      </c>
      <c r="F531" s="173">
        <f t="shared" si="72"/>
        <v>1470000000</v>
      </c>
    </row>
    <row r="532" spans="1:6" x14ac:dyDescent="0.25">
      <c r="A532" s="170"/>
      <c r="B532" s="217" t="s">
        <v>261</v>
      </c>
      <c r="C532" s="172">
        <v>60</v>
      </c>
      <c r="D532" s="172" t="s">
        <v>299</v>
      </c>
      <c r="E532" s="173">
        <v>17500000</v>
      </c>
      <c r="F532" s="173">
        <f t="shared" si="72"/>
        <v>1050000000</v>
      </c>
    </row>
    <row r="533" spans="1:6" x14ac:dyDescent="0.25">
      <c r="A533" s="170"/>
      <c r="B533" s="217" t="s">
        <v>262</v>
      </c>
      <c r="C533" s="172">
        <v>60</v>
      </c>
      <c r="D533" s="172" t="s">
        <v>299</v>
      </c>
      <c r="E533" s="173">
        <v>17500000</v>
      </c>
      <c r="F533" s="173">
        <f t="shared" si="72"/>
        <v>1050000000</v>
      </c>
    </row>
    <row r="534" spans="1:6" x14ac:dyDescent="0.25">
      <c r="A534" s="170"/>
      <c r="B534" s="217" t="s">
        <v>263</v>
      </c>
      <c r="C534" s="172">
        <v>12</v>
      </c>
      <c r="D534" s="172" t="s">
        <v>299</v>
      </c>
      <c r="E534" s="173">
        <v>17500000</v>
      </c>
      <c r="F534" s="173">
        <f t="shared" si="72"/>
        <v>210000000</v>
      </c>
    </row>
    <row r="535" spans="1:6" x14ac:dyDescent="0.25">
      <c r="A535" s="170"/>
      <c r="B535" s="217" t="s">
        <v>264</v>
      </c>
      <c r="C535" s="172">
        <v>24</v>
      </c>
      <c r="D535" s="172" t="s">
        <v>299</v>
      </c>
      <c r="E535" s="173">
        <v>16900000</v>
      </c>
      <c r="F535" s="173">
        <f t="shared" si="72"/>
        <v>405600000</v>
      </c>
    </row>
    <row r="536" spans="1:6" x14ac:dyDescent="0.25">
      <c r="A536" s="170"/>
      <c r="B536" s="217" t="s">
        <v>265</v>
      </c>
      <c r="C536" s="172">
        <v>12</v>
      </c>
      <c r="D536" s="172" t="s">
        <v>299</v>
      </c>
      <c r="E536" s="173">
        <v>16900000</v>
      </c>
      <c r="F536" s="173">
        <f t="shared" si="72"/>
        <v>202800000</v>
      </c>
    </row>
    <row r="537" spans="1:6" x14ac:dyDescent="0.25">
      <c r="A537" s="170"/>
      <c r="B537" s="217" t="s">
        <v>266</v>
      </c>
      <c r="C537" s="172">
        <v>1</v>
      </c>
      <c r="D537" s="172" t="s">
        <v>299</v>
      </c>
      <c r="E537" s="173">
        <v>14814000</v>
      </c>
      <c r="F537" s="173">
        <f t="shared" si="72"/>
        <v>14814000</v>
      </c>
    </row>
    <row r="538" spans="1:6" s="1" customFormat="1" x14ac:dyDescent="0.25">
      <c r="A538" s="223">
        <v>511611</v>
      </c>
      <c r="B538" s="215" t="s">
        <v>594</v>
      </c>
      <c r="C538" s="168"/>
      <c r="D538" s="168"/>
      <c r="E538" s="169"/>
      <c r="F538" s="167">
        <f>F539</f>
        <v>352000000</v>
      </c>
    </row>
    <row r="539" spans="1:6" s="1" customFormat="1" x14ac:dyDescent="0.25">
      <c r="A539" s="170"/>
      <c r="B539" s="216" t="s">
        <v>595</v>
      </c>
      <c r="C539" s="172">
        <v>1</v>
      </c>
      <c r="D539" s="172" t="s">
        <v>309</v>
      </c>
      <c r="E539" s="173">
        <v>352000000</v>
      </c>
      <c r="F539" s="173">
        <f>C539*E539</f>
        <v>352000000</v>
      </c>
    </row>
    <row r="540" spans="1:6" s="1" customFormat="1" x14ac:dyDescent="0.25">
      <c r="A540" s="223">
        <v>511619</v>
      </c>
      <c r="B540" s="215" t="s">
        <v>596</v>
      </c>
      <c r="C540" s="168"/>
      <c r="D540" s="168"/>
      <c r="E540" s="169"/>
      <c r="F540" s="167">
        <f>F541</f>
        <v>14000</v>
      </c>
    </row>
    <row r="541" spans="1:6" s="1" customFormat="1" x14ac:dyDescent="0.25">
      <c r="A541" s="170"/>
      <c r="B541" s="216" t="s">
        <v>597</v>
      </c>
      <c r="C541" s="172">
        <v>1</v>
      </c>
      <c r="D541" s="172" t="s">
        <v>309</v>
      </c>
      <c r="E541" s="173">
        <v>14000</v>
      </c>
      <c r="F541" s="173">
        <f>C541*E541</f>
        <v>14000</v>
      </c>
    </row>
    <row r="542" spans="1:6" s="1" customFormat="1" x14ac:dyDescent="0.25">
      <c r="A542" s="223">
        <v>511621</v>
      </c>
      <c r="B542" s="215" t="s">
        <v>598</v>
      </c>
      <c r="C542" s="168"/>
      <c r="D542" s="168"/>
      <c r="E542" s="169"/>
      <c r="F542" s="167">
        <f>F543</f>
        <v>22400000</v>
      </c>
    </row>
    <row r="543" spans="1:6" s="1" customFormat="1" x14ac:dyDescent="0.25">
      <c r="A543" s="170"/>
      <c r="B543" s="216" t="s">
        <v>599</v>
      </c>
      <c r="C543" s="172">
        <v>1</v>
      </c>
      <c r="D543" s="172" t="s">
        <v>309</v>
      </c>
      <c r="E543" s="173">
        <v>22400000</v>
      </c>
      <c r="F543" s="173">
        <f>C543*E543</f>
        <v>22400000</v>
      </c>
    </row>
    <row r="544" spans="1:6" s="1" customFormat="1" x14ac:dyDescent="0.25">
      <c r="A544" s="223">
        <v>511622</v>
      </c>
      <c r="B544" s="215" t="s">
        <v>600</v>
      </c>
      <c r="C544" s="168"/>
      <c r="D544" s="168"/>
      <c r="E544" s="169"/>
      <c r="F544" s="167">
        <f>F545</f>
        <v>14600000</v>
      </c>
    </row>
    <row r="545" spans="1:6" s="1" customFormat="1" x14ac:dyDescent="0.25">
      <c r="A545" s="170"/>
      <c r="B545" s="216" t="s">
        <v>601</v>
      </c>
      <c r="C545" s="172">
        <v>1</v>
      </c>
      <c r="D545" s="172" t="s">
        <v>309</v>
      </c>
      <c r="E545" s="173">
        <f>22400000-7800000</f>
        <v>14600000</v>
      </c>
      <c r="F545" s="173">
        <f>C545*E545</f>
        <v>14600000</v>
      </c>
    </row>
    <row r="546" spans="1:6" s="1" customFormat="1" x14ac:dyDescent="0.25">
      <c r="A546" s="223">
        <v>511624</v>
      </c>
      <c r="B546" s="215" t="s">
        <v>602</v>
      </c>
      <c r="C546" s="168"/>
      <c r="D546" s="168"/>
      <c r="E546" s="169"/>
      <c r="F546" s="167">
        <f>F547</f>
        <v>38640000</v>
      </c>
    </row>
    <row r="547" spans="1:6" s="1" customFormat="1" x14ac:dyDescent="0.25">
      <c r="A547" s="170"/>
      <c r="B547" s="216" t="s">
        <v>603</v>
      </c>
      <c r="C547" s="172">
        <v>1</v>
      </c>
      <c r="D547" s="172" t="s">
        <v>309</v>
      </c>
      <c r="E547" s="173">
        <v>38640000</v>
      </c>
      <c r="F547" s="173">
        <f>C547*E547</f>
        <v>38640000</v>
      </c>
    </row>
    <row r="548" spans="1:6" s="1" customFormat="1" x14ac:dyDescent="0.25">
      <c r="A548" s="223">
        <v>511625</v>
      </c>
      <c r="B548" s="215" t="s">
        <v>604</v>
      </c>
      <c r="C548" s="168"/>
      <c r="D548" s="168"/>
      <c r="E548" s="169"/>
      <c r="F548" s="167">
        <f>F549</f>
        <v>12000000</v>
      </c>
    </row>
    <row r="549" spans="1:6" s="1" customFormat="1" x14ac:dyDescent="0.25">
      <c r="A549" s="170"/>
      <c r="B549" s="216" t="s">
        <v>605</v>
      </c>
      <c r="C549" s="172">
        <v>1</v>
      </c>
      <c r="D549" s="172" t="s">
        <v>309</v>
      </c>
      <c r="E549" s="173">
        <v>12000000</v>
      </c>
      <c r="F549" s="173">
        <f>C549*E549</f>
        <v>12000000</v>
      </c>
    </row>
    <row r="550" spans="1:6" s="1" customFormat="1" x14ac:dyDescent="0.25">
      <c r="A550" s="223">
        <v>511628</v>
      </c>
      <c r="B550" s="215" t="s">
        <v>606</v>
      </c>
      <c r="C550" s="168"/>
      <c r="D550" s="168"/>
      <c r="E550" s="169"/>
      <c r="F550" s="167">
        <f>F551</f>
        <v>45584000</v>
      </c>
    </row>
    <row r="551" spans="1:6" s="1" customFormat="1" x14ac:dyDescent="0.25">
      <c r="A551" s="170"/>
      <c r="B551" s="216" t="s">
        <v>607</v>
      </c>
      <c r="C551" s="172">
        <v>1</v>
      </c>
      <c r="D551" s="172" t="s">
        <v>309</v>
      </c>
      <c r="E551" s="173">
        <v>45584000</v>
      </c>
      <c r="F551" s="173">
        <f>C551*E551</f>
        <v>45584000</v>
      </c>
    </row>
    <row r="552" spans="1:6" x14ac:dyDescent="0.25">
      <c r="A552" s="166" t="s">
        <v>121</v>
      </c>
      <c r="B552" s="215" t="s">
        <v>122</v>
      </c>
      <c r="C552" s="168"/>
      <c r="D552" s="168"/>
      <c r="E552" s="169"/>
      <c r="F552" s="167">
        <f>SUM(F553:F558)</f>
        <v>157587000</v>
      </c>
    </row>
    <row r="553" spans="1:6" x14ac:dyDescent="0.25">
      <c r="A553" s="170"/>
      <c r="B553" s="217" t="s">
        <v>267</v>
      </c>
      <c r="C553" s="172">
        <v>216</v>
      </c>
      <c r="D553" s="172" t="s">
        <v>297</v>
      </c>
      <c r="E553" s="173">
        <v>25000</v>
      </c>
      <c r="F553" s="173">
        <f t="shared" ref="F553:F558" si="73">C553*E553</f>
        <v>5400000</v>
      </c>
    </row>
    <row r="554" spans="1:6" x14ac:dyDescent="0.25">
      <c r="A554" s="170"/>
      <c r="B554" s="217" t="s">
        <v>268</v>
      </c>
      <c r="C554" s="172">
        <v>4320</v>
      </c>
      <c r="D554" s="172" t="s">
        <v>297</v>
      </c>
      <c r="E554" s="173">
        <v>20000</v>
      </c>
      <c r="F554" s="173">
        <f t="shared" si="73"/>
        <v>86400000</v>
      </c>
    </row>
    <row r="555" spans="1:6" x14ac:dyDescent="0.25">
      <c r="A555" s="170"/>
      <c r="B555" s="217" t="s">
        <v>269</v>
      </c>
      <c r="C555" s="172">
        <v>385</v>
      </c>
      <c r="D555" s="172" t="s">
        <v>297</v>
      </c>
      <c r="E555" s="173">
        <v>17000</v>
      </c>
      <c r="F555" s="173">
        <f t="shared" si="73"/>
        <v>6545000</v>
      </c>
    </row>
    <row r="556" spans="1:6" x14ac:dyDescent="0.25">
      <c r="A556" s="170"/>
      <c r="B556" s="217" t="s">
        <v>233</v>
      </c>
      <c r="C556" s="172">
        <v>72</v>
      </c>
      <c r="D556" s="172" t="s">
        <v>301</v>
      </c>
      <c r="E556" s="173">
        <v>41000</v>
      </c>
      <c r="F556" s="173">
        <f t="shared" si="73"/>
        <v>2952000</v>
      </c>
    </row>
    <row r="557" spans="1:6" x14ac:dyDescent="0.25">
      <c r="A557" s="170"/>
      <c r="B557" s="217" t="s">
        <v>235</v>
      </c>
      <c r="C557" s="172">
        <v>86</v>
      </c>
      <c r="D557" s="172" t="s">
        <v>301</v>
      </c>
      <c r="E557" s="173">
        <v>35000</v>
      </c>
      <c r="F557" s="173">
        <f t="shared" si="73"/>
        <v>3010000</v>
      </c>
    </row>
    <row r="558" spans="1:6" x14ac:dyDescent="0.25">
      <c r="A558" s="170"/>
      <c r="B558" s="217" t="s">
        <v>234</v>
      </c>
      <c r="C558" s="172">
        <v>1440</v>
      </c>
      <c r="D558" s="172" t="s">
        <v>301</v>
      </c>
      <c r="E558" s="173">
        <v>37000</v>
      </c>
      <c r="F558" s="173">
        <f t="shared" si="73"/>
        <v>53280000</v>
      </c>
    </row>
    <row r="559" spans="1:6" s="1" customFormat="1" x14ac:dyDescent="0.25">
      <c r="A559" s="223">
        <v>512212</v>
      </c>
      <c r="B559" s="215" t="s">
        <v>608</v>
      </c>
      <c r="C559" s="168"/>
      <c r="D559" s="168"/>
      <c r="E559" s="169"/>
      <c r="F559" s="167">
        <f>SUM(F560:F561)</f>
        <v>109692000</v>
      </c>
    </row>
    <row r="560" spans="1:6" s="1" customFormat="1" x14ac:dyDescent="0.25">
      <c r="A560" s="170"/>
      <c r="B560" s="216" t="s">
        <v>609</v>
      </c>
      <c r="C560" s="219">
        <v>3168</v>
      </c>
      <c r="D560" s="172" t="s">
        <v>297</v>
      </c>
      <c r="E560" s="173">
        <v>30000</v>
      </c>
      <c r="F560" s="173">
        <f>C560*E560</f>
        <v>95040000</v>
      </c>
    </row>
    <row r="561" spans="1:7" s="1" customFormat="1" x14ac:dyDescent="0.25">
      <c r="A561" s="170"/>
      <c r="B561" s="216" t="s">
        <v>610</v>
      </c>
      <c r="C561" s="219">
        <v>396</v>
      </c>
      <c r="D561" s="172" t="s">
        <v>301</v>
      </c>
      <c r="E561" s="173">
        <v>37000</v>
      </c>
      <c r="F561" s="173">
        <f>C561*E561</f>
        <v>14652000</v>
      </c>
    </row>
    <row r="562" spans="1:7" x14ac:dyDescent="0.25">
      <c r="A562" s="223">
        <v>512411</v>
      </c>
      <c r="B562" s="215" t="s">
        <v>626</v>
      </c>
      <c r="C562" s="218"/>
      <c r="D562" s="168"/>
      <c r="E562" s="169"/>
      <c r="F562" s="167">
        <f>SUM(F563:F563)</f>
        <v>2961256000</v>
      </c>
      <c r="G562" s="183"/>
    </row>
    <row r="563" spans="1:7" x14ac:dyDescent="0.25">
      <c r="A563" s="170"/>
      <c r="B563" s="216" t="s">
        <v>627</v>
      </c>
      <c r="C563" s="219">
        <v>1</v>
      </c>
      <c r="D563" s="172" t="s">
        <v>309</v>
      </c>
      <c r="E563" s="173">
        <v>2961256000</v>
      </c>
      <c r="F563" s="173">
        <f>C563*E563</f>
        <v>2961256000</v>
      </c>
    </row>
    <row r="564" spans="1:7" x14ac:dyDescent="0.25">
      <c r="A564" s="223">
        <v>512414</v>
      </c>
      <c r="B564" s="215" t="s">
        <v>628</v>
      </c>
      <c r="C564" s="218"/>
      <c r="D564" s="168"/>
      <c r="E564" s="169"/>
      <c r="F564" s="167">
        <f>SUM(F565:F565)</f>
        <v>1032231000</v>
      </c>
    </row>
    <row r="565" spans="1:7" x14ac:dyDescent="0.25">
      <c r="A565" s="170"/>
      <c r="B565" s="216" t="s">
        <v>629</v>
      </c>
      <c r="C565" s="219">
        <v>1</v>
      </c>
      <c r="D565" s="172" t="s">
        <v>309</v>
      </c>
      <c r="E565" s="173">
        <v>1032231000</v>
      </c>
      <c r="F565" s="173">
        <f>C565*E565</f>
        <v>1032231000</v>
      </c>
    </row>
    <row r="566" spans="1:7" x14ac:dyDescent="0.25">
      <c r="A566" s="158" t="s">
        <v>123</v>
      </c>
      <c r="B566" s="158" t="s">
        <v>124</v>
      </c>
      <c r="C566" s="159" t="s">
        <v>11</v>
      </c>
      <c r="D566" s="159"/>
      <c r="E566" s="160"/>
      <c r="F566" s="161">
        <f>F567+F589+F596+F601</f>
        <v>6880688000</v>
      </c>
    </row>
    <row r="567" spans="1:7" x14ac:dyDescent="0.25">
      <c r="A567" s="162" t="s">
        <v>12</v>
      </c>
      <c r="B567" s="162" t="s">
        <v>125</v>
      </c>
      <c r="C567" s="163"/>
      <c r="D567" s="163"/>
      <c r="E567" s="164"/>
      <c r="F567" s="165">
        <f>F568+F573+F585+F587</f>
        <v>801445000</v>
      </c>
    </row>
    <row r="568" spans="1:7" x14ac:dyDescent="0.25">
      <c r="A568" s="166" t="s">
        <v>126</v>
      </c>
      <c r="B568" s="166" t="s">
        <v>127</v>
      </c>
      <c r="C568" s="168"/>
      <c r="D568" s="168"/>
      <c r="E568" s="169"/>
      <c r="F568" s="167">
        <f>SUM(F569:F572)</f>
        <v>417085000</v>
      </c>
    </row>
    <row r="569" spans="1:7" x14ac:dyDescent="0.25">
      <c r="A569" s="170"/>
      <c r="B569" s="217" t="s">
        <v>270</v>
      </c>
      <c r="C569" s="219">
        <v>80</v>
      </c>
      <c r="D569" s="172" t="s">
        <v>305</v>
      </c>
      <c r="E569" s="173">
        <v>1520000</v>
      </c>
      <c r="F569" s="173">
        <f t="shared" ref="F569:F572" si="74">C569*E569</f>
        <v>121600000</v>
      </c>
    </row>
    <row r="570" spans="1:7" x14ac:dyDescent="0.25">
      <c r="A570" s="170"/>
      <c r="B570" s="217" t="s">
        <v>274</v>
      </c>
      <c r="C570" s="219">
        <v>1</v>
      </c>
      <c r="D570" s="172" t="s">
        <v>309</v>
      </c>
      <c r="E570" s="173">
        <f>65000000-19517000+2000</f>
        <v>45485000</v>
      </c>
      <c r="F570" s="173">
        <f t="shared" si="74"/>
        <v>45485000</v>
      </c>
    </row>
    <row r="571" spans="1:7" x14ac:dyDescent="0.25">
      <c r="A571" s="170"/>
      <c r="B571" s="217" t="s">
        <v>275</v>
      </c>
      <c r="C571" s="219">
        <v>1</v>
      </c>
      <c r="D571" s="172" t="s">
        <v>309</v>
      </c>
      <c r="E571" s="173">
        <v>10000000</v>
      </c>
      <c r="F571" s="173">
        <f t="shared" si="74"/>
        <v>10000000</v>
      </c>
    </row>
    <row r="572" spans="1:7" x14ac:dyDescent="0.25">
      <c r="A572" s="170"/>
      <c r="B572" s="228" t="s">
        <v>631</v>
      </c>
      <c r="C572" s="219">
        <v>1</v>
      </c>
      <c r="D572" s="172" t="s">
        <v>309</v>
      </c>
      <c r="E572" s="173">
        <v>240000000</v>
      </c>
      <c r="F572" s="173">
        <f t="shared" si="74"/>
        <v>240000000</v>
      </c>
    </row>
    <row r="573" spans="1:7" x14ac:dyDescent="0.25">
      <c r="A573" s="166" t="s">
        <v>128</v>
      </c>
      <c r="B573" s="166" t="s">
        <v>129</v>
      </c>
      <c r="C573" s="168"/>
      <c r="D573" s="168"/>
      <c r="E573" s="169"/>
      <c r="F573" s="167">
        <f>SUM(F574:F584)</f>
        <v>192360000</v>
      </c>
    </row>
    <row r="574" spans="1:7" x14ac:dyDescent="0.25">
      <c r="A574" s="170"/>
      <c r="B574" s="177" t="s">
        <v>412</v>
      </c>
      <c r="C574" s="172">
        <v>12</v>
      </c>
      <c r="D574" s="172" t="s">
        <v>299</v>
      </c>
      <c r="E574" s="214">
        <v>360000</v>
      </c>
      <c r="F574" s="173">
        <f>C574*E574</f>
        <v>4320000</v>
      </c>
    </row>
    <row r="575" spans="1:7" x14ac:dyDescent="0.25">
      <c r="A575" s="170"/>
      <c r="B575" s="177" t="s">
        <v>413</v>
      </c>
      <c r="C575" s="172">
        <v>12</v>
      </c>
      <c r="D575" s="172" t="s">
        <v>299</v>
      </c>
      <c r="E575" s="214">
        <v>300000</v>
      </c>
      <c r="F575" s="173">
        <f t="shared" ref="F575:F584" si="75">C575*E575</f>
        <v>3600000</v>
      </c>
    </row>
    <row r="576" spans="1:7" x14ac:dyDescent="0.25">
      <c r="A576" s="170"/>
      <c r="B576" s="177" t="s">
        <v>414</v>
      </c>
      <c r="C576" s="172">
        <v>36</v>
      </c>
      <c r="D576" s="172" t="s">
        <v>299</v>
      </c>
      <c r="E576" s="214">
        <v>210000</v>
      </c>
      <c r="F576" s="173">
        <f t="shared" si="75"/>
        <v>7560000</v>
      </c>
    </row>
    <row r="577" spans="1:6" x14ac:dyDescent="0.25">
      <c r="A577" s="170"/>
      <c r="B577" s="177" t="s">
        <v>415</v>
      </c>
      <c r="C577" s="172">
        <v>12</v>
      </c>
      <c r="D577" s="172" t="s">
        <v>299</v>
      </c>
      <c r="E577" s="214">
        <v>240000</v>
      </c>
      <c r="F577" s="173">
        <f t="shared" si="75"/>
        <v>2880000</v>
      </c>
    </row>
    <row r="578" spans="1:6" x14ac:dyDescent="0.25">
      <c r="A578" s="170"/>
      <c r="B578" s="177" t="s">
        <v>416</v>
      </c>
      <c r="C578" s="172">
        <v>24</v>
      </c>
      <c r="D578" s="172" t="s">
        <v>299</v>
      </c>
      <c r="E578" s="214">
        <v>180000</v>
      </c>
      <c r="F578" s="173">
        <f t="shared" si="75"/>
        <v>4320000</v>
      </c>
    </row>
    <row r="579" spans="1:6" x14ac:dyDescent="0.25">
      <c r="A579" s="170"/>
      <c r="B579" s="177" t="s">
        <v>417</v>
      </c>
      <c r="C579" s="172">
        <v>12</v>
      </c>
      <c r="D579" s="172" t="s">
        <v>299</v>
      </c>
      <c r="E579" s="214">
        <v>3180000</v>
      </c>
      <c r="F579" s="173">
        <f t="shared" si="75"/>
        <v>38160000</v>
      </c>
    </row>
    <row r="580" spans="1:6" x14ac:dyDescent="0.25">
      <c r="A580" s="170"/>
      <c r="B580" s="177" t="s">
        <v>418</v>
      </c>
      <c r="C580" s="172">
        <v>12</v>
      </c>
      <c r="D580" s="172" t="s">
        <v>299</v>
      </c>
      <c r="E580" s="214">
        <v>3080000</v>
      </c>
      <c r="F580" s="173">
        <f t="shared" si="75"/>
        <v>36960000</v>
      </c>
    </row>
    <row r="581" spans="1:6" ht="30" x14ac:dyDescent="0.25">
      <c r="A581" s="170"/>
      <c r="B581" s="177" t="s">
        <v>419</v>
      </c>
      <c r="C581" s="172">
        <v>12</v>
      </c>
      <c r="D581" s="172" t="s">
        <v>299</v>
      </c>
      <c r="E581" s="214">
        <v>1700000</v>
      </c>
      <c r="F581" s="173">
        <f t="shared" si="75"/>
        <v>20400000</v>
      </c>
    </row>
    <row r="582" spans="1:6" x14ac:dyDescent="0.25">
      <c r="A582" s="170"/>
      <c r="B582" s="177" t="s">
        <v>420</v>
      </c>
      <c r="C582" s="172">
        <v>12</v>
      </c>
      <c r="D582" s="172" t="s">
        <v>299</v>
      </c>
      <c r="E582" s="214">
        <v>1490000</v>
      </c>
      <c r="F582" s="173">
        <f t="shared" si="75"/>
        <v>17880000</v>
      </c>
    </row>
    <row r="583" spans="1:6" x14ac:dyDescent="0.25">
      <c r="A583" s="170"/>
      <c r="B583" s="177" t="s">
        <v>421</v>
      </c>
      <c r="C583" s="172">
        <v>36</v>
      </c>
      <c r="D583" s="172" t="s">
        <v>299</v>
      </c>
      <c r="E583" s="214">
        <v>1110000</v>
      </c>
      <c r="F583" s="173">
        <f t="shared" si="75"/>
        <v>39960000</v>
      </c>
    </row>
    <row r="584" spans="1:6" x14ac:dyDescent="0.25">
      <c r="A584" s="170"/>
      <c r="B584" s="177" t="s">
        <v>422</v>
      </c>
      <c r="C584" s="172">
        <v>24</v>
      </c>
      <c r="D584" s="172" t="s">
        <v>299</v>
      </c>
      <c r="E584" s="214">
        <v>680000</v>
      </c>
      <c r="F584" s="173">
        <f t="shared" si="75"/>
        <v>16320000</v>
      </c>
    </row>
    <row r="585" spans="1:6" x14ac:dyDescent="0.25">
      <c r="A585" s="166" t="s">
        <v>90</v>
      </c>
      <c r="B585" s="166" t="s">
        <v>91</v>
      </c>
      <c r="C585" s="168"/>
      <c r="D585" s="168"/>
      <c r="E585" s="169"/>
      <c r="F585" s="167">
        <f>F586</f>
        <v>12000000</v>
      </c>
    </row>
    <row r="586" spans="1:6" x14ac:dyDescent="0.25">
      <c r="A586" s="170"/>
      <c r="B586" s="171" t="s">
        <v>423</v>
      </c>
      <c r="C586" s="172">
        <v>24</v>
      </c>
      <c r="D586" s="172" t="s">
        <v>296</v>
      </c>
      <c r="E586" s="214">
        <v>500000</v>
      </c>
      <c r="F586" s="173">
        <f>C586*E586</f>
        <v>12000000</v>
      </c>
    </row>
    <row r="587" spans="1:6" x14ac:dyDescent="0.25">
      <c r="A587" s="166" t="s">
        <v>130</v>
      </c>
      <c r="B587" s="166" t="s">
        <v>131</v>
      </c>
      <c r="C587" s="168"/>
      <c r="D587" s="168"/>
      <c r="E587" s="169"/>
      <c r="F587" s="167">
        <f>F588</f>
        <v>180000000</v>
      </c>
    </row>
    <row r="588" spans="1:6" x14ac:dyDescent="0.25">
      <c r="A588" s="170"/>
      <c r="B588" s="177" t="s">
        <v>169</v>
      </c>
      <c r="C588" s="172">
        <v>12</v>
      </c>
      <c r="D588" s="172" t="s">
        <v>313</v>
      </c>
      <c r="E588" s="173">
        <v>15000000</v>
      </c>
      <c r="F588" s="173">
        <f>C588*E588</f>
        <v>180000000</v>
      </c>
    </row>
    <row r="589" spans="1:6" x14ac:dyDescent="0.25">
      <c r="A589" s="162" t="s">
        <v>26</v>
      </c>
      <c r="B589" s="162" t="s">
        <v>132</v>
      </c>
      <c r="C589" s="163"/>
      <c r="D589" s="163"/>
      <c r="E589" s="164"/>
      <c r="F589" s="165">
        <f>F590+F592+F594</f>
        <v>686400000</v>
      </c>
    </row>
    <row r="590" spans="1:6" x14ac:dyDescent="0.25">
      <c r="A590" s="166" t="s">
        <v>133</v>
      </c>
      <c r="B590" s="166" t="s">
        <v>134</v>
      </c>
      <c r="C590" s="168"/>
      <c r="D590" s="168"/>
      <c r="E590" s="169"/>
      <c r="F590" s="167">
        <f>F591</f>
        <v>660000000</v>
      </c>
    </row>
    <row r="591" spans="1:6" x14ac:dyDescent="0.25">
      <c r="A591" s="170"/>
      <c r="B591" s="217" t="s">
        <v>279</v>
      </c>
      <c r="C591" s="219">
        <v>12</v>
      </c>
      <c r="D591" s="172" t="s">
        <v>313</v>
      </c>
      <c r="E591" s="173">
        <v>55000000</v>
      </c>
      <c r="F591" s="173">
        <f>C591*E591</f>
        <v>660000000</v>
      </c>
    </row>
    <row r="592" spans="1:6" x14ac:dyDescent="0.25">
      <c r="A592" s="166" t="s">
        <v>135</v>
      </c>
      <c r="B592" s="166" t="s">
        <v>136</v>
      </c>
      <c r="C592" s="168"/>
      <c r="D592" s="168"/>
      <c r="E592" s="169"/>
      <c r="F592" s="167">
        <f>F593</f>
        <v>25200000</v>
      </c>
    </row>
    <row r="593" spans="1:6" x14ac:dyDescent="0.25">
      <c r="A593" s="170"/>
      <c r="B593" s="217" t="s">
        <v>280</v>
      </c>
      <c r="C593" s="219">
        <v>12</v>
      </c>
      <c r="D593" s="172" t="s">
        <v>313</v>
      </c>
      <c r="E593" s="173">
        <v>2100000</v>
      </c>
      <c r="F593" s="173">
        <f>C593*E593</f>
        <v>25200000</v>
      </c>
    </row>
    <row r="594" spans="1:6" x14ac:dyDescent="0.25">
      <c r="A594" s="166" t="s">
        <v>137</v>
      </c>
      <c r="B594" s="166" t="s">
        <v>138</v>
      </c>
      <c r="C594" s="168"/>
      <c r="D594" s="168"/>
      <c r="E594" s="169"/>
      <c r="F594" s="167">
        <f>F595</f>
        <v>1200000</v>
      </c>
    </row>
    <row r="595" spans="1:6" x14ac:dyDescent="0.25">
      <c r="A595" s="170"/>
      <c r="B595" s="217" t="s">
        <v>281</v>
      </c>
      <c r="C595" s="219">
        <v>12</v>
      </c>
      <c r="D595" s="172" t="s">
        <v>313</v>
      </c>
      <c r="E595" s="173">
        <v>100000</v>
      </c>
      <c r="F595" s="173">
        <f>C595*E595</f>
        <v>1200000</v>
      </c>
    </row>
    <row r="596" spans="1:6" x14ac:dyDescent="0.25">
      <c r="A596" s="162" t="s">
        <v>32</v>
      </c>
      <c r="B596" s="162" t="s">
        <v>139</v>
      </c>
      <c r="C596" s="163"/>
      <c r="D596" s="163"/>
      <c r="E596" s="164"/>
      <c r="F596" s="165">
        <f>F597</f>
        <v>346660000</v>
      </c>
    </row>
    <row r="597" spans="1:6" x14ac:dyDescent="0.25">
      <c r="A597" s="166" t="s">
        <v>140</v>
      </c>
      <c r="B597" s="166" t="s">
        <v>141</v>
      </c>
      <c r="C597" s="168"/>
      <c r="D597" s="168"/>
      <c r="E597" s="169"/>
      <c r="F597" s="167">
        <f>SUM(F598:F600)</f>
        <v>346660000</v>
      </c>
    </row>
    <row r="598" spans="1:6" x14ac:dyDescent="0.25">
      <c r="A598" s="170"/>
      <c r="B598" s="217" t="s">
        <v>282</v>
      </c>
      <c r="C598" s="219">
        <v>2</v>
      </c>
      <c r="D598" s="172" t="s">
        <v>314</v>
      </c>
      <c r="E598" s="173">
        <v>42490000</v>
      </c>
      <c r="F598" s="173">
        <f>C598*E598</f>
        <v>84980000</v>
      </c>
    </row>
    <row r="599" spans="1:6" x14ac:dyDescent="0.25">
      <c r="A599" s="170"/>
      <c r="B599" s="217" t="s">
        <v>283</v>
      </c>
      <c r="C599" s="219">
        <v>6</v>
      </c>
      <c r="D599" s="172" t="s">
        <v>314</v>
      </c>
      <c r="E599" s="173">
        <v>37000000</v>
      </c>
      <c r="F599" s="173">
        <f>C599*E599</f>
        <v>222000000</v>
      </c>
    </row>
    <row r="600" spans="1:6" x14ac:dyDescent="0.25">
      <c r="A600" s="170"/>
      <c r="B600" s="217" t="s">
        <v>284</v>
      </c>
      <c r="C600" s="219">
        <v>8</v>
      </c>
      <c r="D600" s="172" t="s">
        <v>314</v>
      </c>
      <c r="E600" s="173">
        <v>4960000</v>
      </c>
      <c r="F600" s="173">
        <f>C600*E600</f>
        <v>39680000</v>
      </c>
    </row>
    <row r="601" spans="1:6" x14ac:dyDescent="0.25">
      <c r="A601" s="162" t="s">
        <v>35</v>
      </c>
      <c r="B601" s="162" t="s">
        <v>142</v>
      </c>
      <c r="C601" s="163"/>
      <c r="D601" s="163"/>
      <c r="E601" s="164"/>
      <c r="F601" s="165">
        <f>F602+F607</f>
        <v>5046183000</v>
      </c>
    </row>
    <row r="602" spans="1:6" x14ac:dyDescent="0.25">
      <c r="A602" s="166" t="s">
        <v>143</v>
      </c>
      <c r="B602" s="166" t="s">
        <v>144</v>
      </c>
      <c r="C602" s="168"/>
      <c r="D602" s="168"/>
      <c r="E602" s="169"/>
      <c r="F602" s="167">
        <f>SUM(F603:F606)</f>
        <v>4850683000</v>
      </c>
    </row>
    <row r="603" spans="1:6" x14ac:dyDescent="0.25">
      <c r="A603" s="170"/>
      <c r="B603" s="217" t="s">
        <v>285</v>
      </c>
      <c r="C603" s="219">
        <v>3759</v>
      </c>
      <c r="D603" s="172" t="s">
        <v>424</v>
      </c>
      <c r="E603" s="173">
        <v>206000</v>
      </c>
      <c r="F603" s="173">
        <f>C603*E603</f>
        <v>774354000</v>
      </c>
    </row>
    <row r="604" spans="1:6" x14ac:dyDescent="0.25">
      <c r="A604" s="170"/>
      <c r="B604" s="217" t="s">
        <v>286</v>
      </c>
      <c r="C604" s="219">
        <v>240</v>
      </c>
      <c r="D604" s="172" t="s">
        <v>300</v>
      </c>
      <c r="E604" s="173">
        <v>85000</v>
      </c>
      <c r="F604" s="173">
        <f>C604*E604</f>
        <v>20400000</v>
      </c>
    </row>
    <row r="605" spans="1:6" x14ac:dyDescent="0.25">
      <c r="A605" s="170"/>
      <c r="B605" s="217" t="s">
        <v>287</v>
      </c>
      <c r="C605" s="229">
        <v>3</v>
      </c>
      <c r="D605" s="230" t="s">
        <v>300</v>
      </c>
      <c r="E605" s="231">
        <v>518643000</v>
      </c>
      <c r="F605" s="231">
        <f>C605*E605</f>
        <v>1555929000</v>
      </c>
    </row>
    <row r="606" spans="1:6" x14ac:dyDescent="0.25">
      <c r="A606" s="170"/>
      <c r="B606" s="217" t="s">
        <v>289</v>
      </c>
      <c r="C606" s="229">
        <v>1</v>
      </c>
      <c r="D606" s="230" t="s">
        <v>300</v>
      </c>
      <c r="E606" s="231">
        <v>2500000000</v>
      </c>
      <c r="F606" s="231">
        <f>C606*E606</f>
        <v>2500000000</v>
      </c>
    </row>
    <row r="607" spans="1:6" x14ac:dyDescent="0.25">
      <c r="A607" s="166" t="s">
        <v>140</v>
      </c>
      <c r="B607" s="166" t="s">
        <v>141</v>
      </c>
      <c r="C607" s="168"/>
      <c r="D607" s="168"/>
      <c r="E607" s="169"/>
      <c r="F607" s="167">
        <f>SUM(F608:F610)</f>
        <v>195500000</v>
      </c>
    </row>
    <row r="608" spans="1:6" x14ac:dyDescent="0.25">
      <c r="A608" s="170"/>
      <c r="B608" s="217" t="s">
        <v>290</v>
      </c>
      <c r="C608" s="219">
        <v>180</v>
      </c>
      <c r="D608" s="172" t="s">
        <v>314</v>
      </c>
      <c r="E608" s="173">
        <v>610000</v>
      </c>
      <c r="F608" s="173">
        <f>C608*E608</f>
        <v>109800000</v>
      </c>
    </row>
    <row r="609" spans="1:6" x14ac:dyDescent="0.25">
      <c r="A609" s="170"/>
      <c r="B609" s="217" t="s">
        <v>291</v>
      </c>
      <c r="C609" s="219">
        <v>12</v>
      </c>
      <c r="D609" s="172" t="s">
        <v>313</v>
      </c>
      <c r="E609" s="173">
        <v>4100000</v>
      </c>
      <c r="F609" s="173">
        <f>C609*E609</f>
        <v>49200000</v>
      </c>
    </row>
    <row r="610" spans="1:6" x14ac:dyDescent="0.25">
      <c r="A610" s="170"/>
      <c r="B610" s="217" t="s">
        <v>292</v>
      </c>
      <c r="C610" s="219">
        <v>50</v>
      </c>
      <c r="D610" s="172" t="s">
        <v>314</v>
      </c>
      <c r="E610" s="173">
        <v>730000</v>
      </c>
      <c r="F610" s="173">
        <f>C610*E610</f>
        <v>36500000</v>
      </c>
    </row>
    <row r="611" spans="1:6" ht="30" x14ac:dyDescent="0.25">
      <c r="A611" s="87" t="s">
        <v>145</v>
      </c>
      <c r="B611" s="87" t="s">
        <v>146</v>
      </c>
      <c r="C611" s="55">
        <v>1</v>
      </c>
      <c r="D611" s="55" t="s">
        <v>315</v>
      </c>
      <c r="E611" s="56"/>
      <c r="F611" s="57">
        <f>F613</f>
        <v>184289000</v>
      </c>
    </row>
    <row r="612" spans="1:6" x14ac:dyDescent="0.25">
      <c r="A612" s="74"/>
      <c r="B612" s="79" t="s">
        <v>68</v>
      </c>
      <c r="C612" s="76"/>
      <c r="D612" s="76"/>
      <c r="E612" s="74"/>
      <c r="F612" s="74"/>
    </row>
    <row r="613" spans="1:6" x14ac:dyDescent="0.25">
      <c r="A613" s="58" t="s">
        <v>147</v>
      </c>
      <c r="B613" s="58" t="s">
        <v>148</v>
      </c>
      <c r="C613" s="59">
        <v>1</v>
      </c>
      <c r="D613" s="59" t="s">
        <v>316</v>
      </c>
      <c r="E613" s="60"/>
      <c r="F613" s="61">
        <f>F614</f>
        <v>184289000</v>
      </c>
    </row>
    <row r="614" spans="1:6" x14ac:dyDescent="0.25">
      <c r="A614" s="191" t="s">
        <v>616</v>
      </c>
      <c r="B614" s="100" t="s">
        <v>617</v>
      </c>
      <c r="C614" s="101" t="s">
        <v>11</v>
      </c>
      <c r="D614" s="101"/>
      <c r="E614" s="52"/>
      <c r="F614" s="102">
        <f>F615</f>
        <v>184289000</v>
      </c>
    </row>
    <row r="615" spans="1:6" x14ac:dyDescent="0.25">
      <c r="A615" s="66" t="s">
        <v>12</v>
      </c>
      <c r="B615" s="66" t="s">
        <v>425</v>
      </c>
      <c r="C615" s="67"/>
      <c r="D615" s="67"/>
      <c r="E615" s="68"/>
      <c r="F615" s="69">
        <f>F616</f>
        <v>184289000</v>
      </c>
    </row>
    <row r="616" spans="1:6" x14ac:dyDescent="0.25">
      <c r="A616" s="70" t="s">
        <v>152</v>
      </c>
      <c r="B616" s="70" t="s">
        <v>153</v>
      </c>
      <c r="C616" s="71"/>
      <c r="D616" s="71"/>
      <c r="E616" s="72"/>
      <c r="F616" s="103">
        <f>SUM(F617:F617)</f>
        <v>184289000</v>
      </c>
    </row>
    <row r="617" spans="1:6" x14ac:dyDescent="0.25">
      <c r="A617" s="104"/>
      <c r="B617" s="213" t="s">
        <v>343</v>
      </c>
      <c r="C617" s="106">
        <v>1</v>
      </c>
      <c r="D617" s="106" t="s">
        <v>300</v>
      </c>
      <c r="E617" s="107">
        <v>184289000</v>
      </c>
      <c r="F617" s="107">
        <f>C617*E617</f>
        <v>184289000</v>
      </c>
    </row>
    <row r="618" spans="1:6" x14ac:dyDescent="0.25">
      <c r="A618" s="184"/>
      <c r="B618" s="184"/>
      <c r="C618" s="185"/>
      <c r="D618" s="185"/>
      <c r="E618" s="184"/>
      <c r="F618" s="186"/>
    </row>
    <row r="619" spans="1:6" x14ac:dyDescent="0.25">
      <c r="A619" s="184"/>
      <c r="B619" s="187"/>
      <c r="C619" s="185"/>
      <c r="D619" s="185"/>
      <c r="E619" s="184"/>
      <c r="F619" s="188"/>
    </row>
    <row r="620" spans="1:6" x14ac:dyDescent="0.25">
      <c r="A620" s="184"/>
      <c r="B620" s="187"/>
      <c r="C620" s="185"/>
      <c r="D620" s="185"/>
      <c r="E620" s="184"/>
      <c r="F620" s="186"/>
    </row>
    <row r="621" spans="1:6" x14ac:dyDescent="0.25">
      <c r="A621" s="184"/>
      <c r="B621" s="187"/>
      <c r="C621" s="185"/>
      <c r="D621" s="185"/>
      <c r="E621" s="184"/>
      <c r="F621" s="186"/>
    </row>
    <row r="622" spans="1:6" x14ac:dyDescent="0.25">
      <c r="A622" s="184"/>
      <c r="B622" s="184"/>
      <c r="C622" s="185"/>
      <c r="D622" s="185"/>
      <c r="E622" s="184"/>
      <c r="F622" s="189"/>
    </row>
    <row r="623" spans="1:6" x14ac:dyDescent="0.25">
      <c r="A623" s="184"/>
      <c r="B623" s="184"/>
      <c r="C623" s="185"/>
      <c r="D623" s="185"/>
      <c r="E623" s="184"/>
      <c r="F623" s="186"/>
    </row>
  </sheetData>
  <autoFilter ref="A4:B610" xr:uid="{3672E4ED-D1AC-4CAC-ABB6-F68B3F342D3D}"/>
  <mergeCells count="8">
    <mergeCell ref="D3:D4"/>
    <mergeCell ref="E3:E4"/>
    <mergeCell ref="F3:F4"/>
    <mergeCell ref="C1:F1"/>
    <mergeCell ref="A2:B2"/>
    <mergeCell ref="A3:A4"/>
    <mergeCell ref="B3:B4"/>
    <mergeCell ref="C3:C4"/>
  </mergeCells>
  <pageMargins left="0" right="0" top="0" bottom="0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C799-EB83-4633-AB00-74B875DB5589}">
  <sheetPr>
    <tabColor rgb="FFFFFF00"/>
    <outlinePr summaryBelow="0"/>
  </sheetPr>
  <dimension ref="A1:H519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9" sqref="B9"/>
    </sheetView>
  </sheetViews>
  <sheetFormatPr defaultColWidth="9.140625" defaultRowHeight="15" x14ac:dyDescent="0.25"/>
  <cols>
    <col min="1" max="1" width="13" style="137" customWidth="1"/>
    <col min="2" max="2" width="60.140625" style="137" customWidth="1"/>
    <col min="3" max="3" width="14.28515625" style="190" customWidth="1"/>
    <col min="4" max="4" width="10.85546875" style="190" customWidth="1"/>
    <col min="5" max="5" width="14.85546875" style="137" customWidth="1"/>
    <col min="6" max="6" width="17.85546875" style="137" customWidth="1"/>
    <col min="7" max="8" width="19.7109375" style="137" customWidth="1"/>
    <col min="9" max="16384" width="9.140625" style="137"/>
  </cols>
  <sheetData>
    <row r="1" spans="1:8" s="333" customFormat="1" x14ac:dyDescent="0.25">
      <c r="C1" s="399" t="s">
        <v>326</v>
      </c>
      <c r="D1" s="399"/>
      <c r="E1" s="399"/>
      <c r="F1" s="399"/>
      <c r="G1" s="332" t="s">
        <v>786</v>
      </c>
      <c r="H1" s="332" t="s">
        <v>787</v>
      </c>
    </row>
    <row r="2" spans="1:8" x14ac:dyDescent="0.25">
      <c r="A2" s="397" t="s">
        <v>317</v>
      </c>
      <c r="B2" s="397"/>
      <c r="C2" s="140"/>
      <c r="D2" s="139"/>
      <c r="E2" s="139"/>
      <c r="F2" s="140">
        <f>F5+F286</f>
        <v>533596997000</v>
      </c>
      <c r="G2" s="330">
        <f>SUM(G5:G513)</f>
        <v>2235622000</v>
      </c>
      <c r="H2" s="330">
        <f>SUM(H5:H513)</f>
        <v>2619862000</v>
      </c>
    </row>
    <row r="3" spans="1:8" ht="33" customHeight="1" x14ac:dyDescent="0.25">
      <c r="A3" s="392" t="s">
        <v>318</v>
      </c>
      <c r="B3" s="392" t="s">
        <v>319</v>
      </c>
      <c r="C3" s="392" t="s">
        <v>320</v>
      </c>
      <c r="D3" s="392" t="s">
        <v>321</v>
      </c>
      <c r="E3" s="394" t="s">
        <v>322</v>
      </c>
      <c r="F3" s="394" t="s">
        <v>323</v>
      </c>
      <c r="G3" s="337">
        <f>G2/(G2+H2)</f>
        <v>0.46043236884314725</v>
      </c>
      <c r="H3" s="337">
        <f>H2/(G2+H2)</f>
        <v>0.5395676311568528</v>
      </c>
    </row>
    <row r="4" spans="1:8" x14ac:dyDescent="0.25">
      <c r="A4" s="393"/>
      <c r="B4" s="393"/>
      <c r="C4" s="398"/>
      <c r="D4" s="393"/>
      <c r="E4" s="395"/>
      <c r="F4" s="395"/>
    </row>
    <row r="5" spans="1:8" x14ac:dyDescent="0.25">
      <c r="A5" s="142" t="s">
        <v>695</v>
      </c>
      <c r="B5" s="142" t="s">
        <v>1</v>
      </c>
      <c r="C5" s="143"/>
      <c r="D5" s="143"/>
      <c r="E5" s="144"/>
      <c r="F5" s="145">
        <f>F6</f>
        <v>412713557000</v>
      </c>
    </row>
    <row r="6" spans="1:8" x14ac:dyDescent="0.25">
      <c r="A6" s="146">
        <v>7733</v>
      </c>
      <c r="B6" s="146" t="s">
        <v>3</v>
      </c>
      <c r="C6" s="147"/>
      <c r="D6" s="147"/>
      <c r="E6" s="148"/>
      <c r="F6" s="149">
        <f>F243+F7</f>
        <v>412713557000</v>
      </c>
      <c r="G6" s="334"/>
    </row>
    <row r="7" spans="1:8" x14ac:dyDescent="0.25">
      <c r="A7" s="150" t="s">
        <v>673</v>
      </c>
      <c r="B7" s="150" t="s">
        <v>5</v>
      </c>
      <c r="C7" s="151"/>
      <c r="D7" s="151"/>
      <c r="E7" s="152"/>
      <c r="F7" s="153">
        <f>F8+F202</f>
        <v>4855484000</v>
      </c>
    </row>
    <row r="8" spans="1:8" ht="30" x14ac:dyDescent="0.25">
      <c r="A8" s="154" t="s">
        <v>674</v>
      </c>
      <c r="B8" s="154" t="s">
        <v>8</v>
      </c>
      <c r="C8" s="155">
        <v>245</v>
      </c>
      <c r="D8" s="155" t="s">
        <v>295</v>
      </c>
      <c r="E8" s="156"/>
      <c r="F8" s="157">
        <f>F9+F26+F115+F138</f>
        <v>4594964000</v>
      </c>
    </row>
    <row r="9" spans="1:8" ht="30" x14ac:dyDescent="0.25">
      <c r="A9" s="158" t="s">
        <v>9</v>
      </c>
      <c r="B9" s="158" t="s">
        <v>10</v>
      </c>
      <c r="C9" s="159" t="s">
        <v>11</v>
      </c>
      <c r="D9" s="159"/>
      <c r="E9" s="160"/>
      <c r="F9" s="161">
        <f>F10</f>
        <v>52150000</v>
      </c>
    </row>
    <row r="10" spans="1:8" x14ac:dyDescent="0.25">
      <c r="A10" s="162" t="s">
        <v>12</v>
      </c>
      <c r="B10" s="162" t="s">
        <v>13</v>
      </c>
      <c r="C10" s="163"/>
      <c r="D10" s="163"/>
      <c r="E10" s="164"/>
      <c r="F10" s="165">
        <f>F11+F15+F20+F23</f>
        <v>52150000</v>
      </c>
    </row>
    <row r="11" spans="1:8" x14ac:dyDescent="0.25">
      <c r="A11" s="166" t="s">
        <v>22</v>
      </c>
      <c r="B11" s="166" t="s">
        <v>23</v>
      </c>
      <c r="C11" s="168"/>
      <c r="D11" s="168"/>
      <c r="E11" s="169"/>
      <c r="F11" s="167">
        <f>SUM(F12:F14)</f>
        <v>8800000</v>
      </c>
      <c r="G11" s="183">
        <f>F11</f>
        <v>8800000</v>
      </c>
    </row>
    <row r="12" spans="1:8" x14ac:dyDescent="0.25">
      <c r="A12" s="170"/>
      <c r="B12" s="171" t="s">
        <v>521</v>
      </c>
      <c r="C12" s="230">
        <v>100</v>
      </c>
      <c r="D12" s="172" t="s">
        <v>296</v>
      </c>
      <c r="E12" s="173">
        <v>57000</v>
      </c>
      <c r="F12" s="173">
        <f>C12*E12</f>
        <v>5700000</v>
      </c>
    </row>
    <row r="13" spans="1:8" x14ac:dyDescent="0.25">
      <c r="A13" s="170"/>
      <c r="B13" s="171" t="s">
        <v>522</v>
      </c>
      <c r="C13" s="230">
        <v>100</v>
      </c>
      <c r="D13" s="172" t="s">
        <v>296</v>
      </c>
      <c r="E13" s="173">
        <v>24000</v>
      </c>
      <c r="F13" s="173">
        <f>C13*E13</f>
        <v>2400000</v>
      </c>
    </row>
    <row r="14" spans="1:8" x14ac:dyDescent="0.25">
      <c r="A14" s="170"/>
      <c r="B14" s="195" t="s">
        <v>344</v>
      </c>
      <c r="C14" s="230">
        <v>1</v>
      </c>
      <c r="D14" s="172" t="s">
        <v>298</v>
      </c>
      <c r="E14" s="173">
        <f>778000-108000+30000</f>
        <v>700000</v>
      </c>
      <c r="F14" s="173">
        <f t="shared" ref="F14" si="0">C14*E14</f>
        <v>700000</v>
      </c>
    </row>
    <row r="15" spans="1:8" x14ac:dyDescent="0.25">
      <c r="A15" s="166" t="s">
        <v>14</v>
      </c>
      <c r="B15" s="166" t="s">
        <v>15</v>
      </c>
      <c r="C15" s="168"/>
      <c r="D15" s="168"/>
      <c r="E15" s="169"/>
      <c r="F15" s="167">
        <f>SUM(F16:F19)</f>
        <v>7750000</v>
      </c>
      <c r="G15" s="183">
        <f>F15</f>
        <v>7750000</v>
      </c>
    </row>
    <row r="16" spans="1:8" ht="30" x14ac:dyDescent="0.25">
      <c r="A16" s="170"/>
      <c r="B16" s="176" t="s">
        <v>669</v>
      </c>
      <c r="C16" s="172">
        <v>1</v>
      </c>
      <c r="D16" s="172" t="s">
        <v>296</v>
      </c>
      <c r="E16" s="173">
        <v>450000</v>
      </c>
      <c r="F16" s="173">
        <f>C16*E16</f>
        <v>450000</v>
      </c>
    </row>
    <row r="17" spans="1:8" ht="30" x14ac:dyDescent="0.25">
      <c r="A17" s="170"/>
      <c r="B17" s="176" t="s">
        <v>670</v>
      </c>
      <c r="C17" s="172">
        <v>1</v>
      </c>
      <c r="D17" s="172" t="s">
        <v>296</v>
      </c>
      <c r="E17" s="173">
        <v>400000</v>
      </c>
      <c r="F17" s="173">
        <f t="shared" ref="F17:F19" si="1">C17*E17</f>
        <v>400000</v>
      </c>
    </row>
    <row r="18" spans="1:8" ht="30" x14ac:dyDescent="0.25">
      <c r="A18" s="170"/>
      <c r="B18" s="176" t="s">
        <v>671</v>
      </c>
      <c r="C18" s="172">
        <v>1</v>
      </c>
      <c r="D18" s="172" t="s">
        <v>296</v>
      </c>
      <c r="E18" s="173">
        <v>300000</v>
      </c>
      <c r="F18" s="173">
        <f t="shared" si="1"/>
        <v>300000</v>
      </c>
    </row>
    <row r="19" spans="1:8" ht="30" x14ac:dyDescent="0.25">
      <c r="A19" s="170"/>
      <c r="B19" s="176" t="s">
        <v>672</v>
      </c>
      <c r="C19" s="172">
        <v>22</v>
      </c>
      <c r="D19" s="172" t="s">
        <v>296</v>
      </c>
      <c r="E19" s="173">
        <v>300000</v>
      </c>
      <c r="F19" s="173">
        <f t="shared" si="1"/>
        <v>6600000</v>
      </c>
    </row>
    <row r="20" spans="1:8" x14ac:dyDescent="0.25">
      <c r="A20" s="166" t="s">
        <v>16</v>
      </c>
      <c r="B20" s="166" t="s">
        <v>17</v>
      </c>
      <c r="C20" s="168"/>
      <c r="D20" s="168"/>
      <c r="E20" s="169"/>
      <c r="F20" s="167">
        <f>SUM(F21:F22)</f>
        <v>12800000</v>
      </c>
      <c r="G20" s="183">
        <f>F20</f>
        <v>12800000</v>
      </c>
    </row>
    <row r="21" spans="1:8" ht="30" x14ac:dyDescent="0.25">
      <c r="A21" s="170"/>
      <c r="B21" s="171" t="s">
        <v>515</v>
      </c>
      <c r="C21" s="230">
        <v>10</v>
      </c>
      <c r="D21" s="172" t="s">
        <v>297</v>
      </c>
      <c r="E21" s="173">
        <v>1000000</v>
      </c>
      <c r="F21" s="173">
        <f>C21*E21</f>
        <v>10000000</v>
      </c>
    </row>
    <row r="22" spans="1:8" x14ac:dyDescent="0.25">
      <c r="A22" s="170"/>
      <c r="B22" s="171" t="s">
        <v>523</v>
      </c>
      <c r="C22" s="230">
        <v>4</v>
      </c>
      <c r="D22" s="172" t="s">
        <v>347</v>
      </c>
      <c r="E22" s="173">
        <v>700000</v>
      </c>
      <c r="F22" s="173">
        <f t="shared" ref="F22" si="2">C22*E22</f>
        <v>2800000</v>
      </c>
    </row>
    <row r="23" spans="1:8" x14ac:dyDescent="0.25">
      <c r="A23" s="166" t="s">
        <v>18</v>
      </c>
      <c r="B23" s="166" t="s">
        <v>19</v>
      </c>
      <c r="C23" s="168"/>
      <c r="D23" s="168"/>
      <c r="E23" s="169"/>
      <c r="F23" s="167">
        <f>SUM(F24:F25)</f>
        <v>22800000</v>
      </c>
      <c r="H23" s="183">
        <f>F23</f>
        <v>22800000</v>
      </c>
    </row>
    <row r="24" spans="1:8" ht="30" x14ac:dyDescent="0.25">
      <c r="A24" s="170"/>
      <c r="B24" s="171" t="s">
        <v>690</v>
      </c>
      <c r="C24" s="230">
        <v>60</v>
      </c>
      <c r="D24" s="172" t="s">
        <v>301</v>
      </c>
      <c r="E24" s="173">
        <v>210000</v>
      </c>
      <c r="F24" s="173">
        <f>C24*E24</f>
        <v>12600000</v>
      </c>
    </row>
    <row r="25" spans="1:8" ht="30" x14ac:dyDescent="0.25">
      <c r="A25" s="170"/>
      <c r="B25" s="171" t="s">
        <v>691</v>
      </c>
      <c r="C25" s="230">
        <v>60</v>
      </c>
      <c r="D25" s="172" t="s">
        <v>296</v>
      </c>
      <c r="E25" s="173">
        <v>170000</v>
      </c>
      <c r="F25" s="173">
        <f>C25*E25</f>
        <v>10200000</v>
      </c>
    </row>
    <row r="26" spans="1:8" ht="30" x14ac:dyDescent="0.25">
      <c r="A26" s="158" t="s">
        <v>20</v>
      </c>
      <c r="B26" s="158" t="s">
        <v>21</v>
      </c>
      <c r="C26" s="159" t="s">
        <v>11</v>
      </c>
      <c r="D26" s="159"/>
      <c r="E26" s="160"/>
      <c r="F26" s="161">
        <f>F27+F49+F71+F93</f>
        <v>2355010000</v>
      </c>
    </row>
    <row r="27" spans="1:8" x14ac:dyDescent="0.25">
      <c r="A27" s="162" t="s">
        <v>12</v>
      </c>
      <c r="B27" s="162" t="s">
        <v>337</v>
      </c>
      <c r="C27" s="163"/>
      <c r="D27" s="163"/>
      <c r="E27" s="164"/>
      <c r="F27" s="165">
        <f>F28+F32+F37+F41+F45</f>
        <v>622508000</v>
      </c>
    </row>
    <row r="28" spans="1:8" x14ac:dyDescent="0.25">
      <c r="A28" s="166" t="s">
        <v>22</v>
      </c>
      <c r="B28" s="166" t="s">
        <v>23</v>
      </c>
      <c r="C28" s="168"/>
      <c r="D28" s="168"/>
      <c r="E28" s="169"/>
      <c r="F28" s="167">
        <f>SUM(F29:F31)</f>
        <v>143060000</v>
      </c>
      <c r="G28" s="183">
        <f>F28</f>
        <v>143060000</v>
      </c>
    </row>
    <row r="29" spans="1:8" ht="30" x14ac:dyDescent="0.25">
      <c r="A29" s="170"/>
      <c r="B29" s="171" t="s">
        <v>736</v>
      </c>
      <c r="C29" s="172">
        <v>1760</v>
      </c>
      <c r="D29" s="172" t="s">
        <v>296</v>
      </c>
      <c r="E29" s="173">
        <v>57000</v>
      </c>
      <c r="F29" s="173">
        <f>C29*E29</f>
        <v>100320000</v>
      </c>
    </row>
    <row r="30" spans="1:8" ht="30" x14ac:dyDescent="0.25">
      <c r="A30" s="170"/>
      <c r="B30" s="171" t="s">
        <v>737</v>
      </c>
      <c r="C30" s="172">
        <v>1760</v>
      </c>
      <c r="D30" s="172" t="s">
        <v>296</v>
      </c>
      <c r="E30" s="173">
        <v>24000</v>
      </c>
      <c r="F30" s="173">
        <f>C30*E30</f>
        <v>42240000</v>
      </c>
    </row>
    <row r="31" spans="1:8" x14ac:dyDescent="0.25">
      <c r="A31" s="170"/>
      <c r="B31" s="178" t="s">
        <v>344</v>
      </c>
      <c r="C31" s="172">
        <v>1</v>
      </c>
      <c r="D31" s="172" t="s">
        <v>298</v>
      </c>
      <c r="E31" s="173">
        <v>500000</v>
      </c>
      <c r="F31" s="173">
        <f t="shared" ref="F31" si="3">C31*E31</f>
        <v>500000</v>
      </c>
    </row>
    <row r="32" spans="1:8" x14ac:dyDescent="0.25">
      <c r="A32" s="166" t="s">
        <v>14</v>
      </c>
      <c r="B32" s="166" t="s">
        <v>15</v>
      </c>
      <c r="C32" s="168"/>
      <c r="D32" s="168"/>
      <c r="E32" s="169"/>
      <c r="F32" s="167">
        <f>SUM(F33:F36)</f>
        <v>15400000</v>
      </c>
      <c r="G32" s="183">
        <f>F32</f>
        <v>15400000</v>
      </c>
    </row>
    <row r="33" spans="1:8" ht="30" x14ac:dyDescent="0.25">
      <c r="A33" s="170"/>
      <c r="B33" s="176" t="s">
        <v>360</v>
      </c>
      <c r="C33" s="172">
        <v>4</v>
      </c>
      <c r="D33" s="172" t="s">
        <v>296</v>
      </c>
      <c r="E33" s="173">
        <v>450000</v>
      </c>
      <c r="F33" s="173">
        <f>C33*E33</f>
        <v>1800000</v>
      </c>
    </row>
    <row r="34" spans="1:8" ht="30" x14ac:dyDescent="0.25">
      <c r="A34" s="170"/>
      <c r="B34" s="176" t="s">
        <v>361</v>
      </c>
      <c r="C34" s="172">
        <v>4</v>
      </c>
      <c r="D34" s="172" t="s">
        <v>296</v>
      </c>
      <c r="E34" s="173">
        <v>400000</v>
      </c>
      <c r="F34" s="173">
        <f t="shared" ref="F34:F36" si="4">C34*E34</f>
        <v>1600000</v>
      </c>
    </row>
    <row r="35" spans="1:8" ht="30" x14ac:dyDescent="0.25">
      <c r="A35" s="170"/>
      <c r="B35" s="176" t="s">
        <v>362</v>
      </c>
      <c r="C35" s="172">
        <v>4</v>
      </c>
      <c r="D35" s="172" t="s">
        <v>296</v>
      </c>
      <c r="E35" s="173">
        <v>300000</v>
      </c>
      <c r="F35" s="173">
        <f t="shared" si="4"/>
        <v>1200000</v>
      </c>
    </row>
    <row r="36" spans="1:8" ht="30" x14ac:dyDescent="0.25">
      <c r="A36" s="170"/>
      <c r="B36" s="176" t="s">
        <v>363</v>
      </c>
      <c r="C36" s="172">
        <v>36</v>
      </c>
      <c r="D36" s="172" t="s">
        <v>296</v>
      </c>
      <c r="E36" s="173">
        <v>300000</v>
      </c>
      <c r="F36" s="173">
        <f t="shared" si="4"/>
        <v>10800000</v>
      </c>
    </row>
    <row r="37" spans="1:8" x14ac:dyDescent="0.25">
      <c r="A37" s="166" t="s">
        <v>16</v>
      </c>
      <c r="B37" s="166" t="s">
        <v>17</v>
      </c>
      <c r="C37" s="168"/>
      <c r="D37" s="168"/>
      <c r="E37" s="169"/>
      <c r="F37" s="167">
        <f>SUM(F38:F40)</f>
        <v>148000000</v>
      </c>
      <c r="G37" s="183">
        <f>F37</f>
        <v>148000000</v>
      </c>
    </row>
    <row r="38" spans="1:8" ht="30" x14ac:dyDescent="0.25">
      <c r="A38" s="170"/>
      <c r="B38" s="171" t="s">
        <v>738</v>
      </c>
      <c r="C38" s="172">
        <v>72</v>
      </c>
      <c r="D38" s="172" t="s">
        <v>297</v>
      </c>
      <c r="E38" s="173">
        <v>1000000</v>
      </c>
      <c r="F38" s="173">
        <f>C38*E38</f>
        <v>72000000</v>
      </c>
    </row>
    <row r="39" spans="1:8" ht="30" x14ac:dyDescent="0.25">
      <c r="A39" s="170"/>
      <c r="B39" s="171" t="s">
        <v>739</v>
      </c>
      <c r="C39" s="172">
        <v>72</v>
      </c>
      <c r="D39" s="172" t="s">
        <v>297</v>
      </c>
      <c r="E39" s="173">
        <v>900000</v>
      </c>
      <c r="F39" s="173">
        <f>C39*E39</f>
        <v>64800000</v>
      </c>
    </row>
    <row r="40" spans="1:8" x14ac:dyDescent="0.25">
      <c r="A40" s="170"/>
      <c r="B40" s="171" t="s">
        <v>740</v>
      </c>
      <c r="C40" s="172">
        <v>16</v>
      </c>
      <c r="D40" s="172" t="s">
        <v>347</v>
      </c>
      <c r="E40" s="173">
        <v>700000</v>
      </c>
      <c r="F40" s="173">
        <f t="shared" ref="F40" si="5">C40*E40</f>
        <v>11200000</v>
      </c>
    </row>
    <row r="41" spans="1:8" x14ac:dyDescent="0.25">
      <c r="A41" s="166" t="s">
        <v>28</v>
      </c>
      <c r="B41" s="166" t="s">
        <v>29</v>
      </c>
      <c r="C41" s="168"/>
      <c r="D41" s="168"/>
      <c r="E41" s="169"/>
      <c r="F41" s="167">
        <f>SUM(F42:F44)</f>
        <v>190368000</v>
      </c>
      <c r="H41" s="183">
        <f>F41</f>
        <v>190368000</v>
      </c>
    </row>
    <row r="42" spans="1:8" ht="30" x14ac:dyDescent="0.25">
      <c r="A42" s="170"/>
      <c r="B42" s="171" t="s">
        <v>741</v>
      </c>
      <c r="C42" s="172">
        <v>288</v>
      </c>
      <c r="D42" s="172" t="s">
        <v>301</v>
      </c>
      <c r="E42" s="173">
        <v>430000</v>
      </c>
      <c r="F42" s="173">
        <f>C42*E42</f>
        <v>123840000</v>
      </c>
    </row>
    <row r="43" spans="1:8" ht="30" x14ac:dyDescent="0.25">
      <c r="A43" s="170"/>
      <c r="B43" s="171" t="s">
        <v>742</v>
      </c>
      <c r="C43" s="172">
        <v>192</v>
      </c>
      <c r="D43" s="172" t="s">
        <v>296</v>
      </c>
      <c r="E43" s="173">
        <v>284000</v>
      </c>
      <c r="F43" s="173">
        <f t="shared" ref="F43" si="6">C43*E43</f>
        <v>54528000</v>
      </c>
    </row>
    <row r="44" spans="1:8" x14ac:dyDescent="0.25">
      <c r="A44" s="170"/>
      <c r="B44" s="171" t="s">
        <v>692</v>
      </c>
      <c r="C44" s="172">
        <v>32</v>
      </c>
      <c r="D44" s="172" t="s">
        <v>296</v>
      </c>
      <c r="E44" s="173">
        <v>375000</v>
      </c>
      <c r="F44" s="173">
        <f>C44*E44</f>
        <v>12000000</v>
      </c>
    </row>
    <row r="45" spans="1:8" x14ac:dyDescent="0.25">
      <c r="A45" s="166" t="s">
        <v>18</v>
      </c>
      <c r="B45" s="166" t="s">
        <v>19</v>
      </c>
      <c r="C45" s="168"/>
      <c r="D45" s="168"/>
      <c r="E45" s="169"/>
      <c r="F45" s="167">
        <f>SUM(F46:F48)</f>
        <v>125680000</v>
      </c>
      <c r="H45" s="183">
        <f>F45</f>
        <v>125680000</v>
      </c>
    </row>
    <row r="46" spans="1:8" ht="30" x14ac:dyDescent="0.25">
      <c r="A46" s="170"/>
      <c r="B46" s="171" t="s">
        <v>693</v>
      </c>
      <c r="C46" s="172">
        <v>300</v>
      </c>
      <c r="D46" s="172" t="s">
        <v>301</v>
      </c>
      <c r="E46" s="173">
        <v>210000</v>
      </c>
      <c r="F46" s="173">
        <f>C46*E46</f>
        <v>63000000</v>
      </c>
    </row>
    <row r="47" spans="1:8" ht="30" x14ac:dyDescent="0.25">
      <c r="A47" s="170"/>
      <c r="B47" s="171" t="s">
        <v>694</v>
      </c>
      <c r="C47" s="172">
        <v>300</v>
      </c>
      <c r="D47" s="172" t="s">
        <v>296</v>
      </c>
      <c r="E47" s="173">
        <v>170000</v>
      </c>
      <c r="F47" s="173">
        <f>C47*E47</f>
        <v>51000000</v>
      </c>
    </row>
    <row r="48" spans="1:8" x14ac:dyDescent="0.25">
      <c r="A48" s="170"/>
      <c r="B48" s="171" t="s">
        <v>702</v>
      </c>
      <c r="C48" s="172">
        <v>16</v>
      </c>
      <c r="D48" s="172" t="s">
        <v>296</v>
      </c>
      <c r="E48" s="173">
        <v>730000</v>
      </c>
      <c r="F48" s="173">
        <f>C48*E48</f>
        <v>11680000</v>
      </c>
    </row>
    <row r="49" spans="1:8" x14ac:dyDescent="0.25">
      <c r="A49" s="162" t="s">
        <v>26</v>
      </c>
      <c r="B49" s="162" t="s">
        <v>39</v>
      </c>
      <c r="C49" s="163"/>
      <c r="D49" s="163"/>
      <c r="E49" s="164"/>
      <c r="F49" s="165">
        <f>F50+F54+F59+F63+F67</f>
        <v>622508000</v>
      </c>
    </row>
    <row r="50" spans="1:8" x14ac:dyDescent="0.25">
      <c r="A50" s="166" t="s">
        <v>22</v>
      </c>
      <c r="B50" s="166" t="s">
        <v>23</v>
      </c>
      <c r="C50" s="168"/>
      <c r="D50" s="168"/>
      <c r="E50" s="169"/>
      <c r="F50" s="167">
        <f>SUM(F51:F53)</f>
        <v>143060000</v>
      </c>
      <c r="G50" s="183">
        <f>F50</f>
        <v>143060000</v>
      </c>
    </row>
    <row r="51" spans="1:8" ht="30" x14ac:dyDescent="0.25">
      <c r="A51" s="170"/>
      <c r="B51" s="171" t="s">
        <v>736</v>
      </c>
      <c r="C51" s="172">
        <v>1760</v>
      </c>
      <c r="D51" s="172" t="s">
        <v>296</v>
      </c>
      <c r="E51" s="173">
        <v>57000</v>
      </c>
      <c r="F51" s="173">
        <f>C51*E51</f>
        <v>100320000</v>
      </c>
    </row>
    <row r="52" spans="1:8" ht="30" x14ac:dyDescent="0.25">
      <c r="A52" s="170"/>
      <c r="B52" s="171" t="s">
        <v>737</v>
      </c>
      <c r="C52" s="172">
        <v>1760</v>
      </c>
      <c r="D52" s="172" t="s">
        <v>296</v>
      </c>
      <c r="E52" s="173">
        <v>24000</v>
      </c>
      <c r="F52" s="173">
        <f>C52*E52</f>
        <v>42240000</v>
      </c>
    </row>
    <row r="53" spans="1:8" ht="25.5" customHeight="1" x14ac:dyDescent="0.25">
      <c r="A53" s="170"/>
      <c r="B53" s="178" t="s">
        <v>344</v>
      </c>
      <c r="C53" s="172">
        <v>1</v>
      </c>
      <c r="D53" s="172" t="s">
        <v>298</v>
      </c>
      <c r="E53" s="173">
        <v>500000</v>
      </c>
      <c r="F53" s="173">
        <f t="shared" ref="F53" si="7">C53*E53</f>
        <v>500000</v>
      </c>
    </row>
    <row r="54" spans="1:8" x14ac:dyDescent="0.25">
      <c r="A54" s="166" t="s">
        <v>14</v>
      </c>
      <c r="B54" s="166" t="s">
        <v>15</v>
      </c>
      <c r="C54" s="168"/>
      <c r="D54" s="168"/>
      <c r="E54" s="169"/>
      <c r="F54" s="167">
        <f>SUM(F55:F58)</f>
        <v>15400000</v>
      </c>
      <c r="G54" s="183">
        <f>F54</f>
        <v>15400000</v>
      </c>
    </row>
    <row r="55" spans="1:8" ht="30" x14ac:dyDescent="0.25">
      <c r="A55" s="170"/>
      <c r="B55" s="176" t="s">
        <v>360</v>
      </c>
      <c r="C55" s="172">
        <v>4</v>
      </c>
      <c r="D55" s="172" t="s">
        <v>296</v>
      </c>
      <c r="E55" s="173">
        <v>450000</v>
      </c>
      <c r="F55" s="173">
        <f>C55*E55</f>
        <v>1800000</v>
      </c>
    </row>
    <row r="56" spans="1:8" ht="30" x14ac:dyDescent="0.25">
      <c r="A56" s="170"/>
      <c r="B56" s="176" t="s">
        <v>361</v>
      </c>
      <c r="C56" s="172">
        <v>4</v>
      </c>
      <c r="D56" s="172" t="s">
        <v>296</v>
      </c>
      <c r="E56" s="173">
        <v>400000</v>
      </c>
      <c r="F56" s="173">
        <f t="shared" ref="F56:F58" si="8">C56*E56</f>
        <v>1600000</v>
      </c>
    </row>
    <row r="57" spans="1:8" ht="30" x14ac:dyDescent="0.25">
      <c r="A57" s="170"/>
      <c r="B57" s="176" t="s">
        <v>362</v>
      </c>
      <c r="C57" s="172">
        <v>4</v>
      </c>
      <c r="D57" s="172" t="s">
        <v>296</v>
      </c>
      <c r="E57" s="173">
        <v>300000</v>
      </c>
      <c r="F57" s="173">
        <f t="shared" si="8"/>
        <v>1200000</v>
      </c>
    </row>
    <row r="58" spans="1:8" ht="30" x14ac:dyDescent="0.25">
      <c r="A58" s="170"/>
      <c r="B58" s="176" t="s">
        <v>363</v>
      </c>
      <c r="C58" s="172">
        <v>36</v>
      </c>
      <c r="D58" s="172" t="s">
        <v>296</v>
      </c>
      <c r="E58" s="173">
        <v>300000</v>
      </c>
      <c r="F58" s="173">
        <f t="shared" si="8"/>
        <v>10800000</v>
      </c>
    </row>
    <row r="59" spans="1:8" x14ac:dyDescent="0.25">
      <c r="A59" s="166" t="s">
        <v>16</v>
      </c>
      <c r="B59" s="166" t="s">
        <v>17</v>
      </c>
      <c r="C59" s="168"/>
      <c r="D59" s="168"/>
      <c r="E59" s="169"/>
      <c r="F59" s="167">
        <f>SUM(F60:F62)</f>
        <v>148000000</v>
      </c>
      <c r="G59" s="183">
        <f>F59</f>
        <v>148000000</v>
      </c>
    </row>
    <row r="60" spans="1:8" ht="30" x14ac:dyDescent="0.25">
      <c r="A60" s="170"/>
      <c r="B60" s="171" t="s">
        <v>738</v>
      </c>
      <c r="C60" s="172">
        <v>72</v>
      </c>
      <c r="D60" s="172" t="s">
        <v>297</v>
      </c>
      <c r="E60" s="173">
        <v>1000000</v>
      </c>
      <c r="F60" s="173">
        <f>C60*E60</f>
        <v>72000000</v>
      </c>
    </row>
    <row r="61" spans="1:8" ht="30" x14ac:dyDescent="0.25">
      <c r="A61" s="170"/>
      <c r="B61" s="171" t="s">
        <v>739</v>
      </c>
      <c r="C61" s="172">
        <v>72</v>
      </c>
      <c r="D61" s="172" t="s">
        <v>297</v>
      </c>
      <c r="E61" s="173">
        <v>900000</v>
      </c>
      <c r="F61" s="173">
        <f>C61*E61</f>
        <v>64800000</v>
      </c>
    </row>
    <row r="62" spans="1:8" x14ac:dyDescent="0.25">
      <c r="A62" s="170"/>
      <c r="B62" s="171" t="s">
        <v>740</v>
      </c>
      <c r="C62" s="172">
        <v>16</v>
      </c>
      <c r="D62" s="172" t="s">
        <v>347</v>
      </c>
      <c r="E62" s="173">
        <v>700000</v>
      </c>
      <c r="F62" s="173">
        <f t="shared" ref="F62" si="9">C62*E62</f>
        <v>11200000</v>
      </c>
    </row>
    <row r="63" spans="1:8" x14ac:dyDescent="0.25">
      <c r="A63" s="166" t="s">
        <v>28</v>
      </c>
      <c r="B63" s="166" t="s">
        <v>29</v>
      </c>
      <c r="C63" s="168"/>
      <c r="D63" s="168"/>
      <c r="E63" s="169"/>
      <c r="F63" s="167">
        <f>SUM(F64:F66)</f>
        <v>190368000</v>
      </c>
      <c r="H63" s="183">
        <f>F63</f>
        <v>190368000</v>
      </c>
    </row>
    <row r="64" spans="1:8" ht="30" x14ac:dyDescent="0.25">
      <c r="A64" s="170"/>
      <c r="B64" s="171" t="s">
        <v>741</v>
      </c>
      <c r="C64" s="172">
        <v>288</v>
      </c>
      <c r="D64" s="172" t="s">
        <v>301</v>
      </c>
      <c r="E64" s="173">
        <v>430000</v>
      </c>
      <c r="F64" s="173">
        <f>C64*E64</f>
        <v>123840000</v>
      </c>
    </row>
    <row r="65" spans="1:8" ht="30" x14ac:dyDescent="0.25">
      <c r="A65" s="170"/>
      <c r="B65" s="171" t="s">
        <v>742</v>
      </c>
      <c r="C65" s="172">
        <v>192</v>
      </c>
      <c r="D65" s="172" t="s">
        <v>296</v>
      </c>
      <c r="E65" s="173">
        <v>284000</v>
      </c>
      <c r="F65" s="173">
        <f t="shared" ref="F65" si="10">C65*E65</f>
        <v>54528000</v>
      </c>
    </row>
    <row r="66" spans="1:8" x14ac:dyDescent="0.25">
      <c r="A66" s="170"/>
      <c r="B66" s="171" t="s">
        <v>692</v>
      </c>
      <c r="C66" s="172">
        <v>32</v>
      </c>
      <c r="D66" s="172" t="s">
        <v>296</v>
      </c>
      <c r="E66" s="173">
        <v>375000</v>
      </c>
      <c r="F66" s="173">
        <f>C66*E66</f>
        <v>12000000</v>
      </c>
    </row>
    <row r="67" spans="1:8" x14ac:dyDescent="0.25">
      <c r="A67" s="166" t="s">
        <v>18</v>
      </c>
      <c r="B67" s="166" t="s">
        <v>19</v>
      </c>
      <c r="C67" s="168"/>
      <c r="D67" s="168"/>
      <c r="E67" s="169"/>
      <c r="F67" s="167">
        <f>SUM(F68:F70)</f>
        <v>125680000</v>
      </c>
      <c r="H67" s="183">
        <f>F67</f>
        <v>125680000</v>
      </c>
    </row>
    <row r="68" spans="1:8" ht="30" x14ac:dyDescent="0.25">
      <c r="A68" s="170"/>
      <c r="B68" s="171" t="s">
        <v>693</v>
      </c>
      <c r="C68" s="172">
        <v>300</v>
      </c>
      <c r="D68" s="172" t="s">
        <v>301</v>
      </c>
      <c r="E68" s="173">
        <v>210000</v>
      </c>
      <c r="F68" s="173">
        <f>C68*E68</f>
        <v>63000000</v>
      </c>
    </row>
    <row r="69" spans="1:8" ht="30" x14ac:dyDescent="0.25">
      <c r="A69" s="170"/>
      <c r="B69" s="171" t="s">
        <v>694</v>
      </c>
      <c r="C69" s="172">
        <v>300</v>
      </c>
      <c r="D69" s="172" t="s">
        <v>296</v>
      </c>
      <c r="E69" s="173">
        <v>170000</v>
      </c>
      <c r="F69" s="173">
        <f>C69*E69</f>
        <v>51000000</v>
      </c>
    </row>
    <row r="70" spans="1:8" x14ac:dyDescent="0.25">
      <c r="A70" s="170"/>
      <c r="B70" s="171" t="s">
        <v>702</v>
      </c>
      <c r="C70" s="172">
        <v>16</v>
      </c>
      <c r="D70" s="172" t="s">
        <v>296</v>
      </c>
      <c r="E70" s="173">
        <v>730000</v>
      </c>
      <c r="F70" s="173">
        <f>C70*E70</f>
        <v>11680000</v>
      </c>
    </row>
    <row r="71" spans="1:8" ht="30" x14ac:dyDescent="0.25">
      <c r="A71" s="162" t="s">
        <v>32</v>
      </c>
      <c r="B71" s="162" t="s">
        <v>41</v>
      </c>
      <c r="C71" s="163"/>
      <c r="D71" s="163"/>
      <c r="E71" s="164"/>
      <c r="F71" s="165">
        <f>F72+F76+F81+F85+F89</f>
        <v>487486000</v>
      </c>
    </row>
    <row r="72" spans="1:8" x14ac:dyDescent="0.25">
      <c r="A72" s="166" t="s">
        <v>22</v>
      </c>
      <c r="B72" s="166" t="s">
        <v>23</v>
      </c>
      <c r="C72" s="168"/>
      <c r="D72" s="168"/>
      <c r="E72" s="169"/>
      <c r="F72" s="167">
        <f>SUM(F73:F75)</f>
        <v>52032000</v>
      </c>
      <c r="G72" s="183">
        <f>F72</f>
        <v>52032000</v>
      </c>
    </row>
    <row r="73" spans="1:8" ht="30" x14ac:dyDescent="0.25">
      <c r="A73" s="170"/>
      <c r="B73" s="171" t="s">
        <v>736</v>
      </c>
      <c r="C73" s="230">
        <v>620</v>
      </c>
      <c r="D73" s="172" t="s">
        <v>296</v>
      </c>
      <c r="E73" s="173">
        <v>57000</v>
      </c>
      <c r="F73" s="173">
        <f>C73*E73</f>
        <v>35340000</v>
      </c>
    </row>
    <row r="74" spans="1:8" ht="30" x14ac:dyDescent="0.25">
      <c r="A74" s="170"/>
      <c r="B74" s="171" t="s">
        <v>737</v>
      </c>
      <c r="C74" s="230">
        <v>620</v>
      </c>
      <c r="D74" s="172" t="s">
        <v>296</v>
      </c>
      <c r="E74" s="173">
        <v>24000</v>
      </c>
      <c r="F74" s="173">
        <f>C74*E74</f>
        <v>14880000</v>
      </c>
    </row>
    <row r="75" spans="1:8" x14ac:dyDescent="0.25">
      <c r="A75" s="170"/>
      <c r="B75" s="178" t="s">
        <v>344</v>
      </c>
      <c r="C75" s="172">
        <v>1</v>
      </c>
      <c r="D75" s="172" t="s">
        <v>298</v>
      </c>
      <c r="E75" s="231">
        <v>1812000</v>
      </c>
      <c r="F75" s="173">
        <f t="shared" ref="F75" si="11">C75*E75</f>
        <v>1812000</v>
      </c>
    </row>
    <row r="76" spans="1:8" x14ac:dyDescent="0.25">
      <c r="A76" s="166" t="s">
        <v>14</v>
      </c>
      <c r="B76" s="166" t="s">
        <v>15</v>
      </c>
      <c r="C76" s="168"/>
      <c r="D76" s="168"/>
      <c r="E76" s="169"/>
      <c r="F76" s="167">
        <f>SUM(F77:F80)</f>
        <v>15400000</v>
      </c>
      <c r="G76" s="183">
        <f>F76</f>
        <v>15400000</v>
      </c>
    </row>
    <row r="77" spans="1:8" ht="30" x14ac:dyDescent="0.25">
      <c r="A77" s="170"/>
      <c r="B77" s="176" t="s">
        <v>360</v>
      </c>
      <c r="C77" s="172">
        <v>4</v>
      </c>
      <c r="D77" s="172" t="s">
        <v>296</v>
      </c>
      <c r="E77" s="173">
        <v>450000</v>
      </c>
      <c r="F77" s="173">
        <f>C77*E77</f>
        <v>1800000</v>
      </c>
    </row>
    <row r="78" spans="1:8" ht="30" x14ac:dyDescent="0.25">
      <c r="A78" s="170"/>
      <c r="B78" s="176" t="s">
        <v>361</v>
      </c>
      <c r="C78" s="172">
        <v>4</v>
      </c>
      <c r="D78" s="172" t="s">
        <v>296</v>
      </c>
      <c r="E78" s="173">
        <v>400000</v>
      </c>
      <c r="F78" s="173">
        <f t="shared" ref="F78:F80" si="12">C78*E78</f>
        <v>1600000</v>
      </c>
    </row>
    <row r="79" spans="1:8" ht="30" x14ac:dyDescent="0.25">
      <c r="A79" s="170"/>
      <c r="B79" s="176" t="s">
        <v>362</v>
      </c>
      <c r="C79" s="172">
        <v>4</v>
      </c>
      <c r="D79" s="172" t="s">
        <v>296</v>
      </c>
      <c r="E79" s="173">
        <v>300000</v>
      </c>
      <c r="F79" s="173">
        <f t="shared" si="12"/>
        <v>1200000</v>
      </c>
    </row>
    <row r="80" spans="1:8" ht="30" x14ac:dyDescent="0.25">
      <c r="A80" s="170"/>
      <c r="B80" s="176" t="s">
        <v>363</v>
      </c>
      <c r="C80" s="172">
        <v>36</v>
      </c>
      <c r="D80" s="172" t="s">
        <v>296</v>
      </c>
      <c r="E80" s="173">
        <v>300000</v>
      </c>
      <c r="F80" s="173">
        <f t="shared" si="12"/>
        <v>10800000</v>
      </c>
    </row>
    <row r="81" spans="1:8" x14ac:dyDescent="0.25">
      <c r="A81" s="166" t="s">
        <v>16</v>
      </c>
      <c r="B81" s="166" t="s">
        <v>17</v>
      </c>
      <c r="C81" s="168"/>
      <c r="D81" s="168"/>
      <c r="E81" s="169"/>
      <c r="F81" s="167">
        <f>SUM(F82:F84)</f>
        <v>134700000</v>
      </c>
      <c r="G81" s="183">
        <f>F81</f>
        <v>134700000</v>
      </c>
    </row>
    <row r="82" spans="1:8" ht="30" x14ac:dyDescent="0.25">
      <c r="A82" s="170"/>
      <c r="B82" s="171" t="s">
        <v>738</v>
      </c>
      <c r="C82" s="230">
        <v>65</v>
      </c>
      <c r="D82" s="172" t="s">
        <v>297</v>
      </c>
      <c r="E82" s="173">
        <v>1000000</v>
      </c>
      <c r="F82" s="173">
        <f>C82*E82</f>
        <v>65000000</v>
      </c>
    </row>
    <row r="83" spans="1:8" ht="30" x14ac:dyDescent="0.25">
      <c r="A83" s="170"/>
      <c r="B83" s="171" t="s">
        <v>739</v>
      </c>
      <c r="C83" s="230">
        <v>65</v>
      </c>
      <c r="D83" s="172" t="s">
        <v>297</v>
      </c>
      <c r="E83" s="173">
        <v>900000</v>
      </c>
      <c r="F83" s="173">
        <f>C83*E83</f>
        <v>58500000</v>
      </c>
    </row>
    <row r="84" spans="1:8" x14ac:dyDescent="0.25">
      <c r="A84" s="170"/>
      <c r="B84" s="171" t="s">
        <v>740</v>
      </c>
      <c r="C84" s="172">
        <v>16</v>
      </c>
      <c r="D84" s="172" t="s">
        <v>347</v>
      </c>
      <c r="E84" s="173">
        <v>700000</v>
      </c>
      <c r="F84" s="173">
        <f t="shared" ref="F84" si="13">C84*E84</f>
        <v>11200000</v>
      </c>
    </row>
    <row r="85" spans="1:8" x14ac:dyDescent="0.25">
      <c r="A85" s="166" t="s">
        <v>28</v>
      </c>
      <c r="B85" s="166" t="s">
        <v>29</v>
      </c>
      <c r="C85" s="168"/>
      <c r="D85" s="168"/>
      <c r="E85" s="169"/>
      <c r="F85" s="167">
        <f>SUM(F86:F88)</f>
        <v>159674000</v>
      </c>
      <c r="H85" s="183">
        <f>F85</f>
        <v>159674000</v>
      </c>
    </row>
    <row r="86" spans="1:8" ht="30" x14ac:dyDescent="0.25">
      <c r="A86" s="170"/>
      <c r="B86" s="171" t="s">
        <v>741</v>
      </c>
      <c r="C86" s="230">
        <v>247</v>
      </c>
      <c r="D86" s="172" t="s">
        <v>301</v>
      </c>
      <c r="E86" s="173">
        <v>430000</v>
      </c>
      <c r="F86" s="173">
        <f>C86*E86</f>
        <v>106210000</v>
      </c>
    </row>
    <row r="87" spans="1:8" ht="30" x14ac:dyDescent="0.25">
      <c r="A87" s="170"/>
      <c r="B87" s="171" t="s">
        <v>742</v>
      </c>
      <c r="C87" s="230">
        <v>146</v>
      </c>
      <c r="D87" s="172" t="s">
        <v>296</v>
      </c>
      <c r="E87" s="173">
        <v>284000</v>
      </c>
      <c r="F87" s="173">
        <f t="shared" ref="F87" si="14">C87*E87</f>
        <v>41464000</v>
      </c>
    </row>
    <row r="88" spans="1:8" x14ac:dyDescent="0.25">
      <c r="A88" s="170"/>
      <c r="B88" s="171" t="s">
        <v>692</v>
      </c>
      <c r="C88" s="172">
        <v>32</v>
      </c>
      <c r="D88" s="172" t="s">
        <v>296</v>
      </c>
      <c r="E88" s="173">
        <v>375000</v>
      </c>
      <c r="F88" s="173">
        <f>C88*E88</f>
        <v>12000000</v>
      </c>
    </row>
    <row r="89" spans="1:8" x14ac:dyDescent="0.25">
      <c r="A89" s="166" t="s">
        <v>18</v>
      </c>
      <c r="B89" s="166" t="s">
        <v>19</v>
      </c>
      <c r="C89" s="168"/>
      <c r="D89" s="168"/>
      <c r="E89" s="169"/>
      <c r="F89" s="167">
        <f>SUM(F90:F92)</f>
        <v>125680000</v>
      </c>
      <c r="H89" s="183">
        <f>F89</f>
        <v>125680000</v>
      </c>
    </row>
    <row r="90" spans="1:8" ht="30" x14ac:dyDescent="0.25">
      <c r="A90" s="170"/>
      <c r="B90" s="171" t="s">
        <v>693</v>
      </c>
      <c r="C90" s="172">
        <v>300</v>
      </c>
      <c r="D90" s="172" t="s">
        <v>301</v>
      </c>
      <c r="E90" s="173">
        <v>210000</v>
      </c>
      <c r="F90" s="173">
        <f>C90*E90</f>
        <v>63000000</v>
      </c>
    </row>
    <row r="91" spans="1:8" ht="30" x14ac:dyDescent="0.25">
      <c r="A91" s="170"/>
      <c r="B91" s="171" t="s">
        <v>694</v>
      </c>
      <c r="C91" s="172">
        <v>300</v>
      </c>
      <c r="D91" s="172" t="s">
        <v>296</v>
      </c>
      <c r="E91" s="173">
        <v>170000</v>
      </c>
      <c r="F91" s="173">
        <f>C91*E91</f>
        <v>51000000</v>
      </c>
    </row>
    <row r="92" spans="1:8" x14ac:dyDescent="0.25">
      <c r="A92" s="170"/>
      <c r="B92" s="171" t="s">
        <v>702</v>
      </c>
      <c r="C92" s="172">
        <v>16</v>
      </c>
      <c r="D92" s="172" t="s">
        <v>296</v>
      </c>
      <c r="E92" s="173">
        <v>730000</v>
      </c>
      <c r="F92" s="173">
        <f>C92*E92</f>
        <v>11680000</v>
      </c>
    </row>
    <row r="93" spans="1:8" x14ac:dyDescent="0.25">
      <c r="A93" s="162" t="s">
        <v>35</v>
      </c>
      <c r="B93" s="162" t="s">
        <v>45</v>
      </c>
      <c r="C93" s="163"/>
      <c r="D93" s="163"/>
      <c r="E93" s="164"/>
      <c r="F93" s="165">
        <f>F94+F98+F103+F107+F111</f>
        <v>622508000</v>
      </c>
    </row>
    <row r="94" spans="1:8" x14ac:dyDescent="0.25">
      <c r="A94" s="166" t="s">
        <v>22</v>
      </c>
      <c r="B94" s="166" t="s">
        <v>23</v>
      </c>
      <c r="C94" s="168"/>
      <c r="D94" s="168"/>
      <c r="E94" s="169"/>
      <c r="F94" s="167">
        <f>SUM(F95:F97)</f>
        <v>143060000</v>
      </c>
      <c r="G94" s="183">
        <f>F94</f>
        <v>143060000</v>
      </c>
    </row>
    <row r="95" spans="1:8" ht="30" x14ac:dyDescent="0.25">
      <c r="A95" s="170"/>
      <c r="B95" s="171" t="s">
        <v>736</v>
      </c>
      <c r="C95" s="172">
        <v>1760</v>
      </c>
      <c r="D95" s="172" t="s">
        <v>296</v>
      </c>
      <c r="E95" s="173">
        <v>57000</v>
      </c>
      <c r="F95" s="173">
        <f>C95*E95</f>
        <v>100320000</v>
      </c>
    </row>
    <row r="96" spans="1:8" ht="30" x14ac:dyDescent="0.25">
      <c r="A96" s="170"/>
      <c r="B96" s="171" t="s">
        <v>737</v>
      </c>
      <c r="C96" s="172">
        <v>1760</v>
      </c>
      <c r="D96" s="172" t="s">
        <v>296</v>
      </c>
      <c r="E96" s="173">
        <v>24000</v>
      </c>
      <c r="F96" s="173">
        <f>C96*E96</f>
        <v>42240000</v>
      </c>
    </row>
    <row r="97" spans="1:8" ht="21.75" customHeight="1" x14ac:dyDescent="0.25">
      <c r="A97" s="170"/>
      <c r="B97" s="178" t="s">
        <v>344</v>
      </c>
      <c r="C97" s="172">
        <v>1</v>
      </c>
      <c r="D97" s="172" t="s">
        <v>298</v>
      </c>
      <c r="E97" s="173">
        <v>500000</v>
      </c>
      <c r="F97" s="173">
        <f t="shared" ref="F97" si="15">C97*E97</f>
        <v>500000</v>
      </c>
    </row>
    <row r="98" spans="1:8" x14ac:dyDescent="0.25">
      <c r="A98" s="166" t="s">
        <v>14</v>
      </c>
      <c r="B98" s="166" t="s">
        <v>15</v>
      </c>
      <c r="C98" s="168"/>
      <c r="D98" s="168"/>
      <c r="E98" s="169"/>
      <c r="F98" s="167">
        <f>SUM(F99:F102)</f>
        <v>15400000</v>
      </c>
      <c r="G98" s="183">
        <f>F98</f>
        <v>15400000</v>
      </c>
    </row>
    <row r="99" spans="1:8" ht="30" x14ac:dyDescent="0.25">
      <c r="A99" s="170"/>
      <c r="B99" s="176" t="s">
        <v>360</v>
      </c>
      <c r="C99" s="172">
        <v>4</v>
      </c>
      <c r="D99" s="172" t="s">
        <v>296</v>
      </c>
      <c r="E99" s="173">
        <v>450000</v>
      </c>
      <c r="F99" s="173">
        <f>C99*E99</f>
        <v>1800000</v>
      </c>
    </row>
    <row r="100" spans="1:8" ht="30" x14ac:dyDescent="0.25">
      <c r="A100" s="170"/>
      <c r="B100" s="176" t="s">
        <v>361</v>
      </c>
      <c r="C100" s="172">
        <v>4</v>
      </c>
      <c r="D100" s="172" t="s">
        <v>296</v>
      </c>
      <c r="E100" s="173">
        <v>400000</v>
      </c>
      <c r="F100" s="173">
        <f t="shared" ref="F100:F102" si="16">C100*E100</f>
        <v>1600000</v>
      </c>
    </row>
    <row r="101" spans="1:8" ht="30" x14ac:dyDescent="0.25">
      <c r="A101" s="170"/>
      <c r="B101" s="176" t="s">
        <v>362</v>
      </c>
      <c r="C101" s="172">
        <v>4</v>
      </c>
      <c r="D101" s="172" t="s">
        <v>296</v>
      </c>
      <c r="E101" s="173">
        <v>300000</v>
      </c>
      <c r="F101" s="173">
        <f t="shared" si="16"/>
        <v>1200000</v>
      </c>
    </row>
    <row r="102" spans="1:8" ht="30" x14ac:dyDescent="0.25">
      <c r="A102" s="170"/>
      <c r="B102" s="176" t="s">
        <v>363</v>
      </c>
      <c r="C102" s="172">
        <v>36</v>
      </c>
      <c r="D102" s="172" t="s">
        <v>296</v>
      </c>
      <c r="E102" s="173">
        <v>300000</v>
      </c>
      <c r="F102" s="173">
        <f t="shared" si="16"/>
        <v>10800000</v>
      </c>
    </row>
    <row r="103" spans="1:8" x14ac:dyDescent="0.25">
      <c r="A103" s="166" t="s">
        <v>16</v>
      </c>
      <c r="B103" s="166" t="s">
        <v>17</v>
      </c>
      <c r="C103" s="168"/>
      <c r="D103" s="168"/>
      <c r="E103" s="169"/>
      <c r="F103" s="167">
        <f>SUM(F104:F106)</f>
        <v>148000000</v>
      </c>
      <c r="G103" s="183">
        <f>F103</f>
        <v>148000000</v>
      </c>
    </row>
    <row r="104" spans="1:8" ht="30" x14ac:dyDescent="0.25">
      <c r="A104" s="170"/>
      <c r="B104" s="171" t="s">
        <v>738</v>
      </c>
      <c r="C104" s="172">
        <v>72</v>
      </c>
      <c r="D104" s="172" t="s">
        <v>297</v>
      </c>
      <c r="E104" s="173">
        <v>1000000</v>
      </c>
      <c r="F104" s="173">
        <f>C104*E104</f>
        <v>72000000</v>
      </c>
    </row>
    <row r="105" spans="1:8" ht="30" x14ac:dyDescent="0.25">
      <c r="A105" s="170"/>
      <c r="B105" s="171" t="s">
        <v>739</v>
      </c>
      <c r="C105" s="172">
        <v>72</v>
      </c>
      <c r="D105" s="172" t="s">
        <v>297</v>
      </c>
      <c r="E105" s="173">
        <v>900000</v>
      </c>
      <c r="F105" s="173">
        <f>C105*E105</f>
        <v>64800000</v>
      </c>
    </row>
    <row r="106" spans="1:8" x14ac:dyDescent="0.25">
      <c r="A106" s="170"/>
      <c r="B106" s="171" t="s">
        <v>740</v>
      </c>
      <c r="C106" s="172">
        <v>16</v>
      </c>
      <c r="D106" s="172" t="s">
        <v>347</v>
      </c>
      <c r="E106" s="173">
        <v>700000</v>
      </c>
      <c r="F106" s="173">
        <f t="shared" ref="F106" si="17">C106*E106</f>
        <v>11200000</v>
      </c>
    </row>
    <row r="107" spans="1:8" x14ac:dyDescent="0.25">
      <c r="A107" s="166" t="s">
        <v>28</v>
      </c>
      <c r="B107" s="166" t="s">
        <v>29</v>
      </c>
      <c r="C107" s="168"/>
      <c r="D107" s="168"/>
      <c r="E107" s="169"/>
      <c r="F107" s="167">
        <f>SUM(F108:F110)</f>
        <v>190368000</v>
      </c>
      <c r="H107" s="183">
        <f>F107</f>
        <v>190368000</v>
      </c>
    </row>
    <row r="108" spans="1:8" ht="30" x14ac:dyDescent="0.25">
      <c r="A108" s="170"/>
      <c r="B108" s="171" t="s">
        <v>741</v>
      </c>
      <c r="C108" s="172">
        <v>288</v>
      </c>
      <c r="D108" s="172" t="s">
        <v>301</v>
      </c>
      <c r="E108" s="173">
        <v>430000</v>
      </c>
      <c r="F108" s="173">
        <f>C108*E108</f>
        <v>123840000</v>
      </c>
    </row>
    <row r="109" spans="1:8" ht="30" x14ac:dyDescent="0.25">
      <c r="A109" s="170"/>
      <c r="B109" s="171" t="s">
        <v>742</v>
      </c>
      <c r="C109" s="172">
        <v>192</v>
      </c>
      <c r="D109" s="172" t="s">
        <v>296</v>
      </c>
      <c r="E109" s="173">
        <v>284000</v>
      </c>
      <c r="F109" s="173">
        <f t="shared" ref="F109" si="18">C109*E109</f>
        <v>54528000</v>
      </c>
    </row>
    <row r="110" spans="1:8" x14ac:dyDescent="0.25">
      <c r="A110" s="170"/>
      <c r="B110" s="171" t="s">
        <v>692</v>
      </c>
      <c r="C110" s="172">
        <v>32</v>
      </c>
      <c r="D110" s="172" t="s">
        <v>296</v>
      </c>
      <c r="E110" s="173">
        <v>375000</v>
      </c>
      <c r="F110" s="173">
        <f>C110*E110</f>
        <v>12000000</v>
      </c>
    </row>
    <row r="111" spans="1:8" x14ac:dyDescent="0.25">
      <c r="A111" s="166" t="s">
        <v>18</v>
      </c>
      <c r="B111" s="166" t="s">
        <v>19</v>
      </c>
      <c r="C111" s="168"/>
      <c r="D111" s="168"/>
      <c r="E111" s="169"/>
      <c r="F111" s="167">
        <f>SUM(F112:F114)</f>
        <v>125680000</v>
      </c>
      <c r="H111" s="183">
        <f>F111</f>
        <v>125680000</v>
      </c>
    </row>
    <row r="112" spans="1:8" ht="30" x14ac:dyDescent="0.25">
      <c r="A112" s="170"/>
      <c r="B112" s="171" t="s">
        <v>693</v>
      </c>
      <c r="C112" s="172">
        <v>300</v>
      </c>
      <c r="D112" s="172" t="s">
        <v>301</v>
      </c>
      <c r="E112" s="173">
        <v>210000</v>
      </c>
      <c r="F112" s="173">
        <f>C112*E112</f>
        <v>63000000</v>
      </c>
    </row>
    <row r="113" spans="1:7" ht="30" x14ac:dyDescent="0.25">
      <c r="A113" s="170"/>
      <c r="B113" s="171" t="s">
        <v>694</v>
      </c>
      <c r="C113" s="172">
        <v>300</v>
      </c>
      <c r="D113" s="172" t="s">
        <v>296</v>
      </c>
      <c r="E113" s="173">
        <v>170000</v>
      </c>
      <c r="F113" s="173">
        <f>C113*E113</f>
        <v>51000000</v>
      </c>
    </row>
    <row r="114" spans="1:7" x14ac:dyDescent="0.25">
      <c r="A114" s="170"/>
      <c r="B114" s="171" t="s">
        <v>702</v>
      </c>
      <c r="C114" s="172">
        <v>16</v>
      </c>
      <c r="D114" s="172" t="s">
        <v>296</v>
      </c>
      <c r="E114" s="173">
        <v>730000</v>
      </c>
      <c r="F114" s="173">
        <f>C114*E114</f>
        <v>11680000</v>
      </c>
    </row>
    <row r="115" spans="1:7" x14ac:dyDescent="0.25">
      <c r="A115" s="158" t="s">
        <v>46</v>
      </c>
      <c r="B115" s="158" t="s">
        <v>47</v>
      </c>
      <c r="C115" s="159" t="s">
        <v>11</v>
      </c>
      <c r="D115" s="159"/>
      <c r="E115" s="160"/>
      <c r="F115" s="161">
        <f>F116</f>
        <v>622508000</v>
      </c>
    </row>
    <row r="116" spans="1:7" x14ac:dyDescent="0.25">
      <c r="A116" s="162" t="s">
        <v>12</v>
      </c>
      <c r="B116" s="162" t="s">
        <v>48</v>
      </c>
      <c r="C116" s="163"/>
      <c r="D116" s="163"/>
      <c r="E116" s="164"/>
      <c r="F116" s="165">
        <f>F117+F121+F126+F130+F134</f>
        <v>622508000</v>
      </c>
    </row>
    <row r="117" spans="1:7" x14ac:dyDescent="0.25">
      <c r="A117" s="166" t="s">
        <v>22</v>
      </c>
      <c r="B117" s="166" t="s">
        <v>23</v>
      </c>
      <c r="C117" s="168"/>
      <c r="D117" s="168"/>
      <c r="E117" s="169"/>
      <c r="F117" s="167">
        <f>SUM(F118:F120)</f>
        <v>143060000</v>
      </c>
      <c r="G117" s="183">
        <f>F117</f>
        <v>143060000</v>
      </c>
    </row>
    <row r="118" spans="1:7" ht="30" x14ac:dyDescent="0.25">
      <c r="A118" s="170"/>
      <c r="B118" s="171" t="s">
        <v>736</v>
      </c>
      <c r="C118" s="172">
        <v>1760</v>
      </c>
      <c r="D118" s="172" t="s">
        <v>296</v>
      </c>
      <c r="E118" s="173">
        <v>57000</v>
      </c>
      <c r="F118" s="173">
        <f>C118*E118</f>
        <v>100320000</v>
      </c>
    </row>
    <row r="119" spans="1:7" ht="30" x14ac:dyDescent="0.25">
      <c r="A119" s="170"/>
      <c r="B119" s="171" t="s">
        <v>737</v>
      </c>
      <c r="C119" s="172">
        <v>1760</v>
      </c>
      <c r="D119" s="172" t="s">
        <v>296</v>
      </c>
      <c r="E119" s="173">
        <v>24000</v>
      </c>
      <c r="F119" s="173">
        <f>C119*E119</f>
        <v>42240000</v>
      </c>
    </row>
    <row r="120" spans="1:7" x14ac:dyDescent="0.25">
      <c r="A120" s="170"/>
      <c r="B120" s="178" t="s">
        <v>344</v>
      </c>
      <c r="C120" s="172">
        <v>1</v>
      </c>
      <c r="D120" s="172" t="s">
        <v>298</v>
      </c>
      <c r="E120" s="173">
        <v>500000</v>
      </c>
      <c r="F120" s="173">
        <f t="shared" ref="F120" si="19">C120*E120</f>
        <v>500000</v>
      </c>
    </row>
    <row r="121" spans="1:7" x14ac:dyDescent="0.25">
      <c r="A121" s="166" t="s">
        <v>14</v>
      </c>
      <c r="B121" s="166" t="s">
        <v>15</v>
      </c>
      <c r="C121" s="168"/>
      <c r="D121" s="168"/>
      <c r="E121" s="169"/>
      <c r="F121" s="167">
        <f>SUM(F122:F125)</f>
        <v>15400000</v>
      </c>
      <c r="G121" s="183">
        <f>F121</f>
        <v>15400000</v>
      </c>
    </row>
    <row r="122" spans="1:7" ht="30" x14ac:dyDescent="0.25">
      <c r="A122" s="170"/>
      <c r="B122" s="176" t="s">
        <v>360</v>
      </c>
      <c r="C122" s="172">
        <v>4</v>
      </c>
      <c r="D122" s="172" t="s">
        <v>296</v>
      </c>
      <c r="E122" s="173">
        <v>450000</v>
      </c>
      <c r="F122" s="173">
        <f>C122*E122</f>
        <v>1800000</v>
      </c>
    </row>
    <row r="123" spans="1:7" ht="30" x14ac:dyDescent="0.25">
      <c r="A123" s="170"/>
      <c r="B123" s="176" t="s">
        <v>361</v>
      </c>
      <c r="C123" s="172">
        <v>4</v>
      </c>
      <c r="D123" s="172" t="s">
        <v>296</v>
      </c>
      <c r="E123" s="173">
        <v>400000</v>
      </c>
      <c r="F123" s="173">
        <f t="shared" ref="F123:F125" si="20">C123*E123</f>
        <v>1600000</v>
      </c>
    </row>
    <row r="124" spans="1:7" ht="30" x14ac:dyDescent="0.25">
      <c r="A124" s="170"/>
      <c r="B124" s="176" t="s">
        <v>362</v>
      </c>
      <c r="C124" s="172">
        <v>4</v>
      </c>
      <c r="D124" s="172" t="s">
        <v>296</v>
      </c>
      <c r="E124" s="173">
        <v>300000</v>
      </c>
      <c r="F124" s="173">
        <f t="shared" si="20"/>
        <v>1200000</v>
      </c>
    </row>
    <row r="125" spans="1:7" ht="30" x14ac:dyDescent="0.25">
      <c r="A125" s="170"/>
      <c r="B125" s="176" t="s">
        <v>363</v>
      </c>
      <c r="C125" s="172">
        <v>36</v>
      </c>
      <c r="D125" s="172" t="s">
        <v>296</v>
      </c>
      <c r="E125" s="173">
        <v>300000</v>
      </c>
      <c r="F125" s="173">
        <f t="shared" si="20"/>
        <v>10800000</v>
      </c>
    </row>
    <row r="126" spans="1:7" x14ac:dyDescent="0.25">
      <c r="A126" s="166" t="s">
        <v>16</v>
      </c>
      <c r="B126" s="166" t="s">
        <v>17</v>
      </c>
      <c r="C126" s="168"/>
      <c r="D126" s="168"/>
      <c r="E126" s="169"/>
      <c r="F126" s="167">
        <f>SUM(F127:F129)</f>
        <v>148000000</v>
      </c>
      <c r="G126" s="183">
        <f>F126</f>
        <v>148000000</v>
      </c>
    </row>
    <row r="127" spans="1:7" ht="30" x14ac:dyDescent="0.25">
      <c r="A127" s="170"/>
      <c r="B127" s="171" t="s">
        <v>738</v>
      </c>
      <c r="C127" s="172">
        <v>72</v>
      </c>
      <c r="D127" s="172" t="s">
        <v>297</v>
      </c>
      <c r="E127" s="173">
        <v>1000000</v>
      </c>
      <c r="F127" s="173">
        <f>C127*E127</f>
        <v>72000000</v>
      </c>
    </row>
    <row r="128" spans="1:7" ht="30" x14ac:dyDescent="0.25">
      <c r="A128" s="170"/>
      <c r="B128" s="171" t="s">
        <v>739</v>
      </c>
      <c r="C128" s="172">
        <v>72</v>
      </c>
      <c r="D128" s="172" t="s">
        <v>297</v>
      </c>
      <c r="E128" s="173">
        <v>900000</v>
      </c>
      <c r="F128" s="173">
        <f>C128*E128</f>
        <v>64800000</v>
      </c>
    </row>
    <row r="129" spans="1:8" x14ac:dyDescent="0.25">
      <c r="A129" s="170"/>
      <c r="B129" s="171" t="s">
        <v>740</v>
      </c>
      <c r="C129" s="172">
        <v>16</v>
      </c>
      <c r="D129" s="172" t="s">
        <v>347</v>
      </c>
      <c r="E129" s="173">
        <v>700000</v>
      </c>
      <c r="F129" s="173">
        <f t="shared" ref="F129" si="21">C129*E129</f>
        <v>11200000</v>
      </c>
    </row>
    <row r="130" spans="1:8" x14ac:dyDescent="0.25">
      <c r="A130" s="166" t="s">
        <v>28</v>
      </c>
      <c r="B130" s="166" t="s">
        <v>29</v>
      </c>
      <c r="C130" s="168"/>
      <c r="D130" s="168"/>
      <c r="E130" s="169"/>
      <c r="F130" s="167">
        <f>SUM(F131:F133)</f>
        <v>190368000</v>
      </c>
      <c r="H130" s="183">
        <f>F130</f>
        <v>190368000</v>
      </c>
    </row>
    <row r="131" spans="1:8" ht="30" x14ac:dyDescent="0.25">
      <c r="A131" s="170"/>
      <c r="B131" s="171" t="s">
        <v>741</v>
      </c>
      <c r="C131" s="172">
        <v>288</v>
      </c>
      <c r="D131" s="172" t="s">
        <v>301</v>
      </c>
      <c r="E131" s="173">
        <v>430000</v>
      </c>
      <c r="F131" s="173">
        <f>C131*E131</f>
        <v>123840000</v>
      </c>
    </row>
    <row r="132" spans="1:8" ht="30" x14ac:dyDescent="0.25">
      <c r="A132" s="170"/>
      <c r="B132" s="171" t="s">
        <v>742</v>
      </c>
      <c r="C132" s="172">
        <v>192</v>
      </c>
      <c r="D132" s="172" t="s">
        <v>296</v>
      </c>
      <c r="E132" s="173">
        <v>284000</v>
      </c>
      <c r="F132" s="173">
        <f t="shared" ref="F132" si="22">C132*E132</f>
        <v>54528000</v>
      </c>
    </row>
    <row r="133" spans="1:8" x14ac:dyDescent="0.25">
      <c r="A133" s="170"/>
      <c r="B133" s="171" t="s">
        <v>692</v>
      </c>
      <c r="C133" s="172">
        <v>32</v>
      </c>
      <c r="D133" s="172" t="s">
        <v>296</v>
      </c>
      <c r="E133" s="173">
        <v>375000</v>
      </c>
      <c r="F133" s="173">
        <f>C133*E133</f>
        <v>12000000</v>
      </c>
    </row>
    <row r="134" spans="1:8" x14ac:dyDescent="0.25">
      <c r="A134" s="166" t="s">
        <v>18</v>
      </c>
      <c r="B134" s="166" t="s">
        <v>19</v>
      </c>
      <c r="C134" s="168"/>
      <c r="D134" s="168"/>
      <c r="E134" s="169"/>
      <c r="F134" s="167">
        <f>SUM(F135:F137)</f>
        <v>125680000</v>
      </c>
      <c r="H134" s="183">
        <f>F134</f>
        <v>125680000</v>
      </c>
    </row>
    <row r="135" spans="1:8" ht="30" x14ac:dyDescent="0.25">
      <c r="A135" s="170"/>
      <c r="B135" s="171" t="s">
        <v>693</v>
      </c>
      <c r="C135" s="172">
        <v>300</v>
      </c>
      <c r="D135" s="172" t="s">
        <v>301</v>
      </c>
      <c r="E135" s="173">
        <v>210000</v>
      </c>
      <c r="F135" s="173">
        <f>C135*E135</f>
        <v>63000000</v>
      </c>
    </row>
    <row r="136" spans="1:8" ht="30" x14ac:dyDescent="0.25">
      <c r="A136" s="170"/>
      <c r="B136" s="171" t="s">
        <v>694</v>
      </c>
      <c r="C136" s="172">
        <v>300</v>
      </c>
      <c r="D136" s="172" t="s">
        <v>296</v>
      </c>
      <c r="E136" s="173">
        <v>170000</v>
      </c>
      <c r="F136" s="173">
        <f>C136*E136</f>
        <v>51000000</v>
      </c>
    </row>
    <row r="137" spans="1:8" x14ac:dyDescent="0.25">
      <c r="A137" s="170"/>
      <c r="B137" s="171" t="s">
        <v>702</v>
      </c>
      <c r="C137" s="172">
        <v>16</v>
      </c>
      <c r="D137" s="172" t="s">
        <v>296</v>
      </c>
      <c r="E137" s="173">
        <v>730000</v>
      </c>
      <c r="F137" s="173">
        <f>C137*E137</f>
        <v>11680000</v>
      </c>
    </row>
    <row r="138" spans="1:8" x14ac:dyDescent="0.25">
      <c r="A138" s="158" t="s">
        <v>50</v>
      </c>
      <c r="B138" s="158" t="s">
        <v>51</v>
      </c>
      <c r="C138" s="159" t="s">
        <v>11</v>
      </c>
      <c r="D138" s="159"/>
      <c r="E138" s="160"/>
      <c r="F138" s="161">
        <f>F139+F161+F180</f>
        <v>1565296000</v>
      </c>
    </row>
    <row r="139" spans="1:8" x14ac:dyDescent="0.25">
      <c r="A139" s="162" t="s">
        <v>12</v>
      </c>
      <c r="B139" s="162" t="s">
        <v>43</v>
      </c>
      <c r="C139" s="163"/>
      <c r="D139" s="163"/>
      <c r="E139" s="164"/>
      <c r="F139" s="165">
        <f>F140+F144+F149+F153+F157</f>
        <v>622508000</v>
      </c>
    </row>
    <row r="140" spans="1:8" x14ac:dyDescent="0.25">
      <c r="A140" s="166" t="s">
        <v>22</v>
      </c>
      <c r="B140" s="166" t="s">
        <v>23</v>
      </c>
      <c r="C140" s="168"/>
      <c r="D140" s="168"/>
      <c r="E140" s="169"/>
      <c r="F140" s="167">
        <f>SUM(F141:F143)</f>
        <v>143060000</v>
      </c>
      <c r="G140" s="183">
        <f>F140</f>
        <v>143060000</v>
      </c>
    </row>
    <row r="141" spans="1:8" ht="30" x14ac:dyDescent="0.25">
      <c r="A141" s="170"/>
      <c r="B141" s="171" t="s">
        <v>736</v>
      </c>
      <c r="C141" s="172">
        <v>1760</v>
      </c>
      <c r="D141" s="172" t="s">
        <v>296</v>
      </c>
      <c r="E141" s="173">
        <v>57000</v>
      </c>
      <c r="F141" s="173">
        <f>C141*E141</f>
        <v>100320000</v>
      </c>
    </row>
    <row r="142" spans="1:8" ht="30" x14ac:dyDescent="0.25">
      <c r="A142" s="170"/>
      <c r="B142" s="171" t="s">
        <v>737</v>
      </c>
      <c r="C142" s="172">
        <v>1760</v>
      </c>
      <c r="D142" s="172" t="s">
        <v>296</v>
      </c>
      <c r="E142" s="173">
        <v>24000</v>
      </c>
      <c r="F142" s="173">
        <f>C142*E142</f>
        <v>42240000</v>
      </c>
    </row>
    <row r="143" spans="1:8" ht="24" customHeight="1" x14ac:dyDescent="0.25">
      <c r="A143" s="170"/>
      <c r="B143" s="178" t="s">
        <v>344</v>
      </c>
      <c r="C143" s="172">
        <v>1</v>
      </c>
      <c r="D143" s="172" t="s">
        <v>298</v>
      </c>
      <c r="E143" s="173">
        <v>500000</v>
      </c>
      <c r="F143" s="173">
        <f t="shared" ref="F143" si="23">C143*E143</f>
        <v>500000</v>
      </c>
    </row>
    <row r="144" spans="1:8" x14ac:dyDescent="0.25">
      <c r="A144" s="166" t="s">
        <v>14</v>
      </c>
      <c r="B144" s="166" t="s">
        <v>15</v>
      </c>
      <c r="C144" s="168"/>
      <c r="D144" s="168"/>
      <c r="E144" s="169"/>
      <c r="F144" s="167">
        <f>SUM(F145:F148)</f>
        <v>15400000</v>
      </c>
      <c r="G144" s="183">
        <f>F144</f>
        <v>15400000</v>
      </c>
    </row>
    <row r="145" spans="1:8" ht="30" x14ac:dyDescent="0.25">
      <c r="A145" s="170"/>
      <c r="B145" s="176" t="s">
        <v>360</v>
      </c>
      <c r="C145" s="172">
        <v>4</v>
      </c>
      <c r="D145" s="172" t="s">
        <v>296</v>
      </c>
      <c r="E145" s="173">
        <v>450000</v>
      </c>
      <c r="F145" s="173">
        <f>C145*E145</f>
        <v>1800000</v>
      </c>
    </row>
    <row r="146" spans="1:8" ht="30" x14ac:dyDescent="0.25">
      <c r="A146" s="170"/>
      <c r="B146" s="176" t="s">
        <v>361</v>
      </c>
      <c r="C146" s="172">
        <v>4</v>
      </c>
      <c r="D146" s="172" t="s">
        <v>296</v>
      </c>
      <c r="E146" s="173">
        <v>400000</v>
      </c>
      <c r="F146" s="173">
        <f t="shared" ref="F146:F148" si="24">C146*E146</f>
        <v>1600000</v>
      </c>
    </row>
    <row r="147" spans="1:8" ht="30" x14ac:dyDescent="0.25">
      <c r="A147" s="170"/>
      <c r="B147" s="176" t="s">
        <v>362</v>
      </c>
      <c r="C147" s="172">
        <v>4</v>
      </c>
      <c r="D147" s="172" t="s">
        <v>296</v>
      </c>
      <c r="E147" s="173">
        <v>300000</v>
      </c>
      <c r="F147" s="173">
        <f t="shared" si="24"/>
        <v>1200000</v>
      </c>
    </row>
    <row r="148" spans="1:8" ht="30" x14ac:dyDescent="0.25">
      <c r="A148" s="170"/>
      <c r="B148" s="176" t="s">
        <v>363</v>
      </c>
      <c r="C148" s="172">
        <v>36</v>
      </c>
      <c r="D148" s="172" t="s">
        <v>296</v>
      </c>
      <c r="E148" s="173">
        <v>300000</v>
      </c>
      <c r="F148" s="173">
        <f t="shared" si="24"/>
        <v>10800000</v>
      </c>
    </row>
    <row r="149" spans="1:8" x14ac:dyDescent="0.25">
      <c r="A149" s="166" t="s">
        <v>16</v>
      </c>
      <c r="B149" s="166" t="s">
        <v>17</v>
      </c>
      <c r="C149" s="168"/>
      <c r="D149" s="168"/>
      <c r="E149" s="169"/>
      <c r="F149" s="167">
        <f>SUM(F150:F152)</f>
        <v>148000000</v>
      </c>
      <c r="G149" s="183">
        <f>F149</f>
        <v>148000000</v>
      </c>
    </row>
    <row r="150" spans="1:8" ht="30" x14ac:dyDescent="0.25">
      <c r="A150" s="170"/>
      <c r="B150" s="171" t="s">
        <v>738</v>
      </c>
      <c r="C150" s="172">
        <v>72</v>
      </c>
      <c r="D150" s="172" t="s">
        <v>297</v>
      </c>
      <c r="E150" s="173">
        <v>1000000</v>
      </c>
      <c r="F150" s="173">
        <f>C150*E150</f>
        <v>72000000</v>
      </c>
    </row>
    <row r="151" spans="1:8" ht="30" x14ac:dyDescent="0.25">
      <c r="A151" s="170"/>
      <c r="B151" s="171" t="s">
        <v>739</v>
      </c>
      <c r="C151" s="172">
        <v>72</v>
      </c>
      <c r="D151" s="172" t="s">
        <v>297</v>
      </c>
      <c r="E151" s="173">
        <v>900000</v>
      </c>
      <c r="F151" s="173">
        <f>C151*E151</f>
        <v>64800000</v>
      </c>
    </row>
    <row r="152" spans="1:8" x14ac:dyDescent="0.25">
      <c r="A152" s="170"/>
      <c r="B152" s="171" t="s">
        <v>740</v>
      </c>
      <c r="C152" s="172">
        <v>16</v>
      </c>
      <c r="D152" s="172" t="s">
        <v>347</v>
      </c>
      <c r="E152" s="173">
        <v>700000</v>
      </c>
      <c r="F152" s="173">
        <f t="shared" ref="F152" si="25">C152*E152</f>
        <v>11200000</v>
      </c>
    </row>
    <row r="153" spans="1:8" x14ac:dyDescent="0.25">
      <c r="A153" s="166" t="s">
        <v>28</v>
      </c>
      <c r="B153" s="166" t="s">
        <v>29</v>
      </c>
      <c r="C153" s="168"/>
      <c r="D153" s="168"/>
      <c r="E153" s="169"/>
      <c r="F153" s="167">
        <f>SUM(F154:F156)</f>
        <v>190368000</v>
      </c>
      <c r="H153" s="183">
        <f>F153</f>
        <v>190368000</v>
      </c>
    </row>
    <row r="154" spans="1:8" ht="30" x14ac:dyDescent="0.25">
      <c r="A154" s="170"/>
      <c r="B154" s="171" t="s">
        <v>741</v>
      </c>
      <c r="C154" s="172">
        <v>288</v>
      </c>
      <c r="D154" s="172" t="s">
        <v>301</v>
      </c>
      <c r="E154" s="173">
        <v>430000</v>
      </c>
      <c r="F154" s="173">
        <f>C154*E154</f>
        <v>123840000</v>
      </c>
    </row>
    <row r="155" spans="1:8" ht="30" x14ac:dyDescent="0.25">
      <c r="A155" s="170"/>
      <c r="B155" s="171" t="s">
        <v>742</v>
      </c>
      <c r="C155" s="172">
        <v>192</v>
      </c>
      <c r="D155" s="172" t="s">
        <v>296</v>
      </c>
      <c r="E155" s="173">
        <v>284000</v>
      </c>
      <c r="F155" s="173">
        <f t="shared" ref="F155" si="26">C155*E155</f>
        <v>54528000</v>
      </c>
    </row>
    <row r="156" spans="1:8" x14ac:dyDescent="0.25">
      <c r="A156" s="170"/>
      <c r="B156" s="171" t="s">
        <v>692</v>
      </c>
      <c r="C156" s="172">
        <v>32</v>
      </c>
      <c r="D156" s="172" t="s">
        <v>296</v>
      </c>
      <c r="E156" s="173">
        <v>375000</v>
      </c>
      <c r="F156" s="173">
        <f>C156*E156</f>
        <v>12000000</v>
      </c>
    </row>
    <row r="157" spans="1:8" x14ac:dyDescent="0.25">
      <c r="A157" s="166" t="s">
        <v>18</v>
      </c>
      <c r="B157" s="166" t="s">
        <v>19</v>
      </c>
      <c r="C157" s="168"/>
      <c r="D157" s="168"/>
      <c r="E157" s="169"/>
      <c r="F157" s="167">
        <f>SUM(F158:F160)</f>
        <v>125680000</v>
      </c>
      <c r="H157" s="183">
        <f>F157</f>
        <v>125680000</v>
      </c>
    </row>
    <row r="158" spans="1:8" ht="30" x14ac:dyDescent="0.25">
      <c r="A158" s="170"/>
      <c r="B158" s="171" t="s">
        <v>693</v>
      </c>
      <c r="C158" s="172">
        <v>300</v>
      </c>
      <c r="D158" s="172" t="s">
        <v>301</v>
      </c>
      <c r="E158" s="173">
        <v>210000</v>
      </c>
      <c r="F158" s="173">
        <f>C158*E158</f>
        <v>63000000</v>
      </c>
    </row>
    <row r="159" spans="1:8" ht="30" x14ac:dyDescent="0.25">
      <c r="A159" s="170"/>
      <c r="B159" s="171" t="s">
        <v>694</v>
      </c>
      <c r="C159" s="172">
        <v>300</v>
      </c>
      <c r="D159" s="172" t="s">
        <v>296</v>
      </c>
      <c r="E159" s="173">
        <v>170000</v>
      </c>
      <c r="F159" s="173">
        <f>C159*E159</f>
        <v>51000000</v>
      </c>
    </row>
    <row r="160" spans="1:8" x14ac:dyDescent="0.25">
      <c r="A160" s="170"/>
      <c r="B160" s="171" t="s">
        <v>702</v>
      </c>
      <c r="C160" s="172">
        <v>16</v>
      </c>
      <c r="D160" s="172" t="s">
        <v>296</v>
      </c>
      <c r="E160" s="173">
        <v>730000</v>
      </c>
      <c r="F160" s="173">
        <f>C160*E160</f>
        <v>11680000</v>
      </c>
    </row>
    <row r="161" spans="1:8" x14ac:dyDescent="0.25">
      <c r="A161" s="162" t="s">
        <v>26</v>
      </c>
      <c r="B161" s="162" t="s">
        <v>52</v>
      </c>
      <c r="C161" s="163"/>
      <c r="D161" s="163"/>
      <c r="E161" s="164"/>
      <c r="F161" s="165">
        <f>F162+F166+F170+F176</f>
        <v>320280000</v>
      </c>
    </row>
    <row r="162" spans="1:8" x14ac:dyDescent="0.25">
      <c r="A162" s="166" t="s">
        <v>22</v>
      </c>
      <c r="B162" s="166" t="s">
        <v>23</v>
      </c>
      <c r="C162" s="168"/>
      <c r="D162" s="168"/>
      <c r="E162" s="169"/>
      <c r="F162" s="167">
        <f>SUM(F163:F165)</f>
        <v>37400000</v>
      </c>
      <c r="G162" s="183">
        <f>F162</f>
        <v>37400000</v>
      </c>
    </row>
    <row r="163" spans="1:8" x14ac:dyDescent="0.25">
      <c r="A163" s="170"/>
      <c r="B163" s="171" t="s">
        <v>774</v>
      </c>
      <c r="C163" s="230">
        <v>400</v>
      </c>
      <c r="D163" s="172" t="s">
        <v>296</v>
      </c>
      <c r="E163" s="173">
        <v>57000</v>
      </c>
      <c r="F163" s="173">
        <f>C163*E163</f>
        <v>22800000</v>
      </c>
    </row>
    <row r="164" spans="1:8" x14ac:dyDescent="0.25">
      <c r="A164" s="170"/>
      <c r="B164" s="171" t="s">
        <v>775</v>
      </c>
      <c r="C164" s="230">
        <v>400</v>
      </c>
      <c r="D164" s="172" t="s">
        <v>296</v>
      </c>
      <c r="E164" s="173">
        <v>24000</v>
      </c>
      <c r="F164" s="173">
        <f>C164*E164</f>
        <v>9600000</v>
      </c>
    </row>
    <row r="165" spans="1:8" x14ac:dyDescent="0.25">
      <c r="A165" s="170"/>
      <c r="B165" s="178" t="s">
        <v>721</v>
      </c>
      <c r="C165" s="172">
        <v>5</v>
      </c>
      <c r="D165" s="172" t="s">
        <v>330</v>
      </c>
      <c r="E165" s="173">
        <v>1000000</v>
      </c>
      <c r="F165" s="173">
        <f t="shared" ref="F165" si="27">C165*E165</f>
        <v>5000000</v>
      </c>
    </row>
    <row r="166" spans="1:8" x14ac:dyDescent="0.25">
      <c r="A166" s="166" t="s">
        <v>16</v>
      </c>
      <c r="B166" s="166" t="s">
        <v>17</v>
      </c>
      <c r="C166" s="168"/>
      <c r="D166" s="168"/>
      <c r="E166" s="169"/>
      <c r="F166" s="167">
        <f>SUM(F167:F169)</f>
        <v>9500000</v>
      </c>
      <c r="G166" s="183">
        <f>F166</f>
        <v>9500000</v>
      </c>
    </row>
    <row r="167" spans="1:8" ht="30" x14ac:dyDescent="0.25">
      <c r="A167" s="170"/>
      <c r="B167" s="171" t="s">
        <v>688</v>
      </c>
      <c r="C167" s="230">
        <v>5</v>
      </c>
      <c r="D167" s="172" t="s">
        <v>297</v>
      </c>
      <c r="E167" s="173">
        <v>1000000</v>
      </c>
      <c r="F167" s="173">
        <f>C167*E167</f>
        <v>5000000</v>
      </c>
    </row>
    <row r="168" spans="1:8" ht="30" x14ac:dyDescent="0.25">
      <c r="A168" s="170"/>
      <c r="B168" s="171" t="s">
        <v>722</v>
      </c>
      <c r="C168" s="230">
        <v>5</v>
      </c>
      <c r="D168" s="172" t="s">
        <v>297</v>
      </c>
      <c r="E168" s="173">
        <v>900000</v>
      </c>
      <c r="F168" s="173">
        <f>C168*E168</f>
        <v>4500000</v>
      </c>
    </row>
    <row r="169" spans="1:8" x14ac:dyDescent="0.25">
      <c r="A169" s="170"/>
      <c r="B169" s="171" t="s">
        <v>689</v>
      </c>
      <c r="C169" s="230">
        <v>0</v>
      </c>
      <c r="D169" s="172" t="s">
        <v>347</v>
      </c>
      <c r="E169" s="173">
        <v>700000</v>
      </c>
      <c r="F169" s="173">
        <f t="shared" ref="F169" si="28">C169*E169</f>
        <v>0</v>
      </c>
    </row>
    <row r="170" spans="1:8" x14ac:dyDescent="0.25">
      <c r="A170" s="166" t="s">
        <v>28</v>
      </c>
      <c r="B170" s="166" t="s">
        <v>29</v>
      </c>
      <c r="C170" s="168"/>
      <c r="D170" s="168"/>
      <c r="E170" s="169"/>
      <c r="F170" s="167">
        <f>SUM(F171:F175)</f>
        <v>220480000</v>
      </c>
      <c r="G170" s="183"/>
      <c r="H170" s="183">
        <f>F170</f>
        <v>220480000</v>
      </c>
    </row>
    <row r="171" spans="1:8" x14ac:dyDescent="0.25">
      <c r="A171" s="170"/>
      <c r="B171" s="171" t="s">
        <v>769</v>
      </c>
      <c r="C171" s="172">
        <v>120</v>
      </c>
      <c r="D171" s="172" t="s">
        <v>301</v>
      </c>
      <c r="E171" s="173">
        <v>430000</v>
      </c>
      <c r="F171" s="173">
        <f>C171*E171</f>
        <v>51600000</v>
      </c>
    </row>
    <row r="172" spans="1:8" s="138" customFormat="1" ht="30" x14ac:dyDescent="0.25">
      <c r="A172" s="170"/>
      <c r="B172" s="171" t="s">
        <v>770</v>
      </c>
      <c r="C172" s="172">
        <v>120</v>
      </c>
      <c r="D172" s="172" t="s">
        <v>296</v>
      </c>
      <c r="E172" s="173">
        <v>284000</v>
      </c>
      <c r="F172" s="173">
        <f t="shared" ref="F172:F174" si="29">C172*E172</f>
        <v>34080000</v>
      </c>
    </row>
    <row r="173" spans="1:8" s="138" customFormat="1" x14ac:dyDescent="0.25">
      <c r="A173" s="170"/>
      <c r="B173" s="171" t="s">
        <v>771</v>
      </c>
      <c r="C173" s="172">
        <v>30</v>
      </c>
      <c r="D173" s="172" t="s">
        <v>296</v>
      </c>
      <c r="E173" s="173">
        <v>2500000</v>
      </c>
      <c r="F173" s="173">
        <f t="shared" si="29"/>
        <v>75000000</v>
      </c>
    </row>
    <row r="174" spans="1:8" s="138" customFormat="1" ht="30" x14ac:dyDescent="0.25">
      <c r="A174" s="170"/>
      <c r="B174" s="171" t="s">
        <v>723</v>
      </c>
      <c r="C174" s="172">
        <v>80</v>
      </c>
      <c r="D174" s="172" t="s">
        <v>296</v>
      </c>
      <c r="E174" s="173">
        <v>200000</v>
      </c>
      <c r="F174" s="173">
        <f t="shared" si="29"/>
        <v>16000000</v>
      </c>
    </row>
    <row r="175" spans="1:8" s="138" customFormat="1" x14ac:dyDescent="0.25">
      <c r="A175" s="170"/>
      <c r="B175" s="171" t="s">
        <v>772</v>
      </c>
      <c r="C175" s="172">
        <v>60</v>
      </c>
      <c r="D175" s="172" t="s">
        <v>296</v>
      </c>
      <c r="E175" s="173">
        <v>730000</v>
      </c>
      <c r="F175" s="173">
        <f>C175*E175</f>
        <v>43800000</v>
      </c>
    </row>
    <row r="176" spans="1:8" s="138" customFormat="1" x14ac:dyDescent="0.25">
      <c r="A176" s="166" t="s">
        <v>18</v>
      </c>
      <c r="B176" s="166" t="s">
        <v>19</v>
      </c>
      <c r="C176" s="168"/>
      <c r="D176" s="168"/>
      <c r="E176" s="169"/>
      <c r="F176" s="167">
        <f>SUM(F177:F179)</f>
        <v>52900000</v>
      </c>
      <c r="H176" s="183">
        <f>F176</f>
        <v>52900000</v>
      </c>
    </row>
    <row r="177" spans="1:7" s="138" customFormat="1" ht="30" x14ac:dyDescent="0.25">
      <c r="A177" s="170"/>
      <c r="B177" s="171" t="s">
        <v>724</v>
      </c>
      <c r="C177" s="230">
        <v>120</v>
      </c>
      <c r="D177" s="172" t="s">
        <v>296</v>
      </c>
      <c r="E177" s="173">
        <v>170000</v>
      </c>
      <c r="F177" s="173">
        <f>C177*E177</f>
        <v>20400000</v>
      </c>
    </row>
    <row r="178" spans="1:7" s="138" customFormat="1" ht="30" x14ac:dyDescent="0.25">
      <c r="A178" s="170"/>
      <c r="B178" s="171" t="s">
        <v>725</v>
      </c>
      <c r="C178" s="230">
        <v>120</v>
      </c>
      <c r="D178" s="172" t="s">
        <v>301</v>
      </c>
      <c r="E178" s="173">
        <v>210000</v>
      </c>
      <c r="F178" s="173">
        <f>C178*E178</f>
        <v>25200000</v>
      </c>
    </row>
    <row r="179" spans="1:7" s="138" customFormat="1" x14ac:dyDescent="0.25">
      <c r="A179" s="170"/>
      <c r="B179" s="171" t="s">
        <v>640</v>
      </c>
      <c r="C179" s="230">
        <v>10</v>
      </c>
      <c r="D179" s="172" t="s">
        <v>296</v>
      </c>
      <c r="E179" s="173">
        <v>730000</v>
      </c>
      <c r="F179" s="173">
        <f>C179*E179</f>
        <v>7300000</v>
      </c>
    </row>
    <row r="180" spans="1:7" x14ac:dyDescent="0.25">
      <c r="A180" s="162" t="s">
        <v>32</v>
      </c>
      <c r="B180" s="162" t="s">
        <v>53</v>
      </c>
      <c r="C180" s="163"/>
      <c r="D180" s="163"/>
      <c r="E180" s="164"/>
      <c r="F180" s="165">
        <f>F181+F185+F190+F194+F198</f>
        <v>622508000</v>
      </c>
    </row>
    <row r="181" spans="1:7" x14ac:dyDescent="0.25">
      <c r="A181" s="166" t="s">
        <v>22</v>
      </c>
      <c r="B181" s="166" t="s">
        <v>23</v>
      </c>
      <c r="C181" s="168"/>
      <c r="D181" s="168"/>
      <c r="E181" s="169"/>
      <c r="F181" s="167">
        <f>SUM(F182:F184)</f>
        <v>143060000</v>
      </c>
      <c r="G181" s="183">
        <f>F181</f>
        <v>143060000</v>
      </c>
    </row>
    <row r="182" spans="1:7" ht="30" x14ac:dyDescent="0.25">
      <c r="A182" s="170"/>
      <c r="B182" s="171" t="s">
        <v>736</v>
      </c>
      <c r="C182" s="172">
        <v>1760</v>
      </c>
      <c r="D182" s="172" t="s">
        <v>296</v>
      </c>
      <c r="E182" s="173">
        <v>57000</v>
      </c>
      <c r="F182" s="173">
        <f>C182*E182</f>
        <v>100320000</v>
      </c>
    </row>
    <row r="183" spans="1:7" ht="30" x14ac:dyDescent="0.25">
      <c r="A183" s="170"/>
      <c r="B183" s="171" t="s">
        <v>737</v>
      </c>
      <c r="C183" s="172">
        <v>1760</v>
      </c>
      <c r="D183" s="172" t="s">
        <v>296</v>
      </c>
      <c r="E183" s="173">
        <v>24000</v>
      </c>
      <c r="F183" s="173">
        <f>C183*E183</f>
        <v>42240000</v>
      </c>
    </row>
    <row r="184" spans="1:7" ht="25.5" customHeight="1" x14ac:dyDescent="0.25">
      <c r="A184" s="170"/>
      <c r="B184" s="178" t="s">
        <v>344</v>
      </c>
      <c r="C184" s="172">
        <v>1</v>
      </c>
      <c r="D184" s="172" t="s">
        <v>298</v>
      </c>
      <c r="E184" s="173">
        <v>500000</v>
      </c>
      <c r="F184" s="173">
        <f t="shared" ref="F184" si="30">C184*E184</f>
        <v>500000</v>
      </c>
    </row>
    <row r="185" spans="1:7" x14ac:dyDescent="0.25">
      <c r="A185" s="166" t="s">
        <v>14</v>
      </c>
      <c r="B185" s="166" t="s">
        <v>15</v>
      </c>
      <c r="C185" s="168"/>
      <c r="D185" s="168"/>
      <c r="E185" s="169"/>
      <c r="F185" s="167">
        <f>SUM(F186:F189)</f>
        <v>15400000</v>
      </c>
      <c r="G185" s="183">
        <f>F185</f>
        <v>15400000</v>
      </c>
    </row>
    <row r="186" spans="1:7" ht="30" x14ac:dyDescent="0.25">
      <c r="A186" s="170"/>
      <c r="B186" s="176" t="s">
        <v>360</v>
      </c>
      <c r="C186" s="172">
        <v>4</v>
      </c>
      <c r="D186" s="172" t="s">
        <v>296</v>
      </c>
      <c r="E186" s="173">
        <v>450000</v>
      </c>
      <c r="F186" s="173">
        <f>C186*E186</f>
        <v>1800000</v>
      </c>
    </row>
    <row r="187" spans="1:7" ht="30" x14ac:dyDescent="0.25">
      <c r="A187" s="170"/>
      <c r="B187" s="176" t="s">
        <v>361</v>
      </c>
      <c r="C187" s="172">
        <v>4</v>
      </c>
      <c r="D187" s="172" t="s">
        <v>296</v>
      </c>
      <c r="E187" s="173">
        <v>400000</v>
      </c>
      <c r="F187" s="173">
        <f t="shared" ref="F187:F189" si="31">C187*E187</f>
        <v>1600000</v>
      </c>
    </row>
    <row r="188" spans="1:7" ht="30" x14ac:dyDescent="0.25">
      <c r="A188" s="170"/>
      <c r="B188" s="176" t="s">
        <v>362</v>
      </c>
      <c r="C188" s="172">
        <v>4</v>
      </c>
      <c r="D188" s="172" t="s">
        <v>296</v>
      </c>
      <c r="E188" s="173">
        <v>300000</v>
      </c>
      <c r="F188" s="173">
        <f t="shared" si="31"/>
        <v>1200000</v>
      </c>
    </row>
    <row r="189" spans="1:7" ht="30" x14ac:dyDescent="0.25">
      <c r="A189" s="170"/>
      <c r="B189" s="176" t="s">
        <v>363</v>
      </c>
      <c r="C189" s="172">
        <v>36</v>
      </c>
      <c r="D189" s="172" t="s">
        <v>296</v>
      </c>
      <c r="E189" s="173">
        <v>300000</v>
      </c>
      <c r="F189" s="173">
        <f t="shared" si="31"/>
        <v>10800000</v>
      </c>
    </row>
    <row r="190" spans="1:7" x14ac:dyDescent="0.25">
      <c r="A190" s="166" t="s">
        <v>16</v>
      </c>
      <c r="B190" s="166" t="s">
        <v>17</v>
      </c>
      <c r="C190" s="168"/>
      <c r="D190" s="168"/>
      <c r="E190" s="169"/>
      <c r="F190" s="167">
        <f>SUM(F191:F193)</f>
        <v>148000000</v>
      </c>
      <c r="G190" s="183">
        <f>F190</f>
        <v>148000000</v>
      </c>
    </row>
    <row r="191" spans="1:7" ht="30" x14ac:dyDescent="0.25">
      <c r="A191" s="170"/>
      <c r="B191" s="171" t="s">
        <v>738</v>
      </c>
      <c r="C191" s="172">
        <v>72</v>
      </c>
      <c r="D191" s="172" t="s">
        <v>297</v>
      </c>
      <c r="E191" s="173">
        <v>1000000</v>
      </c>
      <c r="F191" s="173">
        <f>C191*E191</f>
        <v>72000000</v>
      </c>
    </row>
    <row r="192" spans="1:7" ht="30" x14ac:dyDescent="0.25">
      <c r="A192" s="170"/>
      <c r="B192" s="171" t="s">
        <v>739</v>
      </c>
      <c r="C192" s="172">
        <v>72</v>
      </c>
      <c r="D192" s="172" t="s">
        <v>297</v>
      </c>
      <c r="E192" s="173">
        <v>900000</v>
      </c>
      <c r="F192" s="173">
        <f>C192*E192</f>
        <v>64800000</v>
      </c>
    </row>
    <row r="193" spans="1:8" x14ac:dyDescent="0.25">
      <c r="A193" s="170"/>
      <c r="B193" s="171" t="s">
        <v>740</v>
      </c>
      <c r="C193" s="172">
        <v>16</v>
      </c>
      <c r="D193" s="172" t="s">
        <v>347</v>
      </c>
      <c r="E193" s="173">
        <v>700000</v>
      </c>
      <c r="F193" s="173">
        <f t="shared" ref="F193" si="32">C193*E193</f>
        <v>11200000</v>
      </c>
    </row>
    <row r="194" spans="1:8" x14ac:dyDescent="0.25">
      <c r="A194" s="166" t="s">
        <v>28</v>
      </c>
      <c r="B194" s="166" t="s">
        <v>29</v>
      </c>
      <c r="C194" s="168"/>
      <c r="D194" s="168"/>
      <c r="E194" s="169"/>
      <c r="F194" s="167">
        <f>SUM(F195:F197)</f>
        <v>190368000</v>
      </c>
      <c r="H194" s="183">
        <f>F194</f>
        <v>190368000</v>
      </c>
    </row>
    <row r="195" spans="1:8" ht="30" x14ac:dyDescent="0.25">
      <c r="A195" s="170"/>
      <c r="B195" s="171" t="s">
        <v>741</v>
      </c>
      <c r="C195" s="172">
        <v>288</v>
      </c>
      <c r="D195" s="172" t="s">
        <v>301</v>
      </c>
      <c r="E195" s="173">
        <v>430000</v>
      </c>
      <c r="F195" s="173">
        <f>C195*E195</f>
        <v>123840000</v>
      </c>
    </row>
    <row r="196" spans="1:8" ht="30" x14ac:dyDescent="0.25">
      <c r="A196" s="170"/>
      <c r="B196" s="171" t="s">
        <v>742</v>
      </c>
      <c r="C196" s="172">
        <v>192</v>
      </c>
      <c r="D196" s="172" t="s">
        <v>296</v>
      </c>
      <c r="E196" s="173">
        <v>284000</v>
      </c>
      <c r="F196" s="173">
        <f t="shared" ref="F196" si="33">C196*E196</f>
        <v>54528000</v>
      </c>
    </row>
    <row r="197" spans="1:8" x14ac:dyDescent="0.25">
      <c r="A197" s="170"/>
      <c r="B197" s="171" t="s">
        <v>692</v>
      </c>
      <c r="C197" s="172">
        <v>32</v>
      </c>
      <c r="D197" s="172" t="s">
        <v>296</v>
      </c>
      <c r="E197" s="173">
        <v>375000</v>
      </c>
      <c r="F197" s="173">
        <f>C197*E197</f>
        <v>12000000</v>
      </c>
    </row>
    <row r="198" spans="1:8" x14ac:dyDescent="0.25">
      <c r="A198" s="166" t="s">
        <v>18</v>
      </c>
      <c r="B198" s="166" t="s">
        <v>19</v>
      </c>
      <c r="C198" s="168"/>
      <c r="D198" s="168"/>
      <c r="E198" s="169"/>
      <c r="F198" s="167">
        <f>SUM(F199:F201)</f>
        <v>125680000</v>
      </c>
      <c r="H198" s="183">
        <f>F198</f>
        <v>125680000</v>
      </c>
    </row>
    <row r="199" spans="1:8" ht="30" x14ac:dyDescent="0.25">
      <c r="A199" s="170"/>
      <c r="B199" s="171" t="s">
        <v>693</v>
      </c>
      <c r="C199" s="172">
        <v>300</v>
      </c>
      <c r="D199" s="172" t="s">
        <v>301</v>
      </c>
      <c r="E199" s="173">
        <v>210000</v>
      </c>
      <c r="F199" s="173">
        <f>C199*E199</f>
        <v>63000000</v>
      </c>
    </row>
    <row r="200" spans="1:8" ht="30" x14ac:dyDescent="0.25">
      <c r="A200" s="170"/>
      <c r="B200" s="171" t="s">
        <v>694</v>
      </c>
      <c r="C200" s="172">
        <v>300</v>
      </c>
      <c r="D200" s="172" t="s">
        <v>296</v>
      </c>
      <c r="E200" s="173">
        <v>170000</v>
      </c>
      <c r="F200" s="173">
        <f>C200*E200</f>
        <v>51000000</v>
      </c>
    </row>
    <row r="201" spans="1:8" x14ac:dyDescent="0.25">
      <c r="A201" s="170"/>
      <c r="B201" s="171" t="s">
        <v>702</v>
      </c>
      <c r="C201" s="172">
        <v>16</v>
      </c>
      <c r="D201" s="172" t="s">
        <v>296</v>
      </c>
      <c r="E201" s="173">
        <v>730000</v>
      </c>
      <c r="F201" s="173">
        <f>C201*E201</f>
        <v>11680000</v>
      </c>
    </row>
    <row r="202" spans="1:8" ht="30" x14ac:dyDescent="0.25">
      <c r="A202" s="154" t="s">
        <v>675</v>
      </c>
      <c r="B202" s="154" t="s">
        <v>55</v>
      </c>
      <c r="C202" s="155" t="s">
        <v>56</v>
      </c>
      <c r="D202" s="155" t="s">
        <v>295</v>
      </c>
      <c r="E202" s="156"/>
      <c r="F202" s="157">
        <f>F203</f>
        <v>260520000</v>
      </c>
    </row>
    <row r="203" spans="1:8" x14ac:dyDescent="0.25">
      <c r="A203" s="158" t="s">
        <v>9</v>
      </c>
      <c r="B203" s="158" t="s">
        <v>57</v>
      </c>
      <c r="C203" s="159" t="s">
        <v>11</v>
      </c>
      <c r="D203" s="159"/>
      <c r="E203" s="160"/>
      <c r="F203" s="161">
        <f>F204+F215+F232</f>
        <v>260520000</v>
      </c>
    </row>
    <row r="204" spans="1:8" ht="30" x14ac:dyDescent="0.25">
      <c r="A204" s="162" t="s">
        <v>12</v>
      </c>
      <c r="B204" s="162" t="s">
        <v>726</v>
      </c>
      <c r="C204" s="163"/>
      <c r="D204" s="163"/>
      <c r="E204" s="164"/>
      <c r="F204" s="165">
        <f>F205+F209+F212</f>
        <v>92602000</v>
      </c>
    </row>
    <row r="205" spans="1:8" x14ac:dyDescent="0.25">
      <c r="A205" s="166" t="s">
        <v>22</v>
      </c>
      <c r="B205" s="166" t="s">
        <v>23</v>
      </c>
      <c r="C205" s="168"/>
      <c r="D205" s="168"/>
      <c r="E205" s="169"/>
      <c r="F205" s="167">
        <f>SUM(F206:F208)</f>
        <v>16022000</v>
      </c>
      <c r="G205" s="183">
        <f>F205</f>
        <v>16022000</v>
      </c>
    </row>
    <row r="206" spans="1:8" x14ac:dyDescent="0.25">
      <c r="A206" s="170"/>
      <c r="B206" s="171" t="s">
        <v>763</v>
      </c>
      <c r="C206" s="172">
        <v>150</v>
      </c>
      <c r="D206" s="172" t="s">
        <v>296</v>
      </c>
      <c r="E206" s="173">
        <v>57000</v>
      </c>
      <c r="F206" s="173">
        <f>C206*E206</f>
        <v>8550000</v>
      </c>
    </row>
    <row r="207" spans="1:8" x14ac:dyDescent="0.25">
      <c r="A207" s="170"/>
      <c r="B207" s="171" t="s">
        <v>764</v>
      </c>
      <c r="C207" s="172">
        <v>300</v>
      </c>
      <c r="D207" s="172" t="s">
        <v>296</v>
      </c>
      <c r="E207" s="173">
        <v>24000</v>
      </c>
      <c r="F207" s="173">
        <f>C207*E207</f>
        <v>7200000</v>
      </c>
    </row>
    <row r="208" spans="1:8" x14ac:dyDescent="0.25">
      <c r="A208" s="170"/>
      <c r="B208" s="178" t="s">
        <v>394</v>
      </c>
      <c r="C208" s="172">
        <v>1</v>
      </c>
      <c r="D208" s="172" t="s">
        <v>303</v>
      </c>
      <c r="E208" s="173">
        <v>272000</v>
      </c>
      <c r="F208" s="173">
        <f>C208*E208</f>
        <v>272000</v>
      </c>
    </row>
    <row r="209" spans="1:8" x14ac:dyDescent="0.25">
      <c r="A209" s="166" t="s">
        <v>28</v>
      </c>
      <c r="B209" s="166" t="s">
        <v>29</v>
      </c>
      <c r="C209" s="168"/>
      <c r="D209" s="168"/>
      <c r="E209" s="169"/>
      <c r="F209" s="167">
        <f>SUM(F210:F211)</f>
        <v>49980000</v>
      </c>
      <c r="G209" s="183">
        <f>F209</f>
        <v>49980000</v>
      </c>
    </row>
    <row r="210" spans="1:8" ht="30" x14ac:dyDescent="0.25">
      <c r="A210" s="170"/>
      <c r="B210" s="171" t="s">
        <v>765</v>
      </c>
      <c r="C210" s="172">
        <v>70</v>
      </c>
      <c r="D210" s="172" t="s">
        <v>301</v>
      </c>
      <c r="E210" s="173">
        <v>430000</v>
      </c>
      <c r="F210" s="173">
        <f>C210*E210</f>
        <v>30100000</v>
      </c>
    </row>
    <row r="211" spans="1:8" ht="30" x14ac:dyDescent="0.25">
      <c r="A211" s="170"/>
      <c r="B211" s="171" t="s">
        <v>766</v>
      </c>
      <c r="C211" s="172">
        <v>70</v>
      </c>
      <c r="D211" s="172" t="s">
        <v>296</v>
      </c>
      <c r="E211" s="173">
        <v>284000</v>
      </c>
      <c r="F211" s="173">
        <f t="shared" ref="F211" si="34">C211*E211</f>
        <v>19880000</v>
      </c>
    </row>
    <row r="212" spans="1:8" x14ac:dyDescent="0.25">
      <c r="A212" s="166" t="s">
        <v>18</v>
      </c>
      <c r="B212" s="166" t="s">
        <v>19</v>
      </c>
      <c r="C212" s="168"/>
      <c r="D212" s="168"/>
      <c r="E212" s="169"/>
      <c r="F212" s="167">
        <f>SUM(F213:F214)</f>
        <v>26600000</v>
      </c>
      <c r="H212" s="183">
        <f>F212</f>
        <v>26600000</v>
      </c>
    </row>
    <row r="213" spans="1:8" ht="30" x14ac:dyDescent="0.25">
      <c r="A213" s="170"/>
      <c r="B213" s="171" t="s">
        <v>767</v>
      </c>
      <c r="C213" s="172">
        <v>70</v>
      </c>
      <c r="D213" s="172" t="s">
        <v>301</v>
      </c>
      <c r="E213" s="173">
        <v>210000</v>
      </c>
      <c r="F213" s="173">
        <f>C213*E213</f>
        <v>14700000</v>
      </c>
    </row>
    <row r="214" spans="1:8" ht="30" x14ac:dyDescent="0.25">
      <c r="A214" s="170"/>
      <c r="B214" s="171" t="s">
        <v>768</v>
      </c>
      <c r="C214" s="172">
        <v>70</v>
      </c>
      <c r="D214" s="172" t="s">
        <v>296</v>
      </c>
      <c r="E214" s="173">
        <v>170000</v>
      </c>
      <c r="F214" s="173">
        <f>C214*E214</f>
        <v>11900000</v>
      </c>
    </row>
    <row r="215" spans="1:8" x14ac:dyDescent="0.25">
      <c r="A215" s="162" t="s">
        <v>26</v>
      </c>
      <c r="B215" s="162" t="s">
        <v>60</v>
      </c>
      <c r="C215" s="163"/>
      <c r="D215" s="163"/>
      <c r="E215" s="164"/>
      <c r="F215" s="165">
        <f>F216+F220+F225+F228</f>
        <v>79298000</v>
      </c>
    </row>
    <row r="216" spans="1:8" x14ac:dyDescent="0.25">
      <c r="A216" s="166" t="s">
        <v>22</v>
      </c>
      <c r="B216" s="166" t="s">
        <v>23</v>
      </c>
      <c r="C216" s="168"/>
      <c r="D216" s="168"/>
      <c r="E216" s="169"/>
      <c r="F216" s="167">
        <f>SUM(F217:F219)</f>
        <v>8248000</v>
      </c>
      <c r="G216" s="183">
        <f>F216</f>
        <v>8248000</v>
      </c>
    </row>
    <row r="217" spans="1:8" x14ac:dyDescent="0.25">
      <c r="A217" s="170"/>
      <c r="B217" s="171" t="s">
        <v>559</v>
      </c>
      <c r="C217" s="230">
        <v>100</v>
      </c>
      <c r="D217" s="172" t="s">
        <v>296</v>
      </c>
      <c r="E217" s="173">
        <v>57000</v>
      </c>
      <c r="F217" s="173">
        <f>C217*E217</f>
        <v>5700000</v>
      </c>
    </row>
    <row r="218" spans="1:8" x14ac:dyDescent="0.25">
      <c r="A218" s="170"/>
      <c r="B218" s="171" t="s">
        <v>560</v>
      </c>
      <c r="C218" s="230">
        <v>100</v>
      </c>
      <c r="D218" s="172" t="s">
        <v>296</v>
      </c>
      <c r="E218" s="173">
        <v>24000</v>
      </c>
      <c r="F218" s="173">
        <f>C218*E218</f>
        <v>2400000</v>
      </c>
    </row>
    <row r="219" spans="1:8" x14ac:dyDescent="0.25">
      <c r="A219" s="170"/>
      <c r="B219" s="178" t="s">
        <v>569</v>
      </c>
      <c r="C219" s="172">
        <v>1</v>
      </c>
      <c r="D219" s="172" t="s">
        <v>303</v>
      </c>
      <c r="E219" s="173">
        <f>358000-210000</f>
        <v>148000</v>
      </c>
      <c r="F219" s="173">
        <f>C219*E219</f>
        <v>148000</v>
      </c>
    </row>
    <row r="220" spans="1:8" x14ac:dyDescent="0.25">
      <c r="A220" s="166" t="s">
        <v>14</v>
      </c>
      <c r="B220" s="166" t="s">
        <v>15</v>
      </c>
      <c r="C220" s="168"/>
      <c r="D220" s="168"/>
      <c r="E220" s="169"/>
      <c r="F220" s="167">
        <f>SUM(F221:F224)</f>
        <v>13850000</v>
      </c>
      <c r="G220" s="183">
        <f>F220</f>
        <v>13850000</v>
      </c>
    </row>
    <row r="221" spans="1:8" ht="30" x14ac:dyDescent="0.25">
      <c r="A221" s="170"/>
      <c r="B221" s="176" t="s">
        <v>360</v>
      </c>
      <c r="C221" s="172">
        <v>1</v>
      </c>
      <c r="D221" s="172" t="s">
        <v>296</v>
      </c>
      <c r="E221" s="173">
        <v>450000</v>
      </c>
      <c r="F221" s="173">
        <f>C221*E221</f>
        <v>450000</v>
      </c>
    </row>
    <row r="222" spans="1:8" ht="30" x14ac:dyDescent="0.25">
      <c r="A222" s="170"/>
      <c r="B222" s="176" t="s">
        <v>361</v>
      </c>
      <c r="C222" s="172">
        <v>2</v>
      </c>
      <c r="D222" s="172" t="s">
        <v>296</v>
      </c>
      <c r="E222" s="173">
        <v>400000</v>
      </c>
      <c r="F222" s="173">
        <f t="shared" ref="F222:F224" si="35">C222*E222</f>
        <v>800000</v>
      </c>
    </row>
    <row r="223" spans="1:8" ht="30" x14ac:dyDescent="0.25">
      <c r="A223" s="170"/>
      <c r="B223" s="176" t="s">
        <v>362</v>
      </c>
      <c r="C223" s="172">
        <v>1</v>
      </c>
      <c r="D223" s="172" t="s">
        <v>296</v>
      </c>
      <c r="E223" s="173">
        <v>300000</v>
      </c>
      <c r="F223" s="173">
        <f t="shared" si="35"/>
        <v>300000</v>
      </c>
    </row>
    <row r="224" spans="1:8" ht="30" x14ac:dyDescent="0.25">
      <c r="A224" s="170"/>
      <c r="B224" s="176" t="s">
        <v>363</v>
      </c>
      <c r="C224" s="172">
        <v>41</v>
      </c>
      <c r="D224" s="172" t="s">
        <v>296</v>
      </c>
      <c r="E224" s="173">
        <v>300000</v>
      </c>
      <c r="F224" s="173">
        <f t="shared" si="35"/>
        <v>12300000</v>
      </c>
    </row>
    <row r="225" spans="1:8" x14ac:dyDescent="0.25">
      <c r="A225" s="166" t="s">
        <v>16</v>
      </c>
      <c r="B225" s="166" t="s">
        <v>17</v>
      </c>
      <c r="C225" s="168"/>
      <c r="D225" s="168"/>
      <c r="E225" s="169"/>
      <c r="F225" s="167">
        <f>SUM(F226:F227)</f>
        <v>7400000</v>
      </c>
      <c r="G225" s="183">
        <f>F225</f>
        <v>7400000</v>
      </c>
    </row>
    <row r="226" spans="1:8" ht="30" x14ac:dyDescent="0.25">
      <c r="A226" s="170"/>
      <c r="B226" s="171" t="s">
        <v>778</v>
      </c>
      <c r="C226" s="230">
        <v>6</v>
      </c>
      <c r="D226" s="172" t="s">
        <v>297</v>
      </c>
      <c r="E226" s="173">
        <v>1000000</v>
      </c>
      <c r="F226" s="173">
        <f>C226*E226</f>
        <v>6000000</v>
      </c>
    </row>
    <row r="227" spans="1:8" x14ac:dyDescent="0.25">
      <c r="A227" s="170"/>
      <c r="B227" s="171" t="s">
        <v>389</v>
      </c>
      <c r="C227" s="230">
        <v>2</v>
      </c>
      <c r="D227" s="172" t="s">
        <v>347</v>
      </c>
      <c r="E227" s="173">
        <v>700000</v>
      </c>
      <c r="F227" s="173">
        <f t="shared" ref="F227" si="36">C227*E227</f>
        <v>1400000</v>
      </c>
    </row>
    <row r="228" spans="1:8" x14ac:dyDescent="0.25">
      <c r="A228" s="166" t="s">
        <v>18</v>
      </c>
      <c r="B228" s="166" t="s">
        <v>19</v>
      </c>
      <c r="C228" s="168"/>
      <c r="D228" s="168"/>
      <c r="E228" s="169"/>
      <c r="F228" s="167">
        <f>SUM(F229:F231)</f>
        <v>49800000</v>
      </c>
      <c r="H228" s="183">
        <f>F228</f>
        <v>49800000</v>
      </c>
    </row>
    <row r="229" spans="1:8" ht="30" x14ac:dyDescent="0.25">
      <c r="A229" s="170"/>
      <c r="B229" s="171" t="s">
        <v>703</v>
      </c>
      <c r="C229" s="172">
        <v>140</v>
      </c>
      <c r="D229" s="172" t="s">
        <v>301</v>
      </c>
      <c r="E229" s="173">
        <v>210000</v>
      </c>
      <c r="F229" s="173">
        <f>C229*E229</f>
        <v>29400000</v>
      </c>
    </row>
    <row r="230" spans="1:8" ht="30" x14ac:dyDescent="0.25">
      <c r="A230" s="170"/>
      <c r="B230" s="171" t="s">
        <v>571</v>
      </c>
      <c r="C230" s="172">
        <v>120</v>
      </c>
      <c r="D230" s="172" t="s">
        <v>296</v>
      </c>
      <c r="E230" s="173">
        <v>170000</v>
      </c>
      <c r="F230" s="173">
        <f>C230*E230</f>
        <v>20400000</v>
      </c>
    </row>
    <row r="231" spans="1:8" x14ac:dyDescent="0.25">
      <c r="A231" s="170"/>
      <c r="B231" s="171" t="s">
        <v>566</v>
      </c>
      <c r="C231" s="230">
        <v>0</v>
      </c>
      <c r="D231" s="172" t="s">
        <v>296</v>
      </c>
      <c r="E231" s="173">
        <f>730000+15000</f>
        <v>745000</v>
      </c>
      <c r="F231" s="173">
        <f>C231*E231</f>
        <v>0</v>
      </c>
    </row>
    <row r="232" spans="1:8" x14ac:dyDescent="0.25">
      <c r="A232" s="162" t="s">
        <v>32</v>
      </c>
      <c r="B232" s="162" t="s">
        <v>64</v>
      </c>
      <c r="C232" s="163"/>
      <c r="D232" s="163"/>
      <c r="E232" s="164"/>
      <c r="F232" s="165">
        <f>F233+F237+F240</f>
        <v>88620000</v>
      </c>
    </row>
    <row r="233" spans="1:8" x14ac:dyDescent="0.25">
      <c r="A233" s="166" t="s">
        <v>22</v>
      </c>
      <c r="B233" s="166" t="s">
        <v>23</v>
      </c>
      <c r="C233" s="168"/>
      <c r="D233" s="168"/>
      <c r="E233" s="169"/>
      <c r="F233" s="167">
        <f>SUM(F234:F236)</f>
        <v>22980000</v>
      </c>
      <c r="G233" s="183">
        <f>F233</f>
        <v>22980000</v>
      </c>
    </row>
    <row r="234" spans="1:8" x14ac:dyDescent="0.25">
      <c r="A234" s="170"/>
      <c r="B234" s="171" t="s">
        <v>727</v>
      </c>
      <c r="C234" s="172">
        <v>280</v>
      </c>
      <c r="D234" s="172" t="s">
        <v>296</v>
      </c>
      <c r="E234" s="173">
        <v>57000</v>
      </c>
      <c r="F234" s="173">
        <f>C234*E234</f>
        <v>15960000</v>
      </c>
    </row>
    <row r="235" spans="1:8" x14ac:dyDescent="0.25">
      <c r="A235" s="170"/>
      <c r="B235" s="171" t="s">
        <v>728</v>
      </c>
      <c r="C235" s="172">
        <v>280</v>
      </c>
      <c r="D235" s="172" t="s">
        <v>296</v>
      </c>
      <c r="E235" s="173">
        <v>24000</v>
      </c>
      <c r="F235" s="173">
        <f>C235*E235</f>
        <v>6720000</v>
      </c>
    </row>
    <row r="236" spans="1:8" x14ac:dyDescent="0.25">
      <c r="A236" s="170"/>
      <c r="B236" s="178" t="s">
        <v>394</v>
      </c>
      <c r="C236" s="172">
        <v>1</v>
      </c>
      <c r="D236" s="172" t="s">
        <v>303</v>
      </c>
      <c r="E236" s="173">
        <v>300000</v>
      </c>
      <c r="F236" s="173">
        <f>C236*E236</f>
        <v>300000</v>
      </c>
    </row>
    <row r="237" spans="1:8" x14ac:dyDescent="0.25">
      <c r="A237" s="166" t="s">
        <v>28</v>
      </c>
      <c r="B237" s="166" t="s">
        <v>29</v>
      </c>
      <c r="C237" s="168"/>
      <c r="D237" s="168"/>
      <c r="E237" s="169"/>
      <c r="F237" s="167">
        <f>SUM(F238:F239)</f>
        <v>42840000</v>
      </c>
      <c r="H237" s="183">
        <f>F237</f>
        <v>42840000</v>
      </c>
    </row>
    <row r="238" spans="1:8" ht="30" x14ac:dyDescent="0.25">
      <c r="A238" s="170"/>
      <c r="B238" s="171" t="s">
        <v>704</v>
      </c>
      <c r="C238" s="172">
        <v>60</v>
      </c>
      <c r="D238" s="172" t="s">
        <v>301</v>
      </c>
      <c r="E238" s="173">
        <v>430000</v>
      </c>
      <c r="F238" s="173">
        <f>C238*E238</f>
        <v>25800000</v>
      </c>
    </row>
    <row r="239" spans="1:8" ht="30" x14ac:dyDescent="0.25">
      <c r="A239" s="170"/>
      <c r="B239" s="171" t="s">
        <v>556</v>
      </c>
      <c r="C239" s="172">
        <v>60</v>
      </c>
      <c r="D239" s="172" t="s">
        <v>296</v>
      </c>
      <c r="E239" s="173">
        <v>284000</v>
      </c>
      <c r="F239" s="173">
        <f t="shared" ref="F239" si="37">C239*E239</f>
        <v>17040000</v>
      </c>
    </row>
    <row r="240" spans="1:8" x14ac:dyDescent="0.25">
      <c r="A240" s="166" t="s">
        <v>18</v>
      </c>
      <c r="B240" s="166" t="s">
        <v>19</v>
      </c>
      <c r="C240" s="168"/>
      <c r="D240" s="168"/>
      <c r="E240" s="169"/>
      <c r="F240" s="167">
        <f>SUM(F241:F242)</f>
        <v>22800000</v>
      </c>
      <c r="H240" s="183">
        <f>F240</f>
        <v>22800000</v>
      </c>
    </row>
    <row r="241" spans="1:6" ht="30" x14ac:dyDescent="0.25">
      <c r="A241" s="170"/>
      <c r="B241" s="171" t="s">
        <v>409</v>
      </c>
      <c r="C241" s="172">
        <v>60</v>
      </c>
      <c r="D241" s="172" t="s">
        <v>301</v>
      </c>
      <c r="E241" s="173">
        <v>210000</v>
      </c>
      <c r="F241" s="173">
        <f>C241*E241</f>
        <v>12600000</v>
      </c>
    </row>
    <row r="242" spans="1:6" ht="30" x14ac:dyDescent="0.25">
      <c r="A242" s="170"/>
      <c r="B242" s="171" t="s">
        <v>410</v>
      </c>
      <c r="C242" s="172">
        <v>60</v>
      </c>
      <c r="D242" s="172" t="s">
        <v>296</v>
      </c>
      <c r="E242" s="173">
        <v>170000</v>
      </c>
      <c r="F242" s="173">
        <f>C242*E242</f>
        <v>10200000</v>
      </c>
    </row>
    <row r="243" spans="1:6" x14ac:dyDescent="0.25">
      <c r="A243" s="179" t="s">
        <v>661</v>
      </c>
      <c r="B243" s="179" t="s">
        <v>66</v>
      </c>
      <c r="C243" s="151" t="s">
        <v>708</v>
      </c>
      <c r="D243" s="151" t="s">
        <v>306</v>
      </c>
      <c r="E243" s="152"/>
      <c r="F243" s="153">
        <f>F245</f>
        <v>407858073000</v>
      </c>
    </row>
    <row r="244" spans="1:6" x14ac:dyDescent="0.25">
      <c r="A244" s="170"/>
      <c r="B244" s="180" t="s">
        <v>68</v>
      </c>
      <c r="C244" s="172"/>
      <c r="D244" s="172"/>
      <c r="E244" s="170"/>
      <c r="F244" s="170"/>
    </row>
    <row r="245" spans="1:6" x14ac:dyDescent="0.25">
      <c r="A245" s="154" t="s">
        <v>662</v>
      </c>
      <c r="B245" s="154" t="s">
        <v>70</v>
      </c>
      <c r="C245" s="155" t="s">
        <v>708</v>
      </c>
      <c r="D245" s="155" t="s">
        <v>306</v>
      </c>
      <c r="E245" s="156"/>
      <c r="F245" s="157">
        <f t="shared" ref="F245:F247" si="38">F246</f>
        <v>407858073000</v>
      </c>
    </row>
    <row r="246" spans="1:6" x14ac:dyDescent="0.25">
      <c r="A246" s="158" t="s">
        <v>71</v>
      </c>
      <c r="B246" s="158" t="s">
        <v>72</v>
      </c>
      <c r="C246" s="159" t="s">
        <v>11</v>
      </c>
      <c r="D246" s="159"/>
      <c r="E246" s="160"/>
      <c r="F246" s="161">
        <f t="shared" si="38"/>
        <v>407858073000</v>
      </c>
    </row>
    <row r="247" spans="1:6" x14ac:dyDescent="0.25">
      <c r="A247" s="162" t="s">
        <v>12</v>
      </c>
      <c r="B247" s="162" t="s">
        <v>73</v>
      </c>
      <c r="C247" s="163"/>
      <c r="D247" s="163"/>
      <c r="E247" s="164"/>
      <c r="F247" s="165">
        <f t="shared" si="38"/>
        <v>407858073000</v>
      </c>
    </row>
    <row r="248" spans="1:6" x14ac:dyDescent="0.25">
      <c r="A248" s="166" t="s">
        <v>74</v>
      </c>
      <c r="B248" s="166" t="s">
        <v>75</v>
      </c>
      <c r="C248" s="168"/>
      <c r="D248" s="168"/>
      <c r="E248" s="169"/>
      <c r="F248" s="167">
        <f>SUM(F249:F285)</f>
        <v>407858073000</v>
      </c>
    </row>
    <row r="249" spans="1:6" x14ac:dyDescent="0.25">
      <c r="A249" s="170"/>
      <c r="B249" s="171" t="s">
        <v>573</v>
      </c>
      <c r="C249" s="172">
        <v>4200</v>
      </c>
      <c r="D249" s="172" t="s">
        <v>299</v>
      </c>
      <c r="E249" s="173">
        <v>3200000</v>
      </c>
      <c r="F249" s="173">
        <f t="shared" ref="F249:F285" si="39">C249*E249</f>
        <v>13440000000</v>
      </c>
    </row>
    <row r="250" spans="1:6" x14ac:dyDescent="0.25">
      <c r="A250" s="170"/>
      <c r="B250" s="177" t="s">
        <v>174</v>
      </c>
      <c r="C250" s="172">
        <v>4488</v>
      </c>
      <c r="D250" s="172" t="s">
        <v>299</v>
      </c>
      <c r="E250" s="173">
        <v>3200000</v>
      </c>
      <c r="F250" s="173">
        <f t="shared" si="39"/>
        <v>14361600000</v>
      </c>
    </row>
    <row r="251" spans="1:6" x14ac:dyDescent="0.25">
      <c r="A251" s="170"/>
      <c r="B251" s="171" t="s">
        <v>635</v>
      </c>
      <c r="C251" s="172">
        <v>8964</v>
      </c>
      <c r="D251" s="172" t="s">
        <v>299</v>
      </c>
      <c r="E251" s="173">
        <v>3100000</v>
      </c>
      <c r="F251" s="173">
        <f t="shared" si="39"/>
        <v>27788400000</v>
      </c>
    </row>
    <row r="252" spans="1:6" x14ac:dyDescent="0.25">
      <c r="A252" s="170"/>
      <c r="B252" s="177" t="s">
        <v>176</v>
      </c>
      <c r="C252" s="172">
        <v>8964</v>
      </c>
      <c r="D252" s="172" t="s">
        <v>299</v>
      </c>
      <c r="E252" s="173">
        <v>3200000</v>
      </c>
      <c r="F252" s="173">
        <f t="shared" si="39"/>
        <v>28684800000</v>
      </c>
    </row>
    <row r="253" spans="1:6" x14ac:dyDescent="0.25">
      <c r="A253" s="170"/>
      <c r="B253" s="171" t="s">
        <v>574</v>
      </c>
      <c r="C253" s="172">
        <v>6600</v>
      </c>
      <c r="D253" s="172" t="s">
        <v>299</v>
      </c>
      <c r="E253" s="173">
        <v>3400000</v>
      </c>
      <c r="F253" s="173">
        <f t="shared" si="39"/>
        <v>22440000000</v>
      </c>
    </row>
    <row r="254" spans="1:6" x14ac:dyDescent="0.25">
      <c r="A254" s="170"/>
      <c r="B254" s="177" t="s">
        <v>178</v>
      </c>
      <c r="C254" s="172">
        <v>6048</v>
      </c>
      <c r="D254" s="172" t="s">
        <v>299</v>
      </c>
      <c r="E254" s="173">
        <v>3500000</v>
      </c>
      <c r="F254" s="173">
        <f t="shared" si="39"/>
        <v>21168000000</v>
      </c>
    </row>
    <row r="255" spans="1:6" x14ac:dyDescent="0.25">
      <c r="A255" s="170"/>
      <c r="B255" s="171" t="s">
        <v>636</v>
      </c>
      <c r="C255" s="172">
        <v>7404</v>
      </c>
      <c r="D255" s="172" t="s">
        <v>299</v>
      </c>
      <c r="E255" s="173">
        <v>3500000</v>
      </c>
      <c r="F255" s="173">
        <f t="shared" si="39"/>
        <v>25914000000</v>
      </c>
    </row>
    <row r="256" spans="1:6" x14ac:dyDescent="0.25">
      <c r="A256" s="170"/>
      <c r="B256" s="177" t="s">
        <v>180</v>
      </c>
      <c r="C256" s="172">
        <v>7404</v>
      </c>
      <c r="D256" s="172" t="s">
        <v>299</v>
      </c>
      <c r="E256" s="173">
        <v>3500000</v>
      </c>
      <c r="F256" s="173">
        <f t="shared" si="39"/>
        <v>25914000000</v>
      </c>
    </row>
    <row r="257" spans="1:6" x14ac:dyDescent="0.25">
      <c r="A257" s="170"/>
      <c r="B257" s="177" t="s">
        <v>181</v>
      </c>
      <c r="C257" s="172">
        <v>6420</v>
      </c>
      <c r="D257" s="172" t="s">
        <v>299</v>
      </c>
      <c r="E257" s="173">
        <v>3500000</v>
      </c>
      <c r="F257" s="173">
        <f t="shared" si="39"/>
        <v>22470000000</v>
      </c>
    </row>
    <row r="258" spans="1:6" x14ac:dyDescent="0.25">
      <c r="A258" s="170"/>
      <c r="B258" s="171" t="s">
        <v>575</v>
      </c>
      <c r="C258" s="172">
        <v>9972</v>
      </c>
      <c r="D258" s="172" t="s">
        <v>299</v>
      </c>
      <c r="E258" s="173">
        <v>3500000</v>
      </c>
      <c r="F258" s="173">
        <f t="shared" si="39"/>
        <v>34902000000</v>
      </c>
    </row>
    <row r="259" spans="1:6" x14ac:dyDescent="0.25">
      <c r="A259" s="170"/>
      <c r="B259" s="171" t="s">
        <v>637</v>
      </c>
      <c r="C259" s="172">
        <v>11064</v>
      </c>
      <c r="D259" s="172" t="s">
        <v>299</v>
      </c>
      <c r="E259" s="173">
        <v>3500000</v>
      </c>
      <c r="F259" s="173">
        <f t="shared" si="39"/>
        <v>38724000000</v>
      </c>
    </row>
    <row r="260" spans="1:6" x14ac:dyDescent="0.25">
      <c r="A260" s="170"/>
      <c r="B260" s="177" t="s">
        <v>184</v>
      </c>
      <c r="C260" s="172">
        <v>11064</v>
      </c>
      <c r="D260" s="172" t="s">
        <v>299</v>
      </c>
      <c r="E260" s="173">
        <v>3500000</v>
      </c>
      <c r="F260" s="173">
        <f t="shared" si="39"/>
        <v>38724000000</v>
      </c>
    </row>
    <row r="261" spans="1:6" x14ac:dyDescent="0.25">
      <c r="A261" s="170"/>
      <c r="B261" s="177" t="s">
        <v>185</v>
      </c>
      <c r="C261" s="172">
        <v>8544</v>
      </c>
      <c r="D261" s="172" t="s">
        <v>299</v>
      </c>
      <c r="E261" s="173">
        <v>3350000</v>
      </c>
      <c r="F261" s="173">
        <f t="shared" si="39"/>
        <v>28622400000</v>
      </c>
    </row>
    <row r="262" spans="1:6" x14ac:dyDescent="0.25">
      <c r="A262" s="170"/>
      <c r="B262" s="171" t="s">
        <v>186</v>
      </c>
      <c r="C262" s="172">
        <v>5796</v>
      </c>
      <c r="D262" s="172" t="s">
        <v>299</v>
      </c>
      <c r="E262" s="173">
        <v>3200000</v>
      </c>
      <c r="F262" s="173">
        <f t="shared" si="39"/>
        <v>18547200000</v>
      </c>
    </row>
    <row r="263" spans="1:6" x14ac:dyDescent="0.25">
      <c r="A263" s="170"/>
      <c r="B263" s="171" t="s">
        <v>187</v>
      </c>
      <c r="C263" s="172">
        <v>2088</v>
      </c>
      <c r="D263" s="172" t="s">
        <v>299</v>
      </c>
      <c r="E263" s="173">
        <v>4078000</v>
      </c>
      <c r="F263" s="173">
        <f t="shared" si="39"/>
        <v>8514864000</v>
      </c>
    </row>
    <row r="264" spans="1:6" x14ac:dyDescent="0.25">
      <c r="A264" s="170"/>
      <c r="B264" s="171" t="s">
        <v>188</v>
      </c>
      <c r="C264" s="172">
        <v>2088</v>
      </c>
      <c r="D264" s="172" t="s">
        <v>299</v>
      </c>
      <c r="E264" s="173">
        <v>4150000</v>
      </c>
      <c r="F264" s="173">
        <f t="shared" si="39"/>
        <v>8665200000</v>
      </c>
    </row>
    <row r="265" spans="1:6" x14ac:dyDescent="0.25">
      <c r="A265" s="170"/>
      <c r="B265" s="171" t="s">
        <v>634</v>
      </c>
      <c r="C265" s="172">
        <v>2088</v>
      </c>
      <c r="D265" s="172" t="s">
        <v>299</v>
      </c>
      <c r="E265" s="173">
        <v>4150000</v>
      </c>
      <c r="F265" s="173">
        <f t="shared" si="39"/>
        <v>8665200000</v>
      </c>
    </row>
    <row r="266" spans="1:6" ht="30" x14ac:dyDescent="0.25">
      <c r="A266" s="170"/>
      <c r="B266" s="171" t="s">
        <v>189</v>
      </c>
      <c r="C266" s="172">
        <v>1020</v>
      </c>
      <c r="D266" s="172" t="s">
        <v>299</v>
      </c>
      <c r="E266" s="173">
        <v>3902000</v>
      </c>
      <c r="F266" s="173">
        <f t="shared" si="39"/>
        <v>3980040000</v>
      </c>
    </row>
    <row r="267" spans="1:6" ht="30" x14ac:dyDescent="0.25">
      <c r="A267" s="170"/>
      <c r="B267" s="177" t="s">
        <v>190</v>
      </c>
      <c r="C267" s="172">
        <v>156</v>
      </c>
      <c r="D267" s="172" t="s">
        <v>299</v>
      </c>
      <c r="E267" s="173">
        <v>4200000</v>
      </c>
      <c r="F267" s="173">
        <f t="shared" si="39"/>
        <v>655200000</v>
      </c>
    </row>
    <row r="268" spans="1:6" ht="30" x14ac:dyDescent="0.25">
      <c r="A268" s="170"/>
      <c r="B268" s="177" t="s">
        <v>191</v>
      </c>
      <c r="C268" s="172">
        <v>144</v>
      </c>
      <c r="D268" s="172" t="s">
        <v>299</v>
      </c>
      <c r="E268" s="173">
        <v>3860000</v>
      </c>
      <c r="F268" s="173">
        <f t="shared" si="39"/>
        <v>555840000</v>
      </c>
    </row>
    <row r="269" spans="1:6" ht="30" x14ac:dyDescent="0.25">
      <c r="A269" s="170"/>
      <c r="B269" s="177" t="s">
        <v>192</v>
      </c>
      <c r="C269" s="172">
        <v>216</v>
      </c>
      <c r="D269" s="172" t="s">
        <v>299</v>
      </c>
      <c r="E269" s="173">
        <v>3800000</v>
      </c>
      <c r="F269" s="173">
        <f t="shared" si="39"/>
        <v>820800000</v>
      </c>
    </row>
    <row r="270" spans="1:6" ht="30" x14ac:dyDescent="0.25">
      <c r="A270" s="170"/>
      <c r="B270" s="177" t="s">
        <v>193</v>
      </c>
      <c r="C270" s="172">
        <v>24</v>
      </c>
      <c r="D270" s="172" t="s">
        <v>299</v>
      </c>
      <c r="E270" s="173">
        <v>3450000</v>
      </c>
      <c r="F270" s="173">
        <f t="shared" si="39"/>
        <v>82800000</v>
      </c>
    </row>
    <row r="271" spans="1:6" ht="30" x14ac:dyDescent="0.25">
      <c r="A271" s="170"/>
      <c r="B271" s="177" t="s">
        <v>194</v>
      </c>
      <c r="C271" s="172">
        <v>36</v>
      </c>
      <c r="D271" s="172" t="s">
        <v>299</v>
      </c>
      <c r="E271" s="173">
        <v>3400000</v>
      </c>
      <c r="F271" s="173">
        <f t="shared" si="39"/>
        <v>122400000</v>
      </c>
    </row>
    <row r="272" spans="1:6" ht="30" x14ac:dyDescent="0.25">
      <c r="A272" s="170"/>
      <c r="B272" s="177" t="s">
        <v>195</v>
      </c>
      <c r="C272" s="172">
        <v>48</v>
      </c>
      <c r="D272" s="172" t="s">
        <v>299</v>
      </c>
      <c r="E272" s="173">
        <v>4300000</v>
      </c>
      <c r="F272" s="173">
        <f t="shared" si="39"/>
        <v>206400000</v>
      </c>
    </row>
    <row r="273" spans="1:6" ht="30" x14ac:dyDescent="0.25">
      <c r="A273" s="170"/>
      <c r="B273" s="177" t="s">
        <v>196</v>
      </c>
      <c r="C273" s="172">
        <v>48</v>
      </c>
      <c r="D273" s="172" t="s">
        <v>299</v>
      </c>
      <c r="E273" s="173">
        <v>3921000</v>
      </c>
      <c r="F273" s="173">
        <f t="shared" si="39"/>
        <v>188208000</v>
      </c>
    </row>
    <row r="274" spans="1:6" ht="30" x14ac:dyDescent="0.25">
      <c r="A274" s="170"/>
      <c r="B274" s="177" t="s">
        <v>197</v>
      </c>
      <c r="C274" s="172">
        <v>36</v>
      </c>
      <c r="D274" s="172" t="s">
        <v>299</v>
      </c>
      <c r="E274" s="173">
        <v>3500000</v>
      </c>
      <c r="F274" s="173">
        <f t="shared" si="39"/>
        <v>126000000</v>
      </c>
    </row>
    <row r="275" spans="1:6" ht="30" x14ac:dyDescent="0.25">
      <c r="A275" s="170"/>
      <c r="B275" s="177" t="s">
        <v>198</v>
      </c>
      <c r="C275" s="172">
        <v>24</v>
      </c>
      <c r="D275" s="172" t="s">
        <v>299</v>
      </c>
      <c r="E275" s="173">
        <v>3992000</v>
      </c>
      <c r="F275" s="173">
        <f t="shared" si="39"/>
        <v>95808000</v>
      </c>
    </row>
    <row r="276" spans="1:6" ht="30" x14ac:dyDescent="0.25">
      <c r="A276" s="170"/>
      <c r="B276" s="171" t="s">
        <v>572</v>
      </c>
      <c r="C276" s="172">
        <v>960</v>
      </c>
      <c r="D276" s="172" t="s">
        <v>299</v>
      </c>
      <c r="E276" s="173">
        <v>8205000</v>
      </c>
      <c r="F276" s="173">
        <f t="shared" si="39"/>
        <v>7876800000</v>
      </c>
    </row>
    <row r="277" spans="1:6" ht="30" x14ac:dyDescent="0.25">
      <c r="A277" s="170"/>
      <c r="B277" s="177" t="s">
        <v>200</v>
      </c>
      <c r="C277" s="172">
        <v>156</v>
      </c>
      <c r="D277" s="172" t="s">
        <v>299</v>
      </c>
      <c r="E277" s="173">
        <v>8220000</v>
      </c>
      <c r="F277" s="173">
        <f t="shared" si="39"/>
        <v>1282320000</v>
      </c>
    </row>
    <row r="278" spans="1:6" ht="30" x14ac:dyDescent="0.25">
      <c r="A278" s="170"/>
      <c r="B278" s="177" t="s">
        <v>201</v>
      </c>
      <c r="C278" s="172">
        <v>144</v>
      </c>
      <c r="D278" s="172" t="s">
        <v>299</v>
      </c>
      <c r="E278" s="173">
        <v>7648000</v>
      </c>
      <c r="F278" s="173">
        <f t="shared" si="39"/>
        <v>1101312000</v>
      </c>
    </row>
    <row r="279" spans="1:6" ht="30" x14ac:dyDescent="0.25">
      <c r="A279" s="170"/>
      <c r="B279" s="177" t="s">
        <v>202</v>
      </c>
      <c r="C279" s="172">
        <v>216</v>
      </c>
      <c r="D279" s="172" t="s">
        <v>299</v>
      </c>
      <c r="E279" s="173">
        <v>7528000</v>
      </c>
      <c r="F279" s="173">
        <f t="shared" si="39"/>
        <v>1626048000</v>
      </c>
    </row>
    <row r="280" spans="1:6" ht="30" x14ac:dyDescent="0.25">
      <c r="A280" s="170"/>
      <c r="B280" s="177" t="s">
        <v>203</v>
      </c>
      <c r="C280" s="172">
        <v>24</v>
      </c>
      <c r="D280" s="172" t="s">
        <v>299</v>
      </c>
      <c r="E280" s="173">
        <v>6929000</v>
      </c>
      <c r="F280" s="173">
        <f t="shared" si="39"/>
        <v>166296000</v>
      </c>
    </row>
    <row r="281" spans="1:6" ht="30" x14ac:dyDescent="0.25">
      <c r="A281" s="170"/>
      <c r="B281" s="177" t="s">
        <v>204</v>
      </c>
      <c r="C281" s="172">
        <v>36</v>
      </c>
      <c r="D281" s="172" t="s">
        <v>299</v>
      </c>
      <c r="E281" s="173">
        <v>6985000</v>
      </c>
      <c r="F281" s="173">
        <f t="shared" si="39"/>
        <v>251460000</v>
      </c>
    </row>
    <row r="282" spans="1:6" ht="30" x14ac:dyDescent="0.25">
      <c r="A282" s="170"/>
      <c r="B282" s="177" t="s">
        <v>205</v>
      </c>
      <c r="C282" s="172">
        <v>48</v>
      </c>
      <c r="D282" s="172" t="s">
        <v>299</v>
      </c>
      <c r="E282" s="173">
        <v>9817000</v>
      </c>
      <c r="F282" s="173">
        <f t="shared" si="39"/>
        <v>471216000</v>
      </c>
    </row>
    <row r="283" spans="1:6" ht="30" x14ac:dyDescent="0.25">
      <c r="A283" s="170"/>
      <c r="B283" s="177" t="s">
        <v>206</v>
      </c>
      <c r="C283" s="172">
        <v>48</v>
      </c>
      <c r="D283" s="172" t="s">
        <v>299</v>
      </c>
      <c r="E283" s="173">
        <v>8850000</v>
      </c>
      <c r="F283" s="173">
        <f t="shared" si="39"/>
        <v>424800000</v>
      </c>
    </row>
    <row r="284" spans="1:6" ht="30" x14ac:dyDescent="0.25">
      <c r="A284" s="170"/>
      <c r="B284" s="177" t="s">
        <v>207</v>
      </c>
      <c r="C284" s="172">
        <v>36</v>
      </c>
      <c r="D284" s="172" t="s">
        <v>299</v>
      </c>
      <c r="E284" s="173">
        <v>7528000</v>
      </c>
      <c r="F284" s="173">
        <f t="shared" si="39"/>
        <v>271008000</v>
      </c>
    </row>
    <row r="285" spans="1:6" ht="30" x14ac:dyDescent="0.25">
      <c r="A285" s="170"/>
      <c r="B285" s="171" t="s">
        <v>208</v>
      </c>
      <c r="C285" s="172">
        <v>1</v>
      </c>
      <c r="D285" s="172" t="s">
        <v>299</v>
      </c>
      <c r="E285" s="173">
        <f>7469000+184000</f>
        <v>7653000</v>
      </c>
      <c r="F285" s="173">
        <f t="shared" si="39"/>
        <v>7653000</v>
      </c>
    </row>
    <row r="286" spans="1:6" x14ac:dyDescent="0.25">
      <c r="A286" s="181" t="s">
        <v>696</v>
      </c>
      <c r="B286" s="181" t="s">
        <v>77</v>
      </c>
      <c r="C286" s="143"/>
      <c r="D286" s="143"/>
      <c r="E286" s="144"/>
      <c r="F286" s="145">
        <f>F287</f>
        <v>120883440000</v>
      </c>
    </row>
    <row r="287" spans="1:6" x14ac:dyDescent="0.25">
      <c r="A287" s="246" t="s">
        <v>663</v>
      </c>
      <c r="B287" s="182" t="s">
        <v>79</v>
      </c>
      <c r="C287" s="147"/>
      <c r="D287" s="147"/>
      <c r="E287" s="148"/>
      <c r="F287" s="149">
        <f>F288+F500</f>
        <v>120883440000</v>
      </c>
    </row>
    <row r="288" spans="1:6" ht="75" x14ac:dyDescent="0.25">
      <c r="A288" s="179" t="s">
        <v>664</v>
      </c>
      <c r="B288" s="179" t="s">
        <v>81</v>
      </c>
      <c r="C288" s="151" t="s">
        <v>82</v>
      </c>
      <c r="D288" s="151" t="s">
        <v>307</v>
      </c>
      <c r="E288" s="152"/>
      <c r="F288" s="153">
        <f>F488+F290+F336</f>
        <v>120684840000</v>
      </c>
    </row>
    <row r="289" spans="1:6" x14ac:dyDescent="0.25">
      <c r="A289" s="170"/>
      <c r="B289" s="180" t="s">
        <v>6</v>
      </c>
      <c r="C289" s="172"/>
      <c r="D289" s="172"/>
      <c r="E289" s="170"/>
      <c r="F289" s="170"/>
    </row>
    <row r="290" spans="1:6" x14ac:dyDescent="0.25">
      <c r="A290" s="154" t="s">
        <v>660</v>
      </c>
      <c r="B290" s="154" t="s">
        <v>84</v>
      </c>
      <c r="C290" s="155" t="s">
        <v>85</v>
      </c>
      <c r="D290" s="155" t="s">
        <v>308</v>
      </c>
      <c r="E290" s="156"/>
      <c r="F290" s="157">
        <f>F291</f>
        <v>193288000</v>
      </c>
    </row>
    <row r="291" spans="1:6" x14ac:dyDescent="0.25">
      <c r="A291" s="158" t="s">
        <v>9</v>
      </c>
      <c r="B291" s="158" t="s">
        <v>86</v>
      </c>
      <c r="C291" s="159" t="s">
        <v>11</v>
      </c>
      <c r="D291" s="159"/>
      <c r="E291" s="160"/>
      <c r="F291" s="161">
        <f>F292+F304+F321</f>
        <v>193288000</v>
      </c>
    </row>
    <row r="292" spans="1:6" x14ac:dyDescent="0.25">
      <c r="A292" s="162" t="s">
        <v>12</v>
      </c>
      <c r="B292" s="162" t="s">
        <v>87</v>
      </c>
      <c r="C292" s="163"/>
      <c r="D292" s="163"/>
      <c r="E292" s="164"/>
      <c r="F292" s="165">
        <f>F293+F296+F301+F298</f>
        <v>48920000</v>
      </c>
    </row>
    <row r="293" spans="1:6" x14ac:dyDescent="0.25">
      <c r="A293" s="166" t="s">
        <v>22</v>
      </c>
      <c r="B293" s="166" t="s">
        <v>23</v>
      </c>
      <c r="C293" s="168"/>
      <c r="D293" s="168"/>
      <c r="E293" s="169"/>
      <c r="F293" s="167">
        <f>SUM(F294:F295)</f>
        <v>8100000</v>
      </c>
    </row>
    <row r="294" spans="1:6" x14ac:dyDescent="0.25">
      <c r="A294" s="170"/>
      <c r="B294" s="171" t="s">
        <v>355</v>
      </c>
      <c r="C294" s="172">
        <v>100</v>
      </c>
      <c r="D294" s="172" t="s">
        <v>296</v>
      </c>
      <c r="E294" s="173">
        <v>57000</v>
      </c>
      <c r="F294" s="173">
        <f>C294*E294</f>
        <v>5700000</v>
      </c>
    </row>
    <row r="295" spans="1:6" x14ac:dyDescent="0.25">
      <c r="A295" s="170"/>
      <c r="B295" s="171" t="s">
        <v>356</v>
      </c>
      <c r="C295" s="172">
        <v>100</v>
      </c>
      <c r="D295" s="172" t="s">
        <v>296</v>
      </c>
      <c r="E295" s="173">
        <v>24000</v>
      </c>
      <c r="F295" s="173">
        <f>C295*E295</f>
        <v>2400000</v>
      </c>
    </row>
    <row r="296" spans="1:6" x14ac:dyDescent="0.25">
      <c r="A296" s="166" t="s">
        <v>16</v>
      </c>
      <c r="B296" s="166" t="s">
        <v>17</v>
      </c>
      <c r="C296" s="168"/>
      <c r="D296" s="168"/>
      <c r="E296" s="169"/>
      <c r="F296" s="167">
        <f>SUM(F297:F297)</f>
        <v>12000000</v>
      </c>
    </row>
    <row r="297" spans="1:6" ht="30" x14ac:dyDescent="0.25">
      <c r="A297" s="170"/>
      <c r="B297" s="171" t="s">
        <v>782</v>
      </c>
      <c r="C297" s="172">
        <v>12</v>
      </c>
      <c r="D297" s="172" t="s">
        <v>297</v>
      </c>
      <c r="E297" s="173">
        <v>1000000</v>
      </c>
      <c r="F297" s="173">
        <f>C297*E297</f>
        <v>12000000</v>
      </c>
    </row>
    <row r="298" spans="1:6" x14ac:dyDescent="0.25">
      <c r="A298" s="166" t="s">
        <v>28</v>
      </c>
      <c r="B298" s="166" t="s">
        <v>29</v>
      </c>
      <c r="C298" s="168"/>
      <c r="D298" s="168"/>
      <c r="E298" s="169"/>
      <c r="F298" s="167">
        <f>SUM(F299:F300)</f>
        <v>8300000</v>
      </c>
    </row>
    <row r="299" spans="1:6" ht="30" x14ac:dyDescent="0.25">
      <c r="A299" s="170"/>
      <c r="B299" s="171" t="s">
        <v>656</v>
      </c>
      <c r="C299" s="172">
        <v>10</v>
      </c>
      <c r="D299" s="172" t="s">
        <v>301</v>
      </c>
      <c r="E299" s="173">
        <v>430000</v>
      </c>
      <c r="F299" s="173">
        <f>C299*E299</f>
        <v>4300000</v>
      </c>
    </row>
    <row r="300" spans="1:6" ht="30" x14ac:dyDescent="0.25">
      <c r="A300" s="170"/>
      <c r="B300" s="171" t="s">
        <v>657</v>
      </c>
      <c r="C300" s="172">
        <v>20</v>
      </c>
      <c r="D300" s="172" t="s">
        <v>296</v>
      </c>
      <c r="E300" s="173">
        <v>200000</v>
      </c>
      <c r="F300" s="173">
        <f t="shared" ref="F300" si="40">C300*E300</f>
        <v>4000000</v>
      </c>
    </row>
    <row r="301" spans="1:6" x14ac:dyDescent="0.25">
      <c r="A301" s="166" t="s">
        <v>18</v>
      </c>
      <c r="B301" s="166" t="s">
        <v>19</v>
      </c>
      <c r="C301" s="168"/>
      <c r="D301" s="168"/>
      <c r="E301" s="169"/>
      <c r="F301" s="167">
        <f>SUM(F302:F303)</f>
        <v>20520000</v>
      </c>
    </row>
    <row r="302" spans="1:6" ht="30" x14ac:dyDescent="0.25">
      <c r="A302" s="170"/>
      <c r="B302" s="171" t="s">
        <v>658</v>
      </c>
      <c r="C302" s="172">
        <v>54</v>
      </c>
      <c r="D302" s="172" t="s">
        <v>301</v>
      </c>
      <c r="E302" s="173">
        <v>210000</v>
      </c>
      <c r="F302" s="173">
        <f>C302*E302</f>
        <v>11340000</v>
      </c>
    </row>
    <row r="303" spans="1:6" ht="30" x14ac:dyDescent="0.25">
      <c r="A303" s="170"/>
      <c r="B303" s="171" t="s">
        <v>659</v>
      </c>
      <c r="C303" s="172">
        <v>54</v>
      </c>
      <c r="D303" s="172" t="s">
        <v>296</v>
      </c>
      <c r="E303" s="173">
        <v>170000</v>
      </c>
      <c r="F303" s="173">
        <f>C303*E303</f>
        <v>9180000</v>
      </c>
    </row>
    <row r="304" spans="1:6" x14ac:dyDescent="0.25">
      <c r="A304" s="162" t="s">
        <v>26</v>
      </c>
      <c r="B304" s="162" t="s">
        <v>88</v>
      </c>
      <c r="C304" s="163"/>
      <c r="D304" s="163"/>
      <c r="E304" s="164"/>
      <c r="F304" s="165">
        <f>F305+F308+F313+F318+F315</f>
        <v>51570000</v>
      </c>
    </row>
    <row r="305" spans="1:6" x14ac:dyDescent="0.25">
      <c r="A305" s="166" t="s">
        <v>22</v>
      </c>
      <c r="B305" s="166" t="s">
        <v>23</v>
      </c>
      <c r="C305" s="168"/>
      <c r="D305" s="168"/>
      <c r="E305" s="169"/>
      <c r="F305" s="167">
        <f>SUM(F306:F307)</f>
        <v>8100000</v>
      </c>
    </row>
    <row r="306" spans="1:6" x14ac:dyDescent="0.25">
      <c r="A306" s="170"/>
      <c r="B306" s="171" t="s">
        <v>355</v>
      </c>
      <c r="C306" s="172">
        <v>100</v>
      </c>
      <c r="D306" s="172" t="s">
        <v>296</v>
      </c>
      <c r="E306" s="173">
        <v>57000</v>
      </c>
      <c r="F306" s="173">
        <f>C306*E306</f>
        <v>5700000</v>
      </c>
    </row>
    <row r="307" spans="1:6" x14ac:dyDescent="0.25">
      <c r="A307" s="170"/>
      <c r="B307" s="171" t="s">
        <v>356</v>
      </c>
      <c r="C307" s="172">
        <v>100</v>
      </c>
      <c r="D307" s="172" t="s">
        <v>296</v>
      </c>
      <c r="E307" s="173">
        <v>24000</v>
      </c>
      <c r="F307" s="173">
        <f>C307*E307</f>
        <v>2400000</v>
      </c>
    </row>
    <row r="308" spans="1:6" x14ac:dyDescent="0.25">
      <c r="A308" s="166" t="s">
        <v>14</v>
      </c>
      <c r="B308" s="166" t="s">
        <v>15</v>
      </c>
      <c r="C308" s="168"/>
      <c r="D308" s="168"/>
      <c r="E308" s="169"/>
      <c r="F308" s="167">
        <f>SUM(F309:F312)</f>
        <v>2650000</v>
      </c>
    </row>
    <row r="309" spans="1:6" ht="30" x14ac:dyDescent="0.25">
      <c r="A309" s="170"/>
      <c r="B309" s="176" t="s">
        <v>360</v>
      </c>
      <c r="C309" s="172">
        <v>1</v>
      </c>
      <c r="D309" s="172" t="s">
        <v>296</v>
      </c>
      <c r="E309" s="173">
        <v>450000</v>
      </c>
      <c r="F309" s="173">
        <f>C309*E309</f>
        <v>450000</v>
      </c>
    </row>
    <row r="310" spans="1:6" ht="30" x14ac:dyDescent="0.25">
      <c r="A310" s="170"/>
      <c r="B310" s="176" t="s">
        <v>361</v>
      </c>
      <c r="C310" s="172">
        <v>1</v>
      </c>
      <c r="D310" s="172" t="s">
        <v>296</v>
      </c>
      <c r="E310" s="173">
        <v>400000</v>
      </c>
      <c r="F310" s="173">
        <f t="shared" ref="F310:F312" si="41">C310*E310</f>
        <v>400000</v>
      </c>
    </row>
    <row r="311" spans="1:6" ht="30" x14ac:dyDescent="0.25">
      <c r="A311" s="170"/>
      <c r="B311" s="176" t="s">
        <v>362</v>
      </c>
      <c r="C311" s="172">
        <v>1</v>
      </c>
      <c r="D311" s="172" t="s">
        <v>296</v>
      </c>
      <c r="E311" s="173">
        <v>300000</v>
      </c>
      <c r="F311" s="173">
        <f t="shared" si="41"/>
        <v>300000</v>
      </c>
    </row>
    <row r="312" spans="1:6" ht="30" x14ac:dyDescent="0.25">
      <c r="A312" s="170"/>
      <c r="B312" s="176" t="s">
        <v>363</v>
      </c>
      <c r="C312" s="172">
        <v>5</v>
      </c>
      <c r="D312" s="172" t="s">
        <v>296</v>
      </c>
      <c r="E312" s="173">
        <v>300000</v>
      </c>
      <c r="F312" s="173">
        <f t="shared" si="41"/>
        <v>1500000</v>
      </c>
    </row>
    <row r="313" spans="1:6" x14ac:dyDescent="0.25">
      <c r="A313" s="166" t="s">
        <v>16</v>
      </c>
      <c r="B313" s="166" t="s">
        <v>17</v>
      </c>
      <c r="C313" s="168"/>
      <c r="D313" s="168"/>
      <c r="E313" s="169"/>
      <c r="F313" s="167">
        <f>SUM(F314:F314)</f>
        <v>12000000</v>
      </c>
    </row>
    <row r="314" spans="1:6" ht="30" x14ac:dyDescent="0.25">
      <c r="A314" s="170"/>
      <c r="B314" s="171" t="s">
        <v>782</v>
      </c>
      <c r="C314" s="172">
        <v>12</v>
      </c>
      <c r="D314" s="172" t="s">
        <v>297</v>
      </c>
      <c r="E314" s="173">
        <v>1000000</v>
      </c>
      <c r="F314" s="173">
        <f>C314*E314</f>
        <v>12000000</v>
      </c>
    </row>
    <row r="315" spans="1:6" x14ac:dyDescent="0.25">
      <c r="A315" s="166" t="s">
        <v>28</v>
      </c>
      <c r="B315" s="166" t="s">
        <v>29</v>
      </c>
      <c r="C315" s="168"/>
      <c r="D315" s="168"/>
      <c r="E315" s="169"/>
      <c r="F315" s="167">
        <f>SUM(F316:F317)</f>
        <v>8300000</v>
      </c>
    </row>
    <row r="316" spans="1:6" ht="30" x14ac:dyDescent="0.25">
      <c r="A316" s="170"/>
      <c r="B316" s="171" t="s">
        <v>656</v>
      </c>
      <c r="C316" s="172">
        <v>10</v>
      </c>
      <c r="D316" s="172" t="s">
        <v>301</v>
      </c>
      <c r="E316" s="173">
        <v>430000</v>
      </c>
      <c r="F316" s="173">
        <f>C316*E316</f>
        <v>4300000</v>
      </c>
    </row>
    <row r="317" spans="1:6" ht="30" x14ac:dyDescent="0.25">
      <c r="A317" s="170"/>
      <c r="B317" s="171" t="s">
        <v>657</v>
      </c>
      <c r="C317" s="172">
        <v>20</v>
      </c>
      <c r="D317" s="172" t="s">
        <v>296</v>
      </c>
      <c r="E317" s="173">
        <v>200000</v>
      </c>
      <c r="F317" s="173">
        <f t="shared" ref="F317" si="42">C317*E317</f>
        <v>4000000</v>
      </c>
    </row>
    <row r="318" spans="1:6" x14ac:dyDescent="0.25">
      <c r="A318" s="166" t="s">
        <v>18</v>
      </c>
      <c r="B318" s="166" t="s">
        <v>19</v>
      </c>
      <c r="C318" s="168"/>
      <c r="D318" s="168"/>
      <c r="E318" s="169"/>
      <c r="F318" s="167">
        <f>SUM(F319:F320)</f>
        <v>20520000</v>
      </c>
    </row>
    <row r="319" spans="1:6" ht="30" x14ac:dyDescent="0.25">
      <c r="A319" s="170"/>
      <c r="B319" s="171" t="s">
        <v>658</v>
      </c>
      <c r="C319" s="172">
        <v>54</v>
      </c>
      <c r="D319" s="172" t="s">
        <v>301</v>
      </c>
      <c r="E319" s="173">
        <v>210000</v>
      </c>
      <c r="F319" s="173">
        <f>C319*E319</f>
        <v>11340000</v>
      </c>
    </row>
    <row r="320" spans="1:6" ht="30" x14ac:dyDescent="0.25">
      <c r="A320" s="170"/>
      <c r="B320" s="171" t="s">
        <v>659</v>
      </c>
      <c r="C320" s="172">
        <v>54</v>
      </c>
      <c r="D320" s="172" t="s">
        <v>296</v>
      </c>
      <c r="E320" s="173">
        <v>170000</v>
      </c>
      <c r="F320" s="173">
        <f>C320*E320</f>
        <v>9180000</v>
      </c>
    </row>
    <row r="321" spans="1:6" x14ac:dyDescent="0.25">
      <c r="A321" s="162" t="s">
        <v>32</v>
      </c>
      <c r="B321" s="162" t="s">
        <v>89</v>
      </c>
      <c r="C321" s="163"/>
      <c r="D321" s="163"/>
      <c r="E321" s="164"/>
      <c r="F321" s="165">
        <f>F322+F326+F333+F329</f>
        <v>92798000</v>
      </c>
    </row>
    <row r="322" spans="1:6" x14ac:dyDescent="0.25">
      <c r="A322" s="166" t="s">
        <v>22</v>
      </c>
      <c r="B322" s="166" t="s">
        <v>23</v>
      </c>
      <c r="C322" s="168"/>
      <c r="D322" s="168"/>
      <c r="E322" s="169"/>
      <c r="F322" s="167">
        <f>SUM(F323:F325)</f>
        <v>12238000</v>
      </c>
    </row>
    <row r="323" spans="1:6" x14ac:dyDescent="0.25">
      <c r="A323" s="170"/>
      <c r="B323" s="171" t="s">
        <v>653</v>
      </c>
      <c r="C323" s="172">
        <v>150</v>
      </c>
      <c r="D323" s="172" t="s">
        <v>296</v>
      </c>
      <c r="E323" s="173">
        <v>57000</v>
      </c>
      <c r="F323" s="173">
        <f>C323*E323</f>
        <v>8550000</v>
      </c>
    </row>
    <row r="324" spans="1:6" x14ac:dyDescent="0.25">
      <c r="A324" s="170"/>
      <c r="B324" s="171" t="s">
        <v>654</v>
      </c>
      <c r="C324" s="172">
        <v>150</v>
      </c>
      <c r="D324" s="172" t="s">
        <v>296</v>
      </c>
      <c r="E324" s="173">
        <v>24000</v>
      </c>
      <c r="F324" s="173">
        <f>C324*E324</f>
        <v>3600000</v>
      </c>
    </row>
    <row r="325" spans="1:6" x14ac:dyDescent="0.25">
      <c r="A325" s="170"/>
      <c r="B325" s="178" t="s">
        <v>344</v>
      </c>
      <c r="C325" s="172">
        <v>1</v>
      </c>
      <c r="D325" s="172" t="s">
        <v>298</v>
      </c>
      <c r="E325" s="173">
        <f>1179000-654000-100000-337000</f>
        <v>88000</v>
      </c>
      <c r="F325" s="173">
        <f>C325*E325</f>
        <v>88000</v>
      </c>
    </row>
    <row r="326" spans="1:6" x14ac:dyDescent="0.25">
      <c r="A326" s="166" t="s">
        <v>16</v>
      </c>
      <c r="B326" s="166" t="s">
        <v>17</v>
      </c>
      <c r="C326" s="168"/>
      <c r="D326" s="168"/>
      <c r="E326" s="169"/>
      <c r="F326" s="167">
        <f>SUM(F327:F328)</f>
        <v>10800000</v>
      </c>
    </row>
    <row r="327" spans="1:6" ht="30" x14ac:dyDescent="0.25">
      <c r="A327" s="170"/>
      <c r="B327" s="171" t="s">
        <v>655</v>
      </c>
      <c r="C327" s="172">
        <v>8</v>
      </c>
      <c r="D327" s="172" t="s">
        <v>297</v>
      </c>
      <c r="E327" s="173">
        <v>1000000</v>
      </c>
      <c r="F327" s="173">
        <f>C327*E327</f>
        <v>8000000</v>
      </c>
    </row>
    <row r="328" spans="1:6" x14ac:dyDescent="0.25">
      <c r="A328" s="170"/>
      <c r="B328" s="171" t="s">
        <v>577</v>
      </c>
      <c r="C328" s="172">
        <v>4</v>
      </c>
      <c r="D328" s="172" t="s">
        <v>347</v>
      </c>
      <c r="E328" s="173">
        <v>700000</v>
      </c>
      <c r="F328" s="173">
        <f t="shared" ref="F328" si="43">C328*E328</f>
        <v>2800000</v>
      </c>
    </row>
    <row r="329" spans="1:6" x14ac:dyDescent="0.25">
      <c r="A329" s="166" t="s">
        <v>28</v>
      </c>
      <c r="B329" s="166" t="s">
        <v>29</v>
      </c>
      <c r="C329" s="168"/>
      <c r="D329" s="168"/>
      <c r="E329" s="169"/>
      <c r="F329" s="167">
        <f>SUM(F330:F332)</f>
        <v>33280000</v>
      </c>
    </row>
    <row r="330" spans="1:6" ht="30" x14ac:dyDescent="0.25">
      <c r="A330" s="170"/>
      <c r="B330" s="171" t="s">
        <v>650</v>
      </c>
      <c r="C330" s="172">
        <v>30</v>
      </c>
      <c r="D330" s="172" t="s">
        <v>301</v>
      </c>
      <c r="E330" s="173">
        <v>430000</v>
      </c>
      <c r="F330" s="173">
        <f>C330*E330</f>
        <v>12900000</v>
      </c>
    </row>
    <row r="331" spans="1:6" ht="30" x14ac:dyDescent="0.25">
      <c r="A331" s="170"/>
      <c r="B331" s="171" t="s">
        <v>651</v>
      </c>
      <c r="C331" s="172">
        <v>20</v>
      </c>
      <c r="D331" s="172" t="s">
        <v>296</v>
      </c>
      <c r="E331" s="173">
        <v>284000</v>
      </c>
      <c r="F331" s="173">
        <f t="shared" ref="F331" si="44">C331*E331</f>
        <v>5680000</v>
      </c>
    </row>
    <row r="332" spans="1:6" x14ac:dyDescent="0.25">
      <c r="A332" s="170"/>
      <c r="B332" s="171" t="s">
        <v>652</v>
      </c>
      <c r="C332" s="172">
        <v>20</v>
      </c>
      <c r="D332" s="172" t="s">
        <v>296</v>
      </c>
      <c r="E332" s="173">
        <v>735000</v>
      </c>
      <c r="F332" s="173">
        <f>C332*E332</f>
        <v>14700000</v>
      </c>
    </row>
    <row r="333" spans="1:6" x14ac:dyDescent="0.25">
      <c r="A333" s="166" t="s">
        <v>18</v>
      </c>
      <c r="B333" s="166" t="s">
        <v>19</v>
      </c>
      <c r="C333" s="168"/>
      <c r="D333" s="168"/>
      <c r="E333" s="169"/>
      <c r="F333" s="167">
        <f>SUM(F334:F335)</f>
        <v>36480000</v>
      </c>
    </row>
    <row r="334" spans="1:6" ht="30" x14ac:dyDescent="0.25">
      <c r="A334" s="170"/>
      <c r="B334" s="171" t="s">
        <v>581</v>
      </c>
      <c r="C334" s="172">
        <v>96</v>
      </c>
      <c r="D334" s="172" t="s">
        <v>301</v>
      </c>
      <c r="E334" s="173">
        <v>210000</v>
      </c>
      <c r="F334" s="173">
        <f>C334*E334</f>
        <v>20160000</v>
      </c>
    </row>
    <row r="335" spans="1:6" ht="30" x14ac:dyDescent="0.25">
      <c r="A335" s="170"/>
      <c r="B335" s="171" t="s">
        <v>582</v>
      </c>
      <c r="C335" s="172">
        <v>96</v>
      </c>
      <c r="D335" s="172" t="s">
        <v>296</v>
      </c>
      <c r="E335" s="173">
        <v>170000</v>
      </c>
      <c r="F335" s="173">
        <f>C335*E335</f>
        <v>16320000</v>
      </c>
    </row>
    <row r="336" spans="1:6" x14ac:dyDescent="0.25">
      <c r="A336" s="154" t="s">
        <v>666</v>
      </c>
      <c r="B336" s="154" t="s">
        <v>93</v>
      </c>
      <c r="C336" s="155" t="s">
        <v>85</v>
      </c>
      <c r="D336" s="155" t="s">
        <v>308</v>
      </c>
      <c r="E336" s="156"/>
      <c r="F336" s="157">
        <f>F337+F443</f>
        <v>120481552000</v>
      </c>
    </row>
    <row r="337" spans="1:7" x14ac:dyDescent="0.25">
      <c r="A337" s="158" t="s">
        <v>94</v>
      </c>
      <c r="B337" s="158" t="s">
        <v>95</v>
      </c>
      <c r="C337" s="159" t="s">
        <v>11</v>
      </c>
      <c r="D337" s="159"/>
      <c r="E337" s="160"/>
      <c r="F337" s="161">
        <f>F338+F440</f>
        <v>114082512000</v>
      </c>
      <c r="G337" s="224"/>
    </row>
    <row r="338" spans="1:7" x14ac:dyDescent="0.25">
      <c r="A338" s="162" t="s">
        <v>12</v>
      </c>
      <c r="B338" s="162" t="s">
        <v>96</v>
      </c>
      <c r="C338" s="163"/>
      <c r="D338" s="163"/>
      <c r="E338" s="164"/>
      <c r="F338" s="165">
        <f>F339+F343+F347+F351+F355+F359+F363+F367+F369+F373+F377+F402+F412+F414+F416+F418+F420+F422+F424+F426+F433+F436+F438</f>
        <v>79468504000</v>
      </c>
      <c r="G338" s="220"/>
    </row>
    <row r="339" spans="1:7" x14ac:dyDescent="0.25">
      <c r="A339" s="166" t="s">
        <v>97</v>
      </c>
      <c r="B339" s="215" t="s">
        <v>98</v>
      </c>
      <c r="C339" s="168"/>
      <c r="D339" s="168"/>
      <c r="E339" s="169"/>
      <c r="F339" s="167">
        <f>SUM(F340:F342)</f>
        <v>29400000000</v>
      </c>
      <c r="G339" s="221"/>
    </row>
    <row r="340" spans="1:7" x14ac:dyDescent="0.25">
      <c r="A340" s="170"/>
      <c r="B340" s="217" t="s">
        <v>211</v>
      </c>
      <c r="C340" s="172">
        <v>1</v>
      </c>
      <c r="D340" s="172" t="s">
        <v>309</v>
      </c>
      <c r="E340" s="173">
        <v>20580000000</v>
      </c>
      <c r="F340" s="173">
        <f>C340*E340</f>
        <v>20580000000</v>
      </c>
      <c r="G340" s="198"/>
    </row>
    <row r="341" spans="1:7" x14ac:dyDescent="0.25">
      <c r="A341" s="170"/>
      <c r="B341" s="217" t="s">
        <v>212</v>
      </c>
      <c r="C341" s="172">
        <v>1</v>
      </c>
      <c r="D341" s="172" t="s">
        <v>310</v>
      </c>
      <c r="E341" s="173">
        <v>4410000000</v>
      </c>
      <c r="F341" s="173">
        <f>C341*E341</f>
        <v>4410000000</v>
      </c>
      <c r="G341" s="198"/>
    </row>
    <row r="342" spans="1:7" x14ac:dyDescent="0.25">
      <c r="A342" s="170"/>
      <c r="B342" s="217" t="s">
        <v>213</v>
      </c>
      <c r="C342" s="172">
        <v>1</v>
      </c>
      <c r="D342" s="172" t="s">
        <v>310</v>
      </c>
      <c r="E342" s="173">
        <v>4410000000</v>
      </c>
      <c r="F342" s="173">
        <f>C342*E342</f>
        <v>4410000000</v>
      </c>
      <c r="G342" s="198"/>
    </row>
    <row r="343" spans="1:7" x14ac:dyDescent="0.25">
      <c r="A343" s="166" t="s">
        <v>99</v>
      </c>
      <c r="B343" s="215" t="s">
        <v>100</v>
      </c>
      <c r="C343" s="168"/>
      <c r="D343" s="168"/>
      <c r="E343" s="169"/>
      <c r="F343" s="167">
        <f>SUM(F344:F346)</f>
        <v>433000</v>
      </c>
      <c r="G343" s="221"/>
    </row>
    <row r="344" spans="1:7" x14ac:dyDescent="0.25">
      <c r="A344" s="170"/>
      <c r="B344" s="217" t="s">
        <v>214</v>
      </c>
      <c r="C344" s="172">
        <v>1</v>
      </c>
      <c r="D344" s="172" t="s">
        <v>309</v>
      </c>
      <c r="E344" s="173">
        <v>349000</v>
      </c>
      <c r="F344" s="173">
        <f>C344*E344</f>
        <v>349000</v>
      </c>
      <c r="G344" s="198"/>
    </row>
    <row r="345" spans="1:7" x14ac:dyDescent="0.25">
      <c r="A345" s="170"/>
      <c r="B345" s="217" t="s">
        <v>215</v>
      </c>
      <c r="C345" s="172">
        <v>1</v>
      </c>
      <c r="D345" s="172" t="s">
        <v>310</v>
      </c>
      <c r="E345" s="173">
        <v>42000</v>
      </c>
      <c r="F345" s="173">
        <f>C345*E345</f>
        <v>42000</v>
      </c>
      <c r="G345" s="198"/>
    </row>
    <row r="346" spans="1:7" x14ac:dyDescent="0.25">
      <c r="A346" s="170"/>
      <c r="B346" s="217" t="s">
        <v>216</v>
      </c>
      <c r="C346" s="172">
        <v>1</v>
      </c>
      <c r="D346" s="172" t="s">
        <v>310</v>
      </c>
      <c r="E346" s="173">
        <v>42000</v>
      </c>
      <c r="F346" s="173">
        <f>C346*E346</f>
        <v>42000</v>
      </c>
      <c r="G346" s="198"/>
    </row>
    <row r="347" spans="1:7" x14ac:dyDescent="0.25">
      <c r="A347" s="166" t="s">
        <v>101</v>
      </c>
      <c r="B347" s="215" t="s">
        <v>102</v>
      </c>
      <c r="C347" s="168"/>
      <c r="D347" s="168"/>
      <c r="E347" s="169"/>
      <c r="F347" s="167">
        <f>SUM(F348:F350)</f>
        <v>2240000000</v>
      </c>
      <c r="G347" s="221"/>
    </row>
    <row r="348" spans="1:7" x14ac:dyDescent="0.25">
      <c r="A348" s="170"/>
      <c r="B348" s="217" t="s">
        <v>217</v>
      </c>
      <c r="C348" s="172">
        <v>1</v>
      </c>
      <c r="D348" s="172" t="s">
        <v>309</v>
      </c>
      <c r="E348" s="173">
        <v>1836800000</v>
      </c>
      <c r="F348" s="173">
        <f>C348*E348</f>
        <v>1836800000</v>
      </c>
      <c r="G348" s="198"/>
    </row>
    <row r="349" spans="1:7" x14ac:dyDescent="0.25">
      <c r="A349" s="170"/>
      <c r="B349" s="217" t="s">
        <v>218</v>
      </c>
      <c r="C349" s="172">
        <v>1</v>
      </c>
      <c r="D349" s="172" t="s">
        <v>310</v>
      </c>
      <c r="E349" s="173">
        <v>201600000</v>
      </c>
      <c r="F349" s="173">
        <f>C349*E349</f>
        <v>201600000</v>
      </c>
      <c r="G349" s="198"/>
    </row>
    <row r="350" spans="1:7" x14ac:dyDescent="0.25">
      <c r="A350" s="170"/>
      <c r="B350" s="217" t="s">
        <v>219</v>
      </c>
      <c r="C350" s="172">
        <v>1</v>
      </c>
      <c r="D350" s="172" t="s">
        <v>310</v>
      </c>
      <c r="E350" s="173">
        <v>201600000</v>
      </c>
      <c r="F350" s="173">
        <f>C350*E350</f>
        <v>201600000</v>
      </c>
      <c r="G350" s="198"/>
    </row>
    <row r="351" spans="1:7" x14ac:dyDescent="0.25">
      <c r="A351" s="166" t="s">
        <v>103</v>
      </c>
      <c r="B351" s="215" t="s">
        <v>104</v>
      </c>
      <c r="C351" s="168"/>
      <c r="D351" s="168"/>
      <c r="E351" s="169"/>
      <c r="F351" s="167">
        <f>SUM(F352:F354)</f>
        <v>308000000</v>
      </c>
      <c r="G351" s="221"/>
    </row>
    <row r="352" spans="1:7" x14ac:dyDescent="0.25">
      <c r="A352" s="170"/>
      <c r="B352" s="217" t="s">
        <v>220</v>
      </c>
      <c r="C352" s="172">
        <v>1</v>
      </c>
      <c r="D352" s="172" t="s">
        <v>309</v>
      </c>
      <c r="E352" s="173">
        <v>264000000</v>
      </c>
      <c r="F352" s="173">
        <f>C352*E352</f>
        <v>264000000</v>
      </c>
      <c r="G352" s="198"/>
    </row>
    <row r="353" spans="1:7" x14ac:dyDescent="0.25">
      <c r="A353" s="170"/>
      <c r="B353" s="217" t="s">
        <v>221</v>
      </c>
      <c r="C353" s="172">
        <v>1</v>
      </c>
      <c r="D353" s="172" t="s">
        <v>310</v>
      </c>
      <c r="E353" s="173">
        <v>22000000</v>
      </c>
      <c r="F353" s="173">
        <f>C353*E353</f>
        <v>22000000</v>
      </c>
      <c r="G353" s="198"/>
    </row>
    <row r="354" spans="1:7" x14ac:dyDescent="0.25">
      <c r="A354" s="170"/>
      <c r="B354" s="217" t="s">
        <v>222</v>
      </c>
      <c r="C354" s="172">
        <v>1</v>
      </c>
      <c r="D354" s="172" t="s">
        <v>310</v>
      </c>
      <c r="E354" s="173">
        <v>22000000</v>
      </c>
      <c r="F354" s="173">
        <f>C354*E354</f>
        <v>22000000</v>
      </c>
      <c r="G354" s="198"/>
    </row>
    <row r="355" spans="1:7" x14ac:dyDescent="0.25">
      <c r="A355" s="166" t="s">
        <v>105</v>
      </c>
      <c r="B355" s="215" t="s">
        <v>106</v>
      </c>
      <c r="C355" s="168"/>
      <c r="D355" s="168"/>
      <c r="E355" s="169"/>
      <c r="F355" s="167">
        <f>SUM(F356:F358)</f>
        <v>70000000</v>
      </c>
      <c r="G355" s="221"/>
    </row>
    <row r="356" spans="1:7" x14ac:dyDescent="0.25">
      <c r="A356" s="170"/>
      <c r="B356" s="217" t="s">
        <v>223</v>
      </c>
      <c r="C356" s="172">
        <v>1</v>
      </c>
      <c r="D356" s="172" t="s">
        <v>309</v>
      </c>
      <c r="E356" s="173">
        <v>60000000</v>
      </c>
      <c r="F356" s="173">
        <f>C356*E356</f>
        <v>60000000</v>
      </c>
      <c r="G356" s="198"/>
    </row>
    <row r="357" spans="1:7" x14ac:dyDescent="0.25">
      <c r="A357" s="170"/>
      <c r="B357" s="217" t="s">
        <v>224</v>
      </c>
      <c r="C357" s="172">
        <v>1</v>
      </c>
      <c r="D357" s="172" t="s">
        <v>310</v>
      </c>
      <c r="E357" s="173">
        <v>5000000</v>
      </c>
      <c r="F357" s="173">
        <f>C357*E357</f>
        <v>5000000</v>
      </c>
      <c r="G357" s="198"/>
    </row>
    <row r="358" spans="1:7" x14ac:dyDescent="0.25">
      <c r="A358" s="170"/>
      <c r="B358" s="217" t="s">
        <v>225</v>
      </c>
      <c r="C358" s="172">
        <v>1</v>
      </c>
      <c r="D358" s="172" t="s">
        <v>310</v>
      </c>
      <c r="E358" s="173">
        <v>5000000</v>
      </c>
      <c r="F358" s="173">
        <f>C358*E358</f>
        <v>5000000</v>
      </c>
      <c r="G358" s="198"/>
    </row>
    <row r="359" spans="1:7" x14ac:dyDescent="0.25">
      <c r="A359" s="166" t="s">
        <v>107</v>
      </c>
      <c r="B359" s="215" t="s">
        <v>108</v>
      </c>
      <c r="C359" s="168"/>
      <c r="D359" s="168"/>
      <c r="E359" s="169"/>
      <c r="F359" s="167">
        <f>SUM(F360:F362)</f>
        <v>4200000000</v>
      </c>
      <c r="G359" s="221"/>
    </row>
    <row r="360" spans="1:7" x14ac:dyDescent="0.25">
      <c r="A360" s="170"/>
      <c r="B360" s="217" t="s">
        <v>226</v>
      </c>
      <c r="C360" s="172">
        <v>1</v>
      </c>
      <c r="D360" s="172" t="s">
        <v>309</v>
      </c>
      <c r="E360" s="173">
        <v>3600000000</v>
      </c>
      <c r="F360" s="173">
        <f>C360*E360</f>
        <v>3600000000</v>
      </c>
      <c r="G360" s="198"/>
    </row>
    <row r="361" spans="1:7" x14ac:dyDescent="0.25">
      <c r="A361" s="170"/>
      <c r="B361" s="217" t="s">
        <v>227</v>
      </c>
      <c r="C361" s="172">
        <v>1</v>
      </c>
      <c r="D361" s="172" t="s">
        <v>310</v>
      </c>
      <c r="E361" s="173">
        <v>300000000</v>
      </c>
      <c r="F361" s="173">
        <f>C361*E361</f>
        <v>300000000</v>
      </c>
      <c r="G361" s="198"/>
    </row>
    <row r="362" spans="1:7" x14ac:dyDescent="0.25">
      <c r="A362" s="170"/>
      <c r="B362" s="217" t="s">
        <v>228</v>
      </c>
      <c r="C362" s="172">
        <v>1</v>
      </c>
      <c r="D362" s="172" t="s">
        <v>310</v>
      </c>
      <c r="E362" s="173">
        <v>300000000</v>
      </c>
      <c r="F362" s="173">
        <f>C362*E362</f>
        <v>300000000</v>
      </c>
      <c r="G362" s="198"/>
    </row>
    <row r="363" spans="1:7" x14ac:dyDescent="0.25">
      <c r="A363" s="166" t="s">
        <v>109</v>
      </c>
      <c r="B363" s="215" t="s">
        <v>110</v>
      </c>
      <c r="C363" s="168"/>
      <c r="D363" s="168"/>
      <c r="E363" s="169"/>
      <c r="F363" s="167">
        <f>SUM(F364:F366)</f>
        <v>399991000</v>
      </c>
      <c r="G363" s="221"/>
    </row>
    <row r="364" spans="1:7" x14ac:dyDescent="0.25">
      <c r="A364" s="170"/>
      <c r="B364" s="217" t="s">
        <v>229</v>
      </c>
      <c r="C364" s="172">
        <v>1</v>
      </c>
      <c r="D364" s="172" t="s">
        <v>309</v>
      </c>
      <c r="E364" s="173">
        <v>354763000</v>
      </c>
      <c r="F364" s="173">
        <f>C364*E364</f>
        <v>354763000</v>
      </c>
      <c r="G364" s="198"/>
    </row>
    <row r="365" spans="1:7" x14ac:dyDescent="0.25">
      <c r="A365" s="170"/>
      <c r="B365" s="217" t="s">
        <v>230</v>
      </c>
      <c r="C365" s="172">
        <v>1</v>
      </c>
      <c r="D365" s="172" t="s">
        <v>310</v>
      </c>
      <c r="E365" s="173">
        <v>22614000</v>
      </c>
      <c r="F365" s="173">
        <f>C365*E365</f>
        <v>22614000</v>
      </c>
      <c r="G365" s="198"/>
    </row>
    <row r="366" spans="1:7" x14ac:dyDescent="0.25">
      <c r="A366" s="170"/>
      <c r="B366" s="217" t="s">
        <v>231</v>
      </c>
      <c r="C366" s="172">
        <v>1</v>
      </c>
      <c r="D366" s="172" t="s">
        <v>310</v>
      </c>
      <c r="E366" s="173">
        <v>22614000</v>
      </c>
      <c r="F366" s="173">
        <f>C366*E366</f>
        <v>22614000</v>
      </c>
      <c r="G366" s="198"/>
    </row>
    <row r="367" spans="1:7" x14ac:dyDescent="0.25">
      <c r="A367" s="166" t="s">
        <v>111</v>
      </c>
      <c r="B367" s="215" t="s">
        <v>112</v>
      </c>
      <c r="C367" s="168"/>
      <c r="D367" s="168"/>
      <c r="E367" s="169"/>
      <c r="F367" s="167">
        <f>F368</f>
        <v>1050000000</v>
      </c>
      <c r="G367" s="221"/>
    </row>
    <row r="368" spans="1:7" x14ac:dyDescent="0.25">
      <c r="A368" s="170"/>
      <c r="B368" s="217" t="s">
        <v>232</v>
      </c>
      <c r="C368" s="172">
        <v>1</v>
      </c>
      <c r="D368" s="172" t="s">
        <v>309</v>
      </c>
      <c r="E368" s="173">
        <v>1050000000</v>
      </c>
      <c r="F368" s="173">
        <f>C368*E368</f>
        <v>1050000000</v>
      </c>
      <c r="G368" s="198"/>
    </row>
    <row r="369" spans="1:7" x14ac:dyDescent="0.25">
      <c r="A369" s="166" t="s">
        <v>113</v>
      </c>
      <c r="B369" s="215" t="s">
        <v>114</v>
      </c>
      <c r="C369" s="168"/>
      <c r="D369" s="168"/>
      <c r="E369" s="169"/>
      <c r="F369" s="167">
        <f>SUM(F370:F372)</f>
        <v>3839997000</v>
      </c>
      <c r="G369" s="221"/>
    </row>
    <row r="370" spans="1:7" x14ac:dyDescent="0.25">
      <c r="A370" s="170"/>
      <c r="B370" s="217" t="s">
        <v>233</v>
      </c>
      <c r="C370" s="172">
        <v>42519</v>
      </c>
      <c r="D370" s="172" t="s">
        <v>301</v>
      </c>
      <c r="E370" s="173">
        <v>41000</v>
      </c>
      <c r="F370" s="173">
        <f>C370*E370</f>
        <v>1743279000</v>
      </c>
      <c r="G370" s="198"/>
    </row>
    <row r="371" spans="1:7" x14ac:dyDescent="0.25">
      <c r="A371" s="170"/>
      <c r="B371" s="217" t="s">
        <v>234</v>
      </c>
      <c r="C371" s="172">
        <v>54254</v>
      </c>
      <c r="D371" s="172" t="s">
        <v>301</v>
      </c>
      <c r="E371" s="173">
        <v>37000</v>
      </c>
      <c r="F371" s="173">
        <f>C371*E371</f>
        <v>2007398000</v>
      </c>
      <c r="G371" s="198"/>
    </row>
    <row r="372" spans="1:7" x14ac:dyDescent="0.25">
      <c r="A372" s="170"/>
      <c r="B372" s="217" t="s">
        <v>235</v>
      </c>
      <c r="C372" s="172">
        <v>2552</v>
      </c>
      <c r="D372" s="172" t="s">
        <v>301</v>
      </c>
      <c r="E372" s="173">
        <v>35000</v>
      </c>
      <c r="F372" s="173">
        <f>C372*E372</f>
        <v>89320000</v>
      </c>
      <c r="G372" s="198"/>
    </row>
    <row r="373" spans="1:7" x14ac:dyDescent="0.25">
      <c r="A373" s="166" t="s">
        <v>115</v>
      </c>
      <c r="B373" s="215" t="s">
        <v>116</v>
      </c>
      <c r="C373" s="168"/>
      <c r="D373" s="168"/>
      <c r="E373" s="169"/>
      <c r="F373" s="167">
        <f>SUM(F374:F376)</f>
        <v>116060000</v>
      </c>
      <c r="G373" s="221"/>
    </row>
    <row r="374" spans="1:7" x14ac:dyDescent="0.25">
      <c r="A374" s="170"/>
      <c r="B374" s="217" t="s">
        <v>236</v>
      </c>
      <c r="C374" s="172">
        <v>1</v>
      </c>
      <c r="D374" s="172" t="s">
        <v>309</v>
      </c>
      <c r="E374" s="173">
        <v>99480000</v>
      </c>
      <c r="F374" s="173">
        <f>C374*E374</f>
        <v>99480000</v>
      </c>
      <c r="G374" s="198"/>
    </row>
    <row r="375" spans="1:7" x14ac:dyDescent="0.25">
      <c r="A375" s="170"/>
      <c r="B375" s="217" t="s">
        <v>237</v>
      </c>
      <c r="C375" s="172">
        <v>1</v>
      </c>
      <c r="D375" s="172" t="s">
        <v>310</v>
      </c>
      <c r="E375" s="173">
        <v>8290000</v>
      </c>
      <c r="F375" s="173">
        <f>C375*E375</f>
        <v>8290000</v>
      </c>
      <c r="G375" s="198"/>
    </row>
    <row r="376" spans="1:7" x14ac:dyDescent="0.25">
      <c r="A376" s="170"/>
      <c r="B376" s="217" t="s">
        <v>238</v>
      </c>
      <c r="C376" s="172">
        <v>1</v>
      </c>
      <c r="D376" s="172" t="s">
        <v>310</v>
      </c>
      <c r="E376" s="173">
        <v>8290000</v>
      </c>
      <c r="F376" s="173">
        <f>C376*E376</f>
        <v>8290000</v>
      </c>
      <c r="G376" s="198"/>
    </row>
    <row r="377" spans="1:7" x14ac:dyDescent="0.25">
      <c r="A377" s="166" t="s">
        <v>117</v>
      </c>
      <c r="B377" s="215" t="s">
        <v>118</v>
      </c>
      <c r="C377" s="168"/>
      <c r="D377" s="168"/>
      <c r="E377" s="169"/>
      <c r="F377" s="167">
        <f>SUM(F378:F401)</f>
        <v>22800000000</v>
      </c>
      <c r="G377" s="221"/>
    </row>
    <row r="378" spans="1:7" x14ac:dyDescent="0.25">
      <c r="A378" s="170"/>
      <c r="B378" s="217" t="s">
        <v>239</v>
      </c>
      <c r="C378" s="172">
        <v>312</v>
      </c>
      <c r="D378" s="172" t="s">
        <v>299</v>
      </c>
      <c r="E378" s="173">
        <v>3500000</v>
      </c>
      <c r="F378" s="173">
        <f t="shared" ref="F378:F401" si="45">C378*E378</f>
        <v>1092000000</v>
      </c>
      <c r="G378" s="198"/>
    </row>
    <row r="379" spans="1:7" x14ac:dyDescent="0.25">
      <c r="A379" s="170"/>
      <c r="B379" s="217" t="s">
        <v>240</v>
      </c>
      <c r="C379" s="172">
        <v>612</v>
      </c>
      <c r="D379" s="172" t="s">
        <v>299</v>
      </c>
      <c r="E379" s="173">
        <v>3500000</v>
      </c>
      <c r="F379" s="173">
        <f t="shared" si="45"/>
        <v>2142000000</v>
      </c>
      <c r="G379" s="198"/>
    </row>
    <row r="380" spans="1:7" x14ac:dyDescent="0.25">
      <c r="A380" s="170"/>
      <c r="B380" s="217" t="s">
        <v>241</v>
      </c>
      <c r="C380" s="172">
        <v>348</v>
      </c>
      <c r="D380" s="172" t="s">
        <v>299</v>
      </c>
      <c r="E380" s="173">
        <v>3500000</v>
      </c>
      <c r="F380" s="173">
        <f t="shared" si="45"/>
        <v>1218000000</v>
      </c>
      <c r="G380" s="198"/>
    </row>
    <row r="381" spans="1:7" x14ac:dyDescent="0.25">
      <c r="A381" s="170"/>
      <c r="B381" s="217" t="s">
        <v>242</v>
      </c>
      <c r="C381" s="172">
        <v>864</v>
      </c>
      <c r="D381" s="172" t="s">
        <v>299</v>
      </c>
      <c r="E381" s="173">
        <v>3500000</v>
      </c>
      <c r="F381" s="173">
        <f t="shared" si="45"/>
        <v>3024000000</v>
      </c>
      <c r="G381" s="198"/>
    </row>
    <row r="382" spans="1:7" x14ac:dyDescent="0.25">
      <c r="A382" s="170"/>
      <c r="B382" s="217" t="s">
        <v>243</v>
      </c>
      <c r="C382" s="172">
        <v>516</v>
      </c>
      <c r="D382" s="172" t="s">
        <v>299</v>
      </c>
      <c r="E382" s="173">
        <v>4000000</v>
      </c>
      <c r="F382" s="173">
        <f t="shared" si="45"/>
        <v>2064000000</v>
      </c>
      <c r="G382" s="198"/>
    </row>
    <row r="383" spans="1:7" x14ac:dyDescent="0.25">
      <c r="A383" s="170"/>
      <c r="B383" s="217" t="s">
        <v>244</v>
      </c>
      <c r="C383" s="172">
        <v>288</v>
      </c>
      <c r="D383" s="172" t="s">
        <v>299</v>
      </c>
      <c r="E383" s="173">
        <v>4000000</v>
      </c>
      <c r="F383" s="173">
        <f t="shared" si="45"/>
        <v>1152000000</v>
      </c>
      <c r="G383" s="198"/>
    </row>
    <row r="384" spans="1:7" x14ac:dyDescent="0.25">
      <c r="A384" s="170"/>
      <c r="B384" s="217" t="s">
        <v>245</v>
      </c>
      <c r="C384" s="172">
        <v>144</v>
      </c>
      <c r="D384" s="172" t="s">
        <v>299</v>
      </c>
      <c r="E384" s="173">
        <v>4100000</v>
      </c>
      <c r="F384" s="173">
        <f t="shared" si="45"/>
        <v>590400000</v>
      </c>
      <c r="G384" s="198"/>
    </row>
    <row r="385" spans="1:7" x14ac:dyDescent="0.25">
      <c r="A385" s="170"/>
      <c r="B385" s="217" t="s">
        <v>246</v>
      </c>
      <c r="C385" s="172">
        <v>396</v>
      </c>
      <c r="D385" s="172" t="s">
        <v>299</v>
      </c>
      <c r="E385" s="173">
        <v>4500000</v>
      </c>
      <c r="F385" s="173">
        <f t="shared" si="45"/>
        <v>1782000000</v>
      </c>
      <c r="G385" s="198"/>
    </row>
    <row r="386" spans="1:7" x14ac:dyDescent="0.25">
      <c r="A386" s="170"/>
      <c r="B386" s="217" t="s">
        <v>247</v>
      </c>
      <c r="C386" s="172">
        <v>144</v>
      </c>
      <c r="D386" s="172" t="s">
        <v>299</v>
      </c>
      <c r="E386" s="173">
        <v>4500000</v>
      </c>
      <c r="F386" s="173">
        <f t="shared" si="45"/>
        <v>648000000</v>
      </c>
      <c r="G386" s="198"/>
    </row>
    <row r="387" spans="1:7" x14ac:dyDescent="0.25">
      <c r="A387" s="170"/>
      <c r="B387" s="216" t="s">
        <v>734</v>
      </c>
      <c r="C387" s="172">
        <v>276</v>
      </c>
      <c r="D387" s="172" t="s">
        <v>299</v>
      </c>
      <c r="E387" s="173">
        <v>4500000</v>
      </c>
      <c r="F387" s="173">
        <f t="shared" si="45"/>
        <v>1242000000</v>
      </c>
      <c r="G387" s="198"/>
    </row>
    <row r="388" spans="1:7" x14ac:dyDescent="0.25">
      <c r="A388" s="170"/>
      <c r="B388" s="217" t="s">
        <v>340</v>
      </c>
      <c r="C388" s="172">
        <v>299</v>
      </c>
      <c r="D388" s="172" t="s">
        <v>299</v>
      </c>
      <c r="E388" s="173">
        <v>4200000</v>
      </c>
      <c r="F388" s="173">
        <f t="shared" si="45"/>
        <v>1255800000</v>
      </c>
      <c r="G388" s="198"/>
    </row>
    <row r="389" spans="1:7" x14ac:dyDescent="0.25">
      <c r="A389" s="170"/>
      <c r="B389" s="217" t="s">
        <v>249</v>
      </c>
      <c r="C389" s="172">
        <v>120</v>
      </c>
      <c r="D389" s="172" t="s">
        <v>299</v>
      </c>
      <c r="E389" s="173">
        <v>4200000</v>
      </c>
      <c r="F389" s="173">
        <f t="shared" si="45"/>
        <v>504000000</v>
      </c>
      <c r="G389" s="198"/>
    </row>
    <row r="390" spans="1:7" x14ac:dyDescent="0.25">
      <c r="A390" s="170"/>
      <c r="B390" s="217" t="s">
        <v>250</v>
      </c>
      <c r="C390" s="172">
        <v>144</v>
      </c>
      <c r="D390" s="172" t="s">
        <v>299</v>
      </c>
      <c r="E390" s="173">
        <v>4500000</v>
      </c>
      <c r="F390" s="173">
        <f t="shared" si="45"/>
        <v>648000000</v>
      </c>
      <c r="G390" s="198"/>
    </row>
    <row r="391" spans="1:7" x14ac:dyDescent="0.25">
      <c r="A391" s="170"/>
      <c r="B391" s="216" t="s">
        <v>730</v>
      </c>
      <c r="C391" s="172">
        <v>144</v>
      </c>
      <c r="D391" s="172" t="s">
        <v>299</v>
      </c>
      <c r="E391" s="173">
        <v>4500000</v>
      </c>
      <c r="F391" s="173">
        <f t="shared" si="45"/>
        <v>648000000</v>
      </c>
      <c r="G391" s="198"/>
    </row>
    <row r="392" spans="1:7" x14ac:dyDescent="0.25">
      <c r="A392" s="170"/>
      <c r="B392" s="216" t="s">
        <v>731</v>
      </c>
      <c r="C392" s="172">
        <v>144</v>
      </c>
      <c r="D392" s="172" t="s">
        <v>299</v>
      </c>
      <c r="E392" s="173">
        <v>4500000</v>
      </c>
      <c r="F392" s="173">
        <f t="shared" si="45"/>
        <v>648000000</v>
      </c>
      <c r="G392" s="198"/>
    </row>
    <row r="393" spans="1:7" x14ac:dyDescent="0.25">
      <c r="A393" s="170"/>
      <c r="B393" s="216" t="s">
        <v>729</v>
      </c>
      <c r="C393" s="172">
        <v>144</v>
      </c>
      <c r="D393" s="172" t="s">
        <v>299</v>
      </c>
      <c r="E393" s="173">
        <v>4500000</v>
      </c>
      <c r="F393" s="173">
        <f t="shared" si="45"/>
        <v>648000000</v>
      </c>
      <c r="G393" s="198"/>
    </row>
    <row r="394" spans="1:7" x14ac:dyDescent="0.25">
      <c r="A394" s="170"/>
      <c r="B394" s="216" t="s">
        <v>732</v>
      </c>
      <c r="C394" s="172">
        <v>144</v>
      </c>
      <c r="D394" s="172" t="s">
        <v>299</v>
      </c>
      <c r="E394" s="173">
        <v>4500000</v>
      </c>
      <c r="F394" s="173">
        <f t="shared" si="45"/>
        <v>648000000</v>
      </c>
      <c r="G394" s="198"/>
    </row>
    <row r="395" spans="1:7" ht="30" x14ac:dyDescent="0.25">
      <c r="A395" s="170"/>
      <c r="B395" s="217" t="s">
        <v>252</v>
      </c>
      <c r="C395" s="172">
        <v>408</v>
      </c>
      <c r="D395" s="172" t="s">
        <v>299</v>
      </c>
      <c r="E395" s="173">
        <v>4500000</v>
      </c>
      <c r="F395" s="173">
        <f t="shared" si="45"/>
        <v>1836000000</v>
      </c>
      <c r="G395" s="198"/>
    </row>
    <row r="396" spans="1:7" ht="30" x14ac:dyDescent="0.25">
      <c r="A396" s="170"/>
      <c r="B396" s="217" t="s">
        <v>253</v>
      </c>
      <c r="C396" s="172">
        <v>84</v>
      </c>
      <c r="D396" s="172" t="s">
        <v>299</v>
      </c>
      <c r="E396" s="173">
        <v>4200000</v>
      </c>
      <c r="F396" s="173">
        <f t="shared" si="45"/>
        <v>352800000</v>
      </c>
      <c r="G396" s="198"/>
    </row>
    <row r="397" spans="1:7" ht="30" x14ac:dyDescent="0.25">
      <c r="A397" s="170"/>
      <c r="B397" s="217" t="s">
        <v>254</v>
      </c>
      <c r="C397" s="172">
        <v>60</v>
      </c>
      <c r="D397" s="172" t="s">
        <v>299</v>
      </c>
      <c r="E397" s="173">
        <v>4200000</v>
      </c>
      <c r="F397" s="173">
        <f t="shared" si="45"/>
        <v>252000000</v>
      </c>
      <c r="G397" s="198"/>
    </row>
    <row r="398" spans="1:7" ht="30" x14ac:dyDescent="0.25">
      <c r="A398" s="170"/>
      <c r="B398" s="217" t="s">
        <v>255</v>
      </c>
      <c r="C398" s="172">
        <v>60</v>
      </c>
      <c r="D398" s="172" t="s">
        <v>299</v>
      </c>
      <c r="E398" s="173">
        <v>4200000</v>
      </c>
      <c r="F398" s="173">
        <f t="shared" si="45"/>
        <v>252000000</v>
      </c>
      <c r="G398" s="198"/>
    </row>
    <row r="399" spans="1:7" ht="30" x14ac:dyDescent="0.25">
      <c r="A399" s="170"/>
      <c r="B399" s="217" t="s">
        <v>256</v>
      </c>
      <c r="C399" s="172">
        <v>12</v>
      </c>
      <c r="D399" s="172" t="s">
        <v>299</v>
      </c>
      <c r="E399" s="173">
        <v>4200000</v>
      </c>
      <c r="F399" s="173">
        <f t="shared" si="45"/>
        <v>50400000</v>
      </c>
      <c r="G399" s="198"/>
    </row>
    <row r="400" spans="1:7" ht="30" x14ac:dyDescent="0.25">
      <c r="A400" s="170"/>
      <c r="B400" s="217" t="s">
        <v>257</v>
      </c>
      <c r="C400" s="172">
        <v>24</v>
      </c>
      <c r="D400" s="172" t="s">
        <v>299</v>
      </c>
      <c r="E400" s="173">
        <v>4100000</v>
      </c>
      <c r="F400" s="173">
        <f t="shared" si="45"/>
        <v>98400000</v>
      </c>
      <c r="G400" s="198"/>
    </row>
    <row r="401" spans="1:7" x14ac:dyDescent="0.25">
      <c r="A401" s="170"/>
      <c r="B401" s="216" t="s">
        <v>733</v>
      </c>
      <c r="C401" s="172">
        <v>1</v>
      </c>
      <c r="D401" s="172" t="s">
        <v>299</v>
      </c>
      <c r="E401" s="173">
        <v>4200000</v>
      </c>
      <c r="F401" s="173">
        <f t="shared" si="45"/>
        <v>4200000</v>
      </c>
      <c r="G401" s="198"/>
    </row>
    <row r="402" spans="1:7" x14ac:dyDescent="0.25">
      <c r="A402" s="166" t="s">
        <v>119</v>
      </c>
      <c r="B402" s="215" t="s">
        <v>120</v>
      </c>
      <c r="C402" s="168"/>
      <c r="D402" s="168"/>
      <c r="E402" s="169"/>
      <c r="F402" s="167">
        <f>SUM(F403:F411)</f>
        <v>10200000000</v>
      </c>
      <c r="G402" s="221"/>
    </row>
    <row r="403" spans="1:7" ht="30" x14ac:dyDescent="0.25">
      <c r="A403" s="170"/>
      <c r="B403" s="217" t="s">
        <v>259</v>
      </c>
      <c r="C403" s="172">
        <v>242</v>
      </c>
      <c r="D403" s="172" t="s">
        <v>299</v>
      </c>
      <c r="E403" s="173">
        <v>17450000</v>
      </c>
      <c r="F403" s="173">
        <f t="shared" ref="F403:F411" si="46">C403*E403</f>
        <v>4222900000</v>
      </c>
      <c r="G403" s="198"/>
    </row>
    <row r="404" spans="1:7" x14ac:dyDescent="0.25">
      <c r="A404" s="170"/>
      <c r="B404" s="217" t="s">
        <v>260</v>
      </c>
      <c r="C404" s="172">
        <v>84</v>
      </c>
      <c r="D404" s="172" t="s">
        <v>299</v>
      </c>
      <c r="E404" s="173">
        <v>17500000</v>
      </c>
      <c r="F404" s="173">
        <f t="shared" si="46"/>
        <v>1470000000</v>
      </c>
      <c r="G404" s="198"/>
    </row>
    <row r="405" spans="1:7" x14ac:dyDescent="0.25">
      <c r="A405" s="170"/>
      <c r="B405" s="217" t="s">
        <v>261</v>
      </c>
      <c r="C405" s="172">
        <v>60</v>
      </c>
      <c r="D405" s="172" t="s">
        <v>299</v>
      </c>
      <c r="E405" s="173">
        <v>17500000</v>
      </c>
      <c r="F405" s="173">
        <f t="shared" si="46"/>
        <v>1050000000</v>
      </c>
      <c r="G405" s="198"/>
    </row>
    <row r="406" spans="1:7" x14ac:dyDescent="0.25">
      <c r="A406" s="170"/>
      <c r="B406" s="217" t="s">
        <v>262</v>
      </c>
      <c r="C406" s="172">
        <v>60</v>
      </c>
      <c r="D406" s="172" t="s">
        <v>299</v>
      </c>
      <c r="E406" s="173">
        <v>17500000</v>
      </c>
      <c r="F406" s="173">
        <f t="shared" si="46"/>
        <v>1050000000</v>
      </c>
      <c r="G406" s="198"/>
    </row>
    <row r="407" spans="1:7" x14ac:dyDescent="0.25">
      <c r="A407" s="170"/>
      <c r="B407" s="217" t="s">
        <v>263</v>
      </c>
      <c r="C407" s="172">
        <v>18</v>
      </c>
      <c r="D407" s="172" t="s">
        <v>299</v>
      </c>
      <c r="E407" s="173">
        <v>17500000</v>
      </c>
      <c r="F407" s="173">
        <f t="shared" si="46"/>
        <v>315000000</v>
      </c>
      <c r="G407" s="198"/>
    </row>
    <row r="408" spans="1:7" x14ac:dyDescent="0.25">
      <c r="A408" s="170"/>
      <c r="B408" s="217" t="s">
        <v>264</v>
      </c>
      <c r="C408" s="172">
        <v>24</v>
      </c>
      <c r="D408" s="172" t="s">
        <v>299</v>
      </c>
      <c r="E408" s="173">
        <v>16900000</v>
      </c>
      <c r="F408" s="173">
        <f t="shared" si="46"/>
        <v>405600000</v>
      </c>
      <c r="G408" s="198"/>
    </row>
    <row r="409" spans="1:7" ht="30" x14ac:dyDescent="0.25">
      <c r="A409" s="170"/>
      <c r="B409" s="216" t="s">
        <v>735</v>
      </c>
      <c r="C409" s="172">
        <v>84</v>
      </c>
      <c r="D409" s="172" t="s">
        <v>299</v>
      </c>
      <c r="E409" s="173">
        <v>17500000</v>
      </c>
      <c r="F409" s="173">
        <f t="shared" si="46"/>
        <v>1470000000</v>
      </c>
      <c r="G409" s="198"/>
    </row>
    <row r="410" spans="1:7" x14ac:dyDescent="0.25">
      <c r="A410" s="170"/>
      <c r="B410" s="217" t="s">
        <v>265</v>
      </c>
      <c r="C410" s="172">
        <v>12</v>
      </c>
      <c r="D410" s="172" t="s">
        <v>299</v>
      </c>
      <c r="E410" s="173">
        <v>16900000</v>
      </c>
      <c r="F410" s="173">
        <f t="shared" si="46"/>
        <v>202800000</v>
      </c>
      <c r="G410" s="198"/>
    </row>
    <row r="411" spans="1:7" x14ac:dyDescent="0.25">
      <c r="A411" s="170"/>
      <c r="B411" s="217" t="s">
        <v>266</v>
      </c>
      <c r="C411" s="172">
        <v>1</v>
      </c>
      <c r="D411" s="172" t="s">
        <v>299</v>
      </c>
      <c r="E411" s="173">
        <v>13700000</v>
      </c>
      <c r="F411" s="173">
        <f t="shared" si="46"/>
        <v>13700000</v>
      </c>
      <c r="G411" s="198"/>
    </row>
    <row r="412" spans="1:7" s="1" customFormat="1" x14ac:dyDescent="0.25">
      <c r="A412" s="223">
        <v>511611</v>
      </c>
      <c r="B412" s="215" t="s">
        <v>594</v>
      </c>
      <c r="C412" s="168"/>
      <c r="D412" s="168"/>
      <c r="E412" s="169"/>
      <c r="F412" s="167">
        <f>F413</f>
        <v>490000000</v>
      </c>
      <c r="G412" s="221"/>
    </row>
    <row r="413" spans="1:7" s="1" customFormat="1" x14ac:dyDescent="0.25">
      <c r="A413" s="170"/>
      <c r="B413" s="216" t="s">
        <v>595</v>
      </c>
      <c r="C413" s="172">
        <v>1</v>
      </c>
      <c r="D413" s="172" t="s">
        <v>309</v>
      </c>
      <c r="E413" s="173">
        <v>490000000</v>
      </c>
      <c r="F413" s="173">
        <f>C413*E413</f>
        <v>490000000</v>
      </c>
      <c r="G413" s="198"/>
    </row>
    <row r="414" spans="1:7" s="1" customFormat="1" x14ac:dyDescent="0.25">
      <c r="A414" s="223">
        <v>511619</v>
      </c>
      <c r="B414" s="215" t="s">
        <v>596</v>
      </c>
      <c r="C414" s="168"/>
      <c r="D414" s="168"/>
      <c r="E414" s="169"/>
      <c r="F414" s="167">
        <f>F415</f>
        <v>24000</v>
      </c>
      <c r="G414" s="221"/>
    </row>
    <row r="415" spans="1:7" s="1" customFormat="1" x14ac:dyDescent="0.25">
      <c r="A415" s="170"/>
      <c r="B415" s="216" t="s">
        <v>597</v>
      </c>
      <c r="C415" s="172">
        <v>1</v>
      </c>
      <c r="D415" s="172" t="s">
        <v>309</v>
      </c>
      <c r="E415" s="173">
        <v>24000</v>
      </c>
      <c r="F415" s="173">
        <f>C415*E415</f>
        <v>24000</v>
      </c>
      <c r="G415" s="198"/>
    </row>
    <row r="416" spans="1:7" s="1" customFormat="1" x14ac:dyDescent="0.25">
      <c r="A416" s="223">
        <v>511621</v>
      </c>
      <c r="B416" s="215" t="s">
        <v>598</v>
      </c>
      <c r="C416" s="168"/>
      <c r="D416" s="168"/>
      <c r="E416" s="169"/>
      <c r="F416" s="167">
        <f>F417</f>
        <v>56000000</v>
      </c>
      <c r="G416" s="221"/>
    </row>
    <row r="417" spans="1:7" s="1" customFormat="1" x14ac:dyDescent="0.25">
      <c r="A417" s="170"/>
      <c r="B417" s="216" t="s">
        <v>599</v>
      </c>
      <c r="C417" s="172">
        <v>1</v>
      </c>
      <c r="D417" s="172" t="s">
        <v>309</v>
      </c>
      <c r="E417" s="173">
        <v>56000000</v>
      </c>
      <c r="F417" s="173">
        <f>C417*E417</f>
        <v>56000000</v>
      </c>
      <c r="G417" s="198"/>
    </row>
    <row r="418" spans="1:7" s="1" customFormat="1" x14ac:dyDescent="0.25">
      <c r="A418" s="223">
        <v>511622</v>
      </c>
      <c r="B418" s="215" t="s">
        <v>600</v>
      </c>
      <c r="C418" s="168"/>
      <c r="D418" s="168"/>
      <c r="E418" s="169"/>
      <c r="F418" s="167">
        <f>F419</f>
        <v>28000000</v>
      </c>
      <c r="G418" s="221"/>
    </row>
    <row r="419" spans="1:7" s="1" customFormat="1" x14ac:dyDescent="0.25">
      <c r="A419" s="170"/>
      <c r="B419" s="216" t="s">
        <v>601</v>
      </c>
      <c r="C419" s="172">
        <v>1</v>
      </c>
      <c r="D419" s="172" t="s">
        <v>309</v>
      </c>
      <c r="E419" s="173">
        <v>28000000</v>
      </c>
      <c r="F419" s="173">
        <f>C419*E419</f>
        <v>28000000</v>
      </c>
      <c r="G419" s="198"/>
    </row>
    <row r="420" spans="1:7" s="1" customFormat="1" x14ac:dyDescent="0.25">
      <c r="A420" s="223">
        <v>511624</v>
      </c>
      <c r="B420" s="215" t="s">
        <v>602</v>
      </c>
      <c r="C420" s="168"/>
      <c r="D420" s="168"/>
      <c r="E420" s="169"/>
      <c r="F420" s="167">
        <f>F421</f>
        <v>126000000</v>
      </c>
      <c r="G420" s="221"/>
    </row>
    <row r="421" spans="1:7" s="1" customFormat="1" x14ac:dyDescent="0.25">
      <c r="A421" s="170"/>
      <c r="B421" s="216" t="s">
        <v>603</v>
      </c>
      <c r="C421" s="172">
        <v>1</v>
      </c>
      <c r="D421" s="172" t="s">
        <v>309</v>
      </c>
      <c r="E421" s="173">
        <v>126000000</v>
      </c>
      <c r="F421" s="173">
        <f>C421*E421</f>
        <v>126000000</v>
      </c>
      <c r="G421" s="198"/>
    </row>
    <row r="422" spans="1:7" s="1" customFormat="1" x14ac:dyDescent="0.25">
      <c r="A422" s="223">
        <v>511625</v>
      </c>
      <c r="B422" s="215" t="s">
        <v>604</v>
      </c>
      <c r="C422" s="168"/>
      <c r="D422" s="168"/>
      <c r="E422" s="169"/>
      <c r="F422" s="167">
        <f>F423</f>
        <v>42000000</v>
      </c>
      <c r="G422" s="221"/>
    </row>
    <row r="423" spans="1:7" s="1" customFormat="1" x14ac:dyDescent="0.25">
      <c r="A423" s="170"/>
      <c r="B423" s="216" t="s">
        <v>605</v>
      </c>
      <c r="C423" s="172">
        <v>1</v>
      </c>
      <c r="D423" s="172" t="s">
        <v>309</v>
      </c>
      <c r="E423" s="173">
        <v>42000000</v>
      </c>
      <c r="F423" s="173">
        <f>C423*E423</f>
        <v>42000000</v>
      </c>
      <c r="G423" s="198"/>
    </row>
    <row r="424" spans="1:7" s="1" customFormat="1" x14ac:dyDescent="0.25">
      <c r="A424" s="223">
        <v>511628</v>
      </c>
      <c r="B424" s="215" t="s">
        <v>606</v>
      </c>
      <c r="C424" s="168"/>
      <c r="D424" s="168"/>
      <c r="E424" s="169"/>
      <c r="F424" s="167">
        <f>F425</f>
        <v>98000000</v>
      </c>
      <c r="G424" s="221"/>
    </row>
    <row r="425" spans="1:7" s="1" customFormat="1" x14ac:dyDescent="0.25">
      <c r="A425" s="170"/>
      <c r="B425" s="216" t="s">
        <v>607</v>
      </c>
      <c r="C425" s="172">
        <v>1</v>
      </c>
      <c r="D425" s="172" t="s">
        <v>309</v>
      </c>
      <c r="E425" s="173">
        <v>98000000</v>
      </c>
      <c r="F425" s="173">
        <f>C425*E425</f>
        <v>98000000</v>
      </c>
      <c r="G425" s="198"/>
    </row>
    <row r="426" spans="1:7" x14ac:dyDescent="0.25">
      <c r="A426" s="166" t="s">
        <v>121</v>
      </c>
      <c r="B426" s="215" t="s">
        <v>122</v>
      </c>
      <c r="C426" s="168"/>
      <c r="D426" s="168"/>
      <c r="E426" s="169"/>
      <c r="F426" s="167">
        <f>SUM(F427:F432)</f>
        <v>59997000</v>
      </c>
      <c r="G426" s="221"/>
    </row>
    <row r="427" spans="1:7" x14ac:dyDescent="0.25">
      <c r="A427" s="170"/>
      <c r="B427" s="217" t="s">
        <v>267</v>
      </c>
      <c r="C427" s="172">
        <v>50</v>
      </c>
      <c r="D427" s="172" t="s">
        <v>297</v>
      </c>
      <c r="E427" s="173">
        <v>36000</v>
      </c>
      <c r="F427" s="173">
        <f>C427*E427</f>
        <v>1800000</v>
      </c>
      <c r="G427" s="198"/>
    </row>
    <row r="428" spans="1:7" x14ac:dyDescent="0.25">
      <c r="A428" s="170"/>
      <c r="B428" s="217" t="s">
        <v>268</v>
      </c>
      <c r="C428" s="172">
        <v>846</v>
      </c>
      <c r="D428" s="172" t="s">
        <v>297</v>
      </c>
      <c r="E428" s="173">
        <v>30000</v>
      </c>
      <c r="F428" s="173">
        <f t="shared" ref="F428:F432" si="47">C428*E428</f>
        <v>25380000</v>
      </c>
      <c r="G428" s="198"/>
    </row>
    <row r="429" spans="1:7" x14ac:dyDescent="0.25">
      <c r="A429" s="170"/>
      <c r="B429" s="217" t="s">
        <v>269</v>
      </c>
      <c r="C429" s="172">
        <v>20</v>
      </c>
      <c r="D429" s="172" t="s">
        <v>297</v>
      </c>
      <c r="E429" s="173">
        <v>24000</v>
      </c>
      <c r="F429" s="173">
        <f t="shared" si="47"/>
        <v>480000</v>
      </c>
      <c r="G429" s="198"/>
    </row>
    <row r="430" spans="1:7" x14ac:dyDescent="0.25">
      <c r="A430" s="170"/>
      <c r="B430" s="217" t="s">
        <v>233</v>
      </c>
      <c r="C430" s="172">
        <v>23</v>
      </c>
      <c r="D430" s="172" t="s">
        <v>301</v>
      </c>
      <c r="E430" s="173">
        <v>41000</v>
      </c>
      <c r="F430" s="173">
        <f t="shared" si="47"/>
        <v>943000</v>
      </c>
      <c r="G430" s="198"/>
    </row>
    <row r="431" spans="1:7" x14ac:dyDescent="0.25">
      <c r="A431" s="170"/>
      <c r="B431" s="217" t="s">
        <v>234</v>
      </c>
      <c r="C431" s="172">
        <v>822</v>
      </c>
      <c r="D431" s="172" t="s">
        <v>301</v>
      </c>
      <c r="E431" s="173">
        <v>37000</v>
      </c>
      <c r="F431" s="173">
        <f t="shared" si="47"/>
        <v>30414000</v>
      </c>
      <c r="G431" s="198"/>
    </row>
    <row r="432" spans="1:7" x14ac:dyDescent="0.25">
      <c r="A432" s="170"/>
      <c r="B432" s="216" t="s">
        <v>773</v>
      </c>
      <c r="C432" s="172">
        <v>28</v>
      </c>
      <c r="D432" s="172" t="s">
        <v>301</v>
      </c>
      <c r="E432" s="173">
        <v>35000</v>
      </c>
      <c r="F432" s="173">
        <f t="shared" si="47"/>
        <v>980000</v>
      </c>
      <c r="G432" s="198"/>
    </row>
    <row r="433" spans="1:7" s="1" customFormat="1" x14ac:dyDescent="0.25">
      <c r="A433" s="223">
        <v>512212</v>
      </c>
      <c r="B433" s="215" t="s">
        <v>608</v>
      </c>
      <c r="C433" s="168"/>
      <c r="D433" s="168"/>
      <c r="E433" s="169"/>
      <c r="F433" s="167">
        <f>SUM(F434:F435)</f>
        <v>24002000</v>
      </c>
      <c r="G433" s="221"/>
    </row>
    <row r="434" spans="1:7" s="1" customFormat="1" x14ac:dyDescent="0.25">
      <c r="A434" s="170"/>
      <c r="B434" s="216" t="s">
        <v>632</v>
      </c>
      <c r="C434" s="172">
        <v>694</v>
      </c>
      <c r="D434" s="172" t="s">
        <v>297</v>
      </c>
      <c r="E434" s="173">
        <v>30000</v>
      </c>
      <c r="F434" s="173">
        <f>C434*E434</f>
        <v>20820000</v>
      </c>
      <c r="G434" s="198"/>
    </row>
    <row r="435" spans="1:7" s="1" customFormat="1" x14ac:dyDescent="0.25">
      <c r="A435" s="170"/>
      <c r="B435" s="216" t="s">
        <v>633</v>
      </c>
      <c r="C435" s="172">
        <v>86</v>
      </c>
      <c r="D435" s="172" t="s">
        <v>301</v>
      </c>
      <c r="E435" s="173">
        <v>37000</v>
      </c>
      <c r="F435" s="173">
        <f>C435*E435</f>
        <v>3182000</v>
      </c>
      <c r="G435" s="198"/>
    </row>
    <row r="436" spans="1:7" x14ac:dyDescent="0.25">
      <c r="A436" s="223">
        <v>512411</v>
      </c>
      <c r="B436" s="215" t="s">
        <v>626</v>
      </c>
      <c r="C436" s="168"/>
      <c r="D436" s="168"/>
      <c r="E436" s="169"/>
      <c r="F436" s="167">
        <f>SUM(F437:F437)</f>
        <v>3220000000</v>
      </c>
      <c r="G436" s="221"/>
    </row>
    <row r="437" spans="1:7" x14ac:dyDescent="0.25">
      <c r="A437" s="170"/>
      <c r="B437" s="216" t="s">
        <v>627</v>
      </c>
      <c r="C437" s="172">
        <v>1</v>
      </c>
      <c r="D437" s="172" t="s">
        <v>309</v>
      </c>
      <c r="E437" s="173">
        <v>3220000000</v>
      </c>
      <c r="F437" s="173">
        <f>C437*E437</f>
        <v>3220000000</v>
      </c>
      <c r="G437" s="198"/>
    </row>
    <row r="438" spans="1:7" x14ac:dyDescent="0.25">
      <c r="A438" s="223">
        <v>512414</v>
      </c>
      <c r="B438" s="215" t="s">
        <v>628</v>
      </c>
      <c r="C438" s="168"/>
      <c r="D438" s="168"/>
      <c r="E438" s="169"/>
      <c r="F438" s="167">
        <f>SUM(F439:F439)</f>
        <v>700000000</v>
      </c>
      <c r="G438" s="221"/>
    </row>
    <row r="439" spans="1:7" x14ac:dyDescent="0.25">
      <c r="A439" s="170"/>
      <c r="B439" s="216" t="s">
        <v>629</v>
      </c>
      <c r="C439" s="172">
        <v>1</v>
      </c>
      <c r="D439" s="172" t="s">
        <v>309</v>
      </c>
      <c r="E439" s="173">
        <v>700000000</v>
      </c>
      <c r="F439" s="173">
        <f>C439*E439</f>
        <v>700000000</v>
      </c>
      <c r="G439" s="198"/>
    </row>
    <row r="440" spans="1:7" x14ac:dyDescent="0.25">
      <c r="A440" s="162" t="s">
        <v>26</v>
      </c>
      <c r="B440" s="236" t="s">
        <v>638</v>
      </c>
      <c r="C440" s="165"/>
      <c r="D440" s="239"/>
      <c r="E440" s="240"/>
      <c r="F440" s="239">
        <f>F441</f>
        <v>34614008000</v>
      </c>
    </row>
    <row r="441" spans="1:7" x14ac:dyDescent="0.25">
      <c r="A441" s="223">
        <v>512411</v>
      </c>
      <c r="B441" s="215" t="s">
        <v>626</v>
      </c>
      <c r="C441" s="167"/>
      <c r="D441" s="237"/>
      <c r="E441" s="237"/>
      <c r="F441" s="238">
        <f>F442</f>
        <v>34614008000</v>
      </c>
    </row>
    <row r="442" spans="1:7" x14ac:dyDescent="0.25">
      <c r="A442" s="170"/>
      <c r="B442" s="216" t="s">
        <v>639</v>
      </c>
      <c r="C442" s="172">
        <v>1</v>
      </c>
      <c r="D442" s="172" t="s">
        <v>309</v>
      </c>
      <c r="E442" s="173">
        <v>34614008000</v>
      </c>
      <c r="F442" s="173">
        <f>C442*E442</f>
        <v>34614008000</v>
      </c>
    </row>
    <row r="443" spans="1:7" x14ac:dyDescent="0.25">
      <c r="A443" s="158" t="s">
        <v>123</v>
      </c>
      <c r="B443" s="158" t="s">
        <v>124</v>
      </c>
      <c r="C443" s="233" t="s">
        <v>11</v>
      </c>
      <c r="D443" s="233"/>
      <c r="E443" s="234"/>
      <c r="F443" s="235">
        <f>F444+F466+F473+F478</f>
        <v>6399040000</v>
      </c>
    </row>
    <row r="444" spans="1:7" x14ac:dyDescent="0.25">
      <c r="A444" s="162" t="s">
        <v>12</v>
      </c>
      <c r="B444" s="162" t="s">
        <v>125</v>
      </c>
      <c r="C444" s="163"/>
      <c r="D444" s="163"/>
      <c r="E444" s="164"/>
      <c r="F444" s="165">
        <f>F445+F450+F462+F464</f>
        <v>813325000</v>
      </c>
    </row>
    <row r="445" spans="1:7" x14ac:dyDescent="0.25">
      <c r="A445" s="166" t="s">
        <v>126</v>
      </c>
      <c r="B445" s="166" t="s">
        <v>127</v>
      </c>
      <c r="C445" s="168"/>
      <c r="D445" s="168"/>
      <c r="E445" s="169"/>
      <c r="F445" s="167">
        <f>SUM(F446:F449)</f>
        <v>417085000</v>
      </c>
    </row>
    <row r="446" spans="1:7" ht="30" x14ac:dyDescent="0.25">
      <c r="A446" s="170"/>
      <c r="B446" s="217" t="s">
        <v>270</v>
      </c>
      <c r="C446" s="219">
        <v>80</v>
      </c>
      <c r="D446" s="172" t="s">
        <v>305</v>
      </c>
      <c r="E446" s="173">
        <v>1520000</v>
      </c>
      <c r="F446" s="173">
        <f t="shared" ref="F446:F449" si="48">C446*E446</f>
        <v>121600000</v>
      </c>
    </row>
    <row r="447" spans="1:7" x14ac:dyDescent="0.25">
      <c r="A447" s="170"/>
      <c r="B447" s="217" t="s">
        <v>274</v>
      </c>
      <c r="C447" s="219">
        <v>1</v>
      </c>
      <c r="D447" s="172" t="s">
        <v>309</v>
      </c>
      <c r="E447" s="173">
        <f>65000000-19517000+2000</f>
        <v>45485000</v>
      </c>
      <c r="F447" s="173">
        <f t="shared" si="48"/>
        <v>45485000</v>
      </c>
    </row>
    <row r="448" spans="1:7" x14ac:dyDescent="0.25">
      <c r="A448" s="170"/>
      <c r="B448" s="217" t="s">
        <v>275</v>
      </c>
      <c r="C448" s="219">
        <v>1</v>
      </c>
      <c r="D448" s="172" t="s">
        <v>309</v>
      </c>
      <c r="E448" s="173">
        <v>10000000</v>
      </c>
      <c r="F448" s="173">
        <f t="shared" si="48"/>
        <v>10000000</v>
      </c>
    </row>
    <row r="449" spans="1:6" x14ac:dyDescent="0.25">
      <c r="A449" s="170"/>
      <c r="B449" s="216" t="s">
        <v>631</v>
      </c>
      <c r="C449" s="219">
        <v>1</v>
      </c>
      <c r="D449" s="172" t="s">
        <v>309</v>
      </c>
      <c r="E449" s="173">
        <v>240000000</v>
      </c>
      <c r="F449" s="173">
        <f t="shared" si="48"/>
        <v>240000000</v>
      </c>
    </row>
    <row r="450" spans="1:6" x14ac:dyDescent="0.25">
      <c r="A450" s="166" t="s">
        <v>128</v>
      </c>
      <c r="B450" s="166" t="s">
        <v>129</v>
      </c>
      <c r="C450" s="168"/>
      <c r="D450" s="168"/>
      <c r="E450" s="169"/>
      <c r="F450" s="167">
        <f>SUM(F451:F461)</f>
        <v>204240000</v>
      </c>
    </row>
    <row r="451" spans="1:6" x14ac:dyDescent="0.25">
      <c r="A451" s="170"/>
      <c r="B451" s="177" t="s">
        <v>412</v>
      </c>
      <c r="C451" s="172">
        <v>12</v>
      </c>
      <c r="D451" s="172" t="s">
        <v>299</v>
      </c>
      <c r="E451" s="214">
        <v>200000</v>
      </c>
      <c r="F451" s="173">
        <f>C451*E451</f>
        <v>2400000</v>
      </c>
    </row>
    <row r="452" spans="1:6" x14ac:dyDescent="0.25">
      <c r="A452" s="170"/>
      <c r="B452" s="177" t="s">
        <v>413</v>
      </c>
      <c r="C452" s="172">
        <v>12</v>
      </c>
      <c r="D452" s="172" t="s">
        <v>299</v>
      </c>
      <c r="E452" s="214">
        <v>200000</v>
      </c>
      <c r="F452" s="173">
        <f t="shared" ref="F452:F461" si="49">C452*E452</f>
        <v>2400000</v>
      </c>
    </row>
    <row r="453" spans="1:6" x14ac:dyDescent="0.25">
      <c r="A453" s="170"/>
      <c r="B453" s="177" t="s">
        <v>414</v>
      </c>
      <c r="C453" s="172">
        <v>36</v>
      </c>
      <c r="D453" s="172" t="s">
        <v>299</v>
      </c>
      <c r="E453" s="214">
        <v>150000</v>
      </c>
      <c r="F453" s="173">
        <f t="shared" si="49"/>
        <v>5400000</v>
      </c>
    </row>
    <row r="454" spans="1:6" x14ac:dyDescent="0.25">
      <c r="A454" s="170"/>
      <c r="B454" s="177" t="s">
        <v>415</v>
      </c>
      <c r="C454" s="172">
        <v>12</v>
      </c>
      <c r="D454" s="172" t="s">
        <v>299</v>
      </c>
      <c r="E454" s="214">
        <v>150000</v>
      </c>
      <c r="F454" s="173">
        <f t="shared" si="49"/>
        <v>1800000</v>
      </c>
    </row>
    <row r="455" spans="1:6" ht="30" x14ac:dyDescent="0.25">
      <c r="A455" s="170"/>
      <c r="B455" s="177" t="s">
        <v>416</v>
      </c>
      <c r="C455" s="172">
        <v>24</v>
      </c>
      <c r="D455" s="172" t="s">
        <v>299</v>
      </c>
      <c r="E455" s="214">
        <v>180000</v>
      </c>
      <c r="F455" s="173">
        <f t="shared" si="49"/>
        <v>4320000</v>
      </c>
    </row>
    <row r="456" spans="1:6" ht="30" x14ac:dyDescent="0.25">
      <c r="A456" s="170"/>
      <c r="B456" s="177" t="s">
        <v>697</v>
      </c>
      <c r="C456" s="172">
        <v>12</v>
      </c>
      <c r="D456" s="172" t="s">
        <v>299</v>
      </c>
      <c r="E456" s="214">
        <v>3500000</v>
      </c>
      <c r="F456" s="173">
        <f t="shared" si="49"/>
        <v>42000000</v>
      </c>
    </row>
    <row r="457" spans="1:6" ht="30" x14ac:dyDescent="0.25">
      <c r="A457" s="170"/>
      <c r="B457" s="177" t="s">
        <v>698</v>
      </c>
      <c r="C457" s="172">
        <v>12</v>
      </c>
      <c r="D457" s="172" t="s">
        <v>299</v>
      </c>
      <c r="E457" s="214">
        <v>3390000</v>
      </c>
      <c r="F457" s="173">
        <f t="shared" si="49"/>
        <v>40680000</v>
      </c>
    </row>
    <row r="458" spans="1:6" ht="30" x14ac:dyDescent="0.25">
      <c r="A458" s="170"/>
      <c r="B458" s="177" t="s">
        <v>699</v>
      </c>
      <c r="C458" s="172">
        <v>12</v>
      </c>
      <c r="D458" s="172" t="s">
        <v>299</v>
      </c>
      <c r="E458" s="214">
        <v>1940000</v>
      </c>
      <c r="F458" s="173">
        <f t="shared" si="49"/>
        <v>23280000</v>
      </c>
    </row>
    <row r="459" spans="1:6" ht="30" x14ac:dyDescent="0.25">
      <c r="A459" s="170"/>
      <c r="B459" s="177" t="s">
        <v>700</v>
      </c>
      <c r="C459" s="172">
        <v>12</v>
      </c>
      <c r="D459" s="172" t="s">
        <v>299</v>
      </c>
      <c r="E459" s="214">
        <v>1690000</v>
      </c>
      <c r="F459" s="173">
        <f t="shared" si="49"/>
        <v>20280000</v>
      </c>
    </row>
    <row r="460" spans="1:6" x14ac:dyDescent="0.25">
      <c r="A460" s="170"/>
      <c r="B460" s="177" t="s">
        <v>701</v>
      </c>
      <c r="C460" s="172">
        <v>36</v>
      </c>
      <c r="D460" s="172" t="s">
        <v>299</v>
      </c>
      <c r="E460" s="214">
        <v>1260000</v>
      </c>
      <c r="F460" s="173">
        <f t="shared" si="49"/>
        <v>45360000</v>
      </c>
    </row>
    <row r="461" spans="1:6" x14ac:dyDescent="0.25">
      <c r="A461" s="170"/>
      <c r="B461" s="177" t="s">
        <v>422</v>
      </c>
      <c r="C461" s="172">
        <v>24</v>
      </c>
      <c r="D461" s="172" t="s">
        <v>299</v>
      </c>
      <c r="E461" s="214">
        <v>680000</v>
      </c>
      <c r="F461" s="173">
        <f t="shared" si="49"/>
        <v>16320000</v>
      </c>
    </row>
    <row r="462" spans="1:6" x14ac:dyDescent="0.25">
      <c r="A462" s="166" t="s">
        <v>90</v>
      </c>
      <c r="B462" s="166" t="s">
        <v>91</v>
      </c>
      <c r="C462" s="168"/>
      <c r="D462" s="168"/>
      <c r="E462" s="169"/>
      <c r="F462" s="167">
        <f>F463</f>
        <v>12000000</v>
      </c>
    </row>
    <row r="463" spans="1:6" x14ac:dyDescent="0.25">
      <c r="A463" s="170"/>
      <c r="B463" s="171" t="s">
        <v>423</v>
      </c>
      <c r="C463" s="172">
        <v>24</v>
      </c>
      <c r="D463" s="172" t="s">
        <v>296</v>
      </c>
      <c r="E463" s="173">
        <v>500000</v>
      </c>
      <c r="F463" s="173">
        <f>C463*E463</f>
        <v>12000000</v>
      </c>
    </row>
    <row r="464" spans="1:6" x14ac:dyDescent="0.25">
      <c r="A464" s="166" t="s">
        <v>130</v>
      </c>
      <c r="B464" s="166" t="s">
        <v>131</v>
      </c>
      <c r="C464" s="168"/>
      <c r="D464" s="168"/>
      <c r="E464" s="169"/>
      <c r="F464" s="271">
        <f>F465</f>
        <v>180000000</v>
      </c>
    </row>
    <row r="465" spans="1:6" x14ac:dyDescent="0.25">
      <c r="A465" s="170"/>
      <c r="B465" s="177" t="s">
        <v>169</v>
      </c>
      <c r="C465" s="172">
        <v>12</v>
      </c>
      <c r="D465" s="172" t="s">
        <v>313</v>
      </c>
      <c r="E465" s="173">
        <v>15000000</v>
      </c>
      <c r="F465" s="272">
        <f>C465*E465</f>
        <v>180000000</v>
      </c>
    </row>
    <row r="466" spans="1:6" x14ac:dyDescent="0.25">
      <c r="A466" s="162" t="s">
        <v>26</v>
      </c>
      <c r="B466" s="162" t="s">
        <v>132</v>
      </c>
      <c r="C466" s="163"/>
      <c r="D466" s="163"/>
      <c r="E466" s="164"/>
      <c r="F466" s="165">
        <f>F467+F469+F471</f>
        <v>686400000</v>
      </c>
    </row>
    <row r="467" spans="1:6" x14ac:dyDescent="0.25">
      <c r="A467" s="166" t="s">
        <v>133</v>
      </c>
      <c r="B467" s="166" t="s">
        <v>134</v>
      </c>
      <c r="C467" s="168"/>
      <c r="D467" s="168"/>
      <c r="E467" s="169"/>
      <c r="F467" s="167">
        <f>F468</f>
        <v>660000000</v>
      </c>
    </row>
    <row r="468" spans="1:6" x14ac:dyDescent="0.25">
      <c r="A468" s="170"/>
      <c r="B468" s="217" t="s">
        <v>279</v>
      </c>
      <c r="C468" s="219">
        <v>12</v>
      </c>
      <c r="D468" s="172" t="s">
        <v>313</v>
      </c>
      <c r="E468" s="173">
        <v>55000000</v>
      </c>
      <c r="F468" s="173">
        <f>C468*E468</f>
        <v>660000000</v>
      </c>
    </row>
    <row r="469" spans="1:6" x14ac:dyDescent="0.25">
      <c r="A469" s="166" t="s">
        <v>135</v>
      </c>
      <c r="B469" s="166" t="s">
        <v>136</v>
      </c>
      <c r="C469" s="168"/>
      <c r="D469" s="168"/>
      <c r="E469" s="169"/>
      <c r="F469" s="167">
        <f>F470</f>
        <v>25200000</v>
      </c>
    </row>
    <row r="470" spans="1:6" x14ac:dyDescent="0.25">
      <c r="A470" s="170"/>
      <c r="B470" s="217" t="s">
        <v>280</v>
      </c>
      <c r="C470" s="219">
        <v>12</v>
      </c>
      <c r="D470" s="172" t="s">
        <v>313</v>
      </c>
      <c r="E470" s="173">
        <v>2100000</v>
      </c>
      <c r="F470" s="173">
        <f>C470*E470</f>
        <v>25200000</v>
      </c>
    </row>
    <row r="471" spans="1:6" x14ac:dyDescent="0.25">
      <c r="A471" s="166" t="s">
        <v>137</v>
      </c>
      <c r="B471" s="166" t="s">
        <v>138</v>
      </c>
      <c r="C471" s="168"/>
      <c r="D471" s="168"/>
      <c r="E471" s="169"/>
      <c r="F471" s="167">
        <f>F472</f>
        <v>1200000</v>
      </c>
    </row>
    <row r="472" spans="1:6" x14ac:dyDescent="0.25">
      <c r="A472" s="170"/>
      <c r="B472" s="217" t="s">
        <v>281</v>
      </c>
      <c r="C472" s="219">
        <v>12</v>
      </c>
      <c r="D472" s="172" t="s">
        <v>313</v>
      </c>
      <c r="E472" s="173">
        <v>100000</v>
      </c>
      <c r="F472" s="173">
        <f>C472*E472</f>
        <v>1200000</v>
      </c>
    </row>
    <row r="473" spans="1:6" x14ac:dyDescent="0.25">
      <c r="A473" s="162" t="s">
        <v>32</v>
      </c>
      <c r="B473" s="162" t="s">
        <v>139</v>
      </c>
      <c r="C473" s="163"/>
      <c r="D473" s="163"/>
      <c r="E473" s="164"/>
      <c r="F473" s="165">
        <f>F474</f>
        <v>346660000</v>
      </c>
    </row>
    <row r="474" spans="1:6" x14ac:dyDescent="0.25">
      <c r="A474" s="166" t="s">
        <v>140</v>
      </c>
      <c r="B474" s="166" t="s">
        <v>141</v>
      </c>
      <c r="C474" s="168"/>
      <c r="D474" s="168"/>
      <c r="E474" s="169"/>
      <c r="F474" s="167">
        <f>SUM(F475:F477)</f>
        <v>346660000</v>
      </c>
    </row>
    <row r="475" spans="1:6" ht="30" x14ac:dyDescent="0.25">
      <c r="A475" s="170"/>
      <c r="B475" s="217" t="s">
        <v>282</v>
      </c>
      <c r="C475" s="219">
        <v>2</v>
      </c>
      <c r="D475" s="172" t="s">
        <v>314</v>
      </c>
      <c r="E475" s="173">
        <v>42490000</v>
      </c>
      <c r="F475" s="173">
        <f>C475*E475</f>
        <v>84980000</v>
      </c>
    </row>
    <row r="476" spans="1:6" ht="30" x14ac:dyDescent="0.25">
      <c r="A476" s="170"/>
      <c r="B476" s="217" t="s">
        <v>283</v>
      </c>
      <c r="C476" s="219">
        <v>6</v>
      </c>
      <c r="D476" s="172" t="s">
        <v>314</v>
      </c>
      <c r="E476" s="173">
        <v>37000000</v>
      </c>
      <c r="F476" s="173">
        <f>C476*E476</f>
        <v>222000000</v>
      </c>
    </row>
    <row r="477" spans="1:6" ht="30" x14ac:dyDescent="0.25">
      <c r="A477" s="170"/>
      <c r="B477" s="217" t="s">
        <v>284</v>
      </c>
      <c r="C477" s="219">
        <v>8</v>
      </c>
      <c r="D477" s="172" t="s">
        <v>314</v>
      </c>
      <c r="E477" s="173">
        <v>4960000</v>
      </c>
      <c r="F477" s="173">
        <f>C477*E477</f>
        <v>39680000</v>
      </c>
    </row>
    <row r="478" spans="1:6" x14ac:dyDescent="0.25">
      <c r="A478" s="162" t="s">
        <v>35</v>
      </c>
      <c r="B478" s="162" t="s">
        <v>142</v>
      </c>
      <c r="C478" s="163"/>
      <c r="D478" s="163"/>
      <c r="E478" s="164"/>
      <c r="F478" s="165">
        <f>F479+F484</f>
        <v>4552655000</v>
      </c>
    </row>
    <row r="479" spans="1:6" x14ac:dyDescent="0.25">
      <c r="A479" s="166" t="s">
        <v>143</v>
      </c>
      <c r="B479" s="166" t="s">
        <v>144</v>
      </c>
      <c r="C479" s="168"/>
      <c r="D479" s="168"/>
      <c r="E479" s="169"/>
      <c r="F479" s="167">
        <f>SUM(F480:F483)</f>
        <v>4357155000</v>
      </c>
    </row>
    <row r="480" spans="1:6" ht="30" x14ac:dyDescent="0.25">
      <c r="A480" s="170"/>
      <c r="B480" s="217" t="s">
        <v>285</v>
      </c>
      <c r="C480" s="219">
        <v>3759</v>
      </c>
      <c r="D480" s="172" t="s">
        <v>424</v>
      </c>
      <c r="E480" s="173">
        <v>206000</v>
      </c>
      <c r="F480" s="173">
        <f t="shared" ref="F480:F483" si="50">C480*E480</f>
        <v>774354000</v>
      </c>
    </row>
    <row r="481" spans="1:7" s="138" customFormat="1" x14ac:dyDescent="0.25">
      <c r="A481" s="170"/>
      <c r="B481" s="217" t="s">
        <v>286</v>
      </c>
      <c r="C481" s="219">
        <v>240</v>
      </c>
      <c r="D481" s="172" t="s">
        <v>300</v>
      </c>
      <c r="E481" s="173">
        <v>85000</v>
      </c>
      <c r="F481" s="173">
        <f t="shared" si="50"/>
        <v>20400000</v>
      </c>
    </row>
    <row r="482" spans="1:7" x14ac:dyDescent="0.25">
      <c r="A482" s="170"/>
      <c r="B482" s="217" t="s">
        <v>287</v>
      </c>
      <c r="C482" s="229">
        <v>1</v>
      </c>
      <c r="D482" s="172" t="s">
        <v>300</v>
      </c>
      <c r="E482" s="231">
        <v>1062401000</v>
      </c>
      <c r="F482" s="173">
        <f t="shared" si="50"/>
        <v>1062401000</v>
      </c>
      <c r="G482" s="135"/>
    </row>
    <row r="483" spans="1:7" x14ac:dyDescent="0.25">
      <c r="A483" s="170"/>
      <c r="B483" s="217" t="s">
        <v>289</v>
      </c>
      <c r="C483" s="219">
        <v>1</v>
      </c>
      <c r="D483" s="172" t="s">
        <v>300</v>
      </c>
      <c r="E483" s="173">
        <v>2500000000</v>
      </c>
      <c r="F483" s="173">
        <f t="shared" si="50"/>
        <v>2500000000</v>
      </c>
      <c r="G483" s="247"/>
    </row>
    <row r="484" spans="1:7" x14ac:dyDescent="0.25">
      <c r="A484" s="166" t="s">
        <v>140</v>
      </c>
      <c r="B484" s="166" t="s">
        <v>141</v>
      </c>
      <c r="C484" s="168"/>
      <c r="D484" s="168"/>
      <c r="E484" s="169"/>
      <c r="F484" s="167">
        <f>SUM(F485:F487)</f>
        <v>195500000</v>
      </c>
    </row>
    <row r="485" spans="1:7" x14ac:dyDescent="0.25">
      <c r="A485" s="170"/>
      <c r="B485" s="217" t="s">
        <v>290</v>
      </c>
      <c r="C485" s="219">
        <v>180</v>
      </c>
      <c r="D485" s="172" t="s">
        <v>314</v>
      </c>
      <c r="E485" s="173">
        <v>610000</v>
      </c>
      <c r="F485" s="173">
        <f>C485*E485</f>
        <v>109800000</v>
      </c>
    </row>
    <row r="486" spans="1:7" x14ac:dyDescent="0.25">
      <c r="A486" s="170"/>
      <c r="B486" s="217" t="s">
        <v>291</v>
      </c>
      <c r="C486" s="219">
        <v>12</v>
      </c>
      <c r="D486" s="172" t="s">
        <v>313</v>
      </c>
      <c r="E486" s="173">
        <v>4100000</v>
      </c>
      <c r="F486" s="173">
        <f>C486*E486</f>
        <v>49200000</v>
      </c>
    </row>
    <row r="487" spans="1:7" x14ac:dyDescent="0.25">
      <c r="A487" s="170"/>
      <c r="B487" s="217" t="s">
        <v>292</v>
      </c>
      <c r="C487" s="219">
        <v>50</v>
      </c>
      <c r="D487" s="172" t="s">
        <v>314</v>
      </c>
      <c r="E487" s="173">
        <v>730000</v>
      </c>
      <c r="F487" s="173">
        <f>C487*E487</f>
        <v>36500000</v>
      </c>
    </row>
    <row r="488" spans="1:7" x14ac:dyDescent="0.25">
      <c r="A488" s="22" t="s">
        <v>665</v>
      </c>
      <c r="B488" s="22" t="s">
        <v>641</v>
      </c>
      <c r="C488" s="23"/>
      <c r="D488" s="23"/>
      <c r="E488" s="24"/>
      <c r="F488" s="25">
        <f>F489</f>
        <v>10000000</v>
      </c>
    </row>
    <row r="489" spans="1:7" x14ac:dyDescent="0.25">
      <c r="A489" s="26" t="s">
        <v>9</v>
      </c>
      <c r="B489" s="26" t="s">
        <v>642</v>
      </c>
      <c r="C489" s="27" t="s">
        <v>11</v>
      </c>
      <c r="D489" s="27"/>
      <c r="E489" s="28"/>
      <c r="F489" s="29">
        <f>F490</f>
        <v>10000000</v>
      </c>
    </row>
    <row r="490" spans="1:7" x14ac:dyDescent="0.25">
      <c r="A490" s="241" t="s">
        <v>12</v>
      </c>
      <c r="B490" s="241" t="s">
        <v>643</v>
      </c>
      <c r="C490" s="248"/>
      <c r="D490" s="248"/>
      <c r="E490" s="249"/>
      <c r="F490" s="250">
        <f>F491+F495+F497</f>
        <v>10000000</v>
      </c>
    </row>
    <row r="491" spans="1:7" x14ac:dyDescent="0.25">
      <c r="A491" s="251" t="s">
        <v>22</v>
      </c>
      <c r="B491" s="242" t="s">
        <v>23</v>
      </c>
      <c r="C491" s="252"/>
      <c r="D491" s="252"/>
      <c r="E491" s="244"/>
      <c r="F491" s="253">
        <f>SUM(F492:F494)</f>
        <v>2740000</v>
      </c>
    </row>
    <row r="492" spans="1:7" x14ac:dyDescent="0.25">
      <c r="A492" s="243"/>
      <c r="B492" s="254" t="s">
        <v>644</v>
      </c>
      <c r="C492" s="255">
        <v>30</v>
      </c>
      <c r="D492" s="255" t="s">
        <v>296</v>
      </c>
      <c r="E492" s="256">
        <v>57000</v>
      </c>
      <c r="F492" s="256">
        <f>C492*E492</f>
        <v>1710000</v>
      </c>
    </row>
    <row r="493" spans="1:7" x14ac:dyDescent="0.25">
      <c r="A493" s="243"/>
      <c r="B493" s="254" t="s">
        <v>645</v>
      </c>
      <c r="C493" s="255">
        <v>30</v>
      </c>
      <c r="D493" s="255" t="s">
        <v>296</v>
      </c>
      <c r="E493" s="256">
        <v>24000</v>
      </c>
      <c r="F493" s="256">
        <f>C493*E493</f>
        <v>720000</v>
      </c>
    </row>
    <row r="494" spans="1:7" x14ac:dyDescent="0.25">
      <c r="A494" s="243"/>
      <c r="B494" s="254" t="s">
        <v>648</v>
      </c>
      <c r="C494" s="255">
        <v>1</v>
      </c>
      <c r="D494" s="255" t="s">
        <v>298</v>
      </c>
      <c r="E494" s="256">
        <v>310000</v>
      </c>
      <c r="F494" s="256">
        <f t="shared" ref="F494" si="51">C494*E494</f>
        <v>310000</v>
      </c>
    </row>
    <row r="495" spans="1:7" x14ac:dyDescent="0.25">
      <c r="A495" s="166" t="s">
        <v>16</v>
      </c>
      <c r="B495" s="166" t="s">
        <v>17</v>
      </c>
      <c r="C495" s="168"/>
      <c r="D495" s="168"/>
      <c r="E495" s="169"/>
      <c r="F495" s="167">
        <f>SUM(F496:F496)</f>
        <v>2700000</v>
      </c>
    </row>
    <row r="496" spans="1:7" x14ac:dyDescent="0.25">
      <c r="A496" s="170"/>
      <c r="B496" s="171" t="s">
        <v>649</v>
      </c>
      <c r="C496" s="172">
        <v>3</v>
      </c>
      <c r="D496" s="172" t="s">
        <v>297</v>
      </c>
      <c r="E496" s="173">
        <v>900000</v>
      </c>
      <c r="F496" s="173">
        <f>C496*E496</f>
        <v>2700000</v>
      </c>
    </row>
    <row r="497" spans="1:6" x14ac:dyDescent="0.25">
      <c r="A497" s="257" t="s">
        <v>18</v>
      </c>
      <c r="B497" s="245" t="s">
        <v>19</v>
      </c>
      <c r="C497" s="258"/>
      <c r="D497" s="258"/>
      <c r="E497" s="259"/>
      <c r="F497" s="259">
        <f>SUM(F498:F499)</f>
        <v>4560000</v>
      </c>
    </row>
    <row r="498" spans="1:6" x14ac:dyDescent="0.25">
      <c r="A498" s="243"/>
      <c r="B498" s="254" t="s">
        <v>647</v>
      </c>
      <c r="C498" s="255">
        <v>12</v>
      </c>
      <c r="D498" s="255" t="s">
        <v>296</v>
      </c>
      <c r="E498" s="256">
        <v>210000</v>
      </c>
      <c r="F498" s="256">
        <f t="shared" ref="F498:F499" si="52">C498*E498</f>
        <v>2520000</v>
      </c>
    </row>
    <row r="499" spans="1:6" x14ac:dyDescent="0.25">
      <c r="A499" s="243"/>
      <c r="B499" s="254" t="s">
        <v>646</v>
      </c>
      <c r="C499" s="255">
        <v>12</v>
      </c>
      <c r="D499" s="255" t="s">
        <v>296</v>
      </c>
      <c r="E499" s="256">
        <v>170000</v>
      </c>
      <c r="F499" s="256">
        <f t="shared" si="52"/>
        <v>2040000</v>
      </c>
    </row>
    <row r="500" spans="1:6" s="36" customFormat="1" ht="30" x14ac:dyDescent="0.25">
      <c r="A500" s="87" t="s">
        <v>705</v>
      </c>
      <c r="B500" s="87" t="s">
        <v>146</v>
      </c>
      <c r="C500" s="55">
        <v>1</v>
      </c>
      <c r="D500" s="55" t="s">
        <v>315</v>
      </c>
      <c r="E500" s="56"/>
      <c r="F500" s="57">
        <f>F502</f>
        <v>198600000</v>
      </c>
    </row>
    <row r="501" spans="1:6" s="36" customFormat="1" x14ac:dyDescent="0.25">
      <c r="A501" s="74"/>
      <c r="B501" s="79" t="s">
        <v>68</v>
      </c>
      <c r="C501" s="76"/>
      <c r="D501" s="76"/>
      <c r="E501" s="74"/>
      <c r="F501" s="74"/>
    </row>
    <row r="502" spans="1:6" s="36" customFormat="1" x14ac:dyDescent="0.25">
      <c r="A502" s="58" t="s">
        <v>667</v>
      </c>
      <c r="B502" s="58" t="s">
        <v>148</v>
      </c>
      <c r="C502" s="59">
        <v>1</v>
      </c>
      <c r="D502" s="59" t="s">
        <v>316</v>
      </c>
      <c r="E502" s="60"/>
      <c r="F502" s="61">
        <f>F503</f>
        <v>198600000</v>
      </c>
    </row>
    <row r="503" spans="1:6" s="36" customFormat="1" x14ac:dyDescent="0.25">
      <c r="A503" s="191">
        <v>996</v>
      </c>
      <c r="B503" s="100" t="s">
        <v>617</v>
      </c>
      <c r="C503" s="101" t="s">
        <v>11</v>
      </c>
      <c r="D503" s="101"/>
      <c r="E503" s="52"/>
      <c r="F503" s="102">
        <f>F504</f>
        <v>198600000</v>
      </c>
    </row>
    <row r="504" spans="1:6" s="36" customFormat="1" x14ac:dyDescent="0.25">
      <c r="A504" s="66" t="s">
        <v>12</v>
      </c>
      <c r="B504" s="66" t="s">
        <v>425</v>
      </c>
      <c r="C504" s="67"/>
      <c r="D504" s="67"/>
      <c r="E504" s="68"/>
      <c r="F504" s="69">
        <f>F505</f>
        <v>198600000</v>
      </c>
    </row>
    <row r="505" spans="1:6" s="36" customFormat="1" x14ac:dyDescent="0.25">
      <c r="A505" s="70" t="s">
        <v>152</v>
      </c>
      <c r="B505" s="70" t="s">
        <v>153</v>
      </c>
      <c r="C505" s="71"/>
      <c r="D505" s="71"/>
      <c r="E505" s="72"/>
      <c r="F505" s="103">
        <f>SUM(F506:F513)</f>
        <v>198600000</v>
      </c>
    </row>
    <row r="506" spans="1:6" s="36" customFormat="1" x14ac:dyDescent="0.25">
      <c r="A506" s="104"/>
      <c r="B506" s="213" t="s">
        <v>676</v>
      </c>
      <c r="C506" s="106">
        <v>6</v>
      </c>
      <c r="D506" s="106" t="s">
        <v>668</v>
      </c>
      <c r="E506" s="107">
        <v>2600000</v>
      </c>
      <c r="F506" s="107">
        <f t="shared" ref="F506:F512" si="53">C506*E506</f>
        <v>15600000</v>
      </c>
    </row>
    <row r="507" spans="1:6" s="36" customFormat="1" x14ac:dyDescent="0.25">
      <c r="A507" s="104"/>
      <c r="B507" s="213" t="s">
        <v>677</v>
      </c>
      <c r="C507" s="106">
        <v>2</v>
      </c>
      <c r="D507" s="106" t="s">
        <v>668</v>
      </c>
      <c r="E507" s="107">
        <v>14200000</v>
      </c>
      <c r="F507" s="107">
        <f t="shared" si="53"/>
        <v>28400000</v>
      </c>
    </row>
    <row r="508" spans="1:6" s="36" customFormat="1" x14ac:dyDescent="0.25">
      <c r="A508" s="104"/>
      <c r="B508" s="213" t="s">
        <v>678</v>
      </c>
      <c r="C508" s="106">
        <v>1</v>
      </c>
      <c r="D508" s="106" t="s">
        <v>668</v>
      </c>
      <c r="E508" s="107">
        <v>20000000</v>
      </c>
      <c r="F508" s="107">
        <f t="shared" si="53"/>
        <v>20000000</v>
      </c>
    </row>
    <row r="509" spans="1:6" s="36" customFormat="1" x14ac:dyDescent="0.25">
      <c r="A509" s="104"/>
      <c r="B509" s="213" t="s">
        <v>679</v>
      </c>
      <c r="C509" s="106">
        <v>7</v>
      </c>
      <c r="D509" s="106" t="s">
        <v>668</v>
      </c>
      <c r="E509" s="107">
        <v>10000000</v>
      </c>
      <c r="F509" s="107">
        <f t="shared" si="53"/>
        <v>70000000</v>
      </c>
    </row>
    <row r="510" spans="1:6" s="36" customFormat="1" x14ac:dyDescent="0.25">
      <c r="A510" s="104"/>
      <c r="B510" s="213" t="s">
        <v>680</v>
      </c>
      <c r="C510" s="106">
        <v>3</v>
      </c>
      <c r="D510" s="106" t="s">
        <v>668</v>
      </c>
      <c r="E510" s="107">
        <v>5000000</v>
      </c>
      <c r="F510" s="107">
        <f t="shared" si="53"/>
        <v>15000000</v>
      </c>
    </row>
    <row r="511" spans="1:6" s="36" customFormat="1" x14ac:dyDescent="0.25">
      <c r="A511" s="104"/>
      <c r="B511" s="213" t="s">
        <v>681</v>
      </c>
      <c r="C511" s="106">
        <v>1</v>
      </c>
      <c r="D511" s="106" t="s">
        <v>668</v>
      </c>
      <c r="E511" s="107">
        <v>6300000</v>
      </c>
      <c r="F511" s="107">
        <f t="shared" si="53"/>
        <v>6300000</v>
      </c>
    </row>
    <row r="512" spans="1:6" s="36" customFormat="1" x14ac:dyDescent="0.25">
      <c r="A512" s="104"/>
      <c r="B512" s="213" t="s">
        <v>682</v>
      </c>
      <c r="C512" s="106">
        <v>1</v>
      </c>
      <c r="D512" s="106" t="s">
        <v>668</v>
      </c>
      <c r="E512" s="107">
        <v>33500000</v>
      </c>
      <c r="F512" s="107">
        <f t="shared" si="53"/>
        <v>33500000</v>
      </c>
    </row>
    <row r="513" spans="1:6" s="36" customFormat="1" x14ac:dyDescent="0.25">
      <c r="A513" s="104"/>
      <c r="B513" s="213" t="s">
        <v>683</v>
      </c>
      <c r="C513" s="106">
        <v>1</v>
      </c>
      <c r="D513" s="106" t="s">
        <v>668</v>
      </c>
      <c r="E513" s="107">
        <v>9800000</v>
      </c>
      <c r="F513" s="107">
        <f>C513*E513</f>
        <v>9800000</v>
      </c>
    </row>
    <row r="514" spans="1:6" x14ac:dyDescent="0.25">
      <c r="A514" s="184"/>
      <c r="B514" s="184"/>
      <c r="C514" s="185"/>
      <c r="D514" s="185"/>
      <c r="E514" s="184"/>
      <c r="F514" s="186"/>
    </row>
    <row r="515" spans="1:6" x14ac:dyDescent="0.25">
      <c r="A515" s="184"/>
      <c r="B515" s="187"/>
      <c r="C515" s="185"/>
      <c r="D515" s="185"/>
      <c r="E515" s="184"/>
      <c r="F515" s="188"/>
    </row>
    <row r="516" spans="1:6" x14ac:dyDescent="0.25">
      <c r="A516" s="184"/>
      <c r="B516" s="187"/>
      <c r="C516" s="185"/>
      <c r="D516" s="185"/>
      <c r="E516" s="184"/>
      <c r="F516" s="186"/>
    </row>
    <row r="517" spans="1:6" x14ac:dyDescent="0.25">
      <c r="A517" s="184"/>
      <c r="B517" s="187"/>
      <c r="C517" s="185"/>
      <c r="D517" s="185"/>
      <c r="E517" s="184"/>
      <c r="F517" s="186"/>
    </row>
    <row r="518" spans="1:6" x14ac:dyDescent="0.25">
      <c r="A518" s="184"/>
      <c r="B518" s="184"/>
      <c r="C518" s="185"/>
      <c r="D518" s="185"/>
      <c r="E518" s="184"/>
      <c r="F518" s="189"/>
    </row>
    <row r="519" spans="1:6" x14ac:dyDescent="0.25">
      <c r="A519" s="184"/>
      <c r="B519" s="184"/>
      <c r="C519" s="185"/>
      <c r="D519" s="185"/>
      <c r="E519" s="184"/>
      <c r="F519" s="186"/>
    </row>
  </sheetData>
  <autoFilter ref="A4:B487" xr:uid="{3672E4ED-D1AC-4CAC-ABB6-F68B3F342D3D}"/>
  <mergeCells count="8">
    <mergeCell ref="D3:D4"/>
    <mergeCell ref="E3:E4"/>
    <mergeCell ref="F3:F4"/>
    <mergeCell ref="C1:F1"/>
    <mergeCell ref="A2:B2"/>
    <mergeCell ref="A3:A4"/>
    <mergeCell ref="B3:B4"/>
    <mergeCell ref="C3:C4"/>
  </mergeCells>
  <pageMargins left="0" right="0" top="0" bottom="0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B55C-DE77-4123-A238-7E2C0AB8A4D2}">
  <sheetPr>
    <tabColor rgb="FFFFFF00"/>
    <outlinePr summaryBelow="0"/>
  </sheetPr>
  <dimension ref="A1:R553"/>
  <sheetViews>
    <sheetView zoomScale="85" zoomScaleNormal="85" workbookViewId="0">
      <pane xSplit="2" ySplit="7" topLeftCell="C455" activePane="bottomRight" state="frozen"/>
      <selection pane="topRight" activeCell="C1" sqref="C1"/>
      <selection pane="bottomLeft" activeCell="A8" sqref="A8"/>
      <selection pane="bottomRight" activeCell="N478" sqref="N478"/>
    </sheetView>
  </sheetViews>
  <sheetFormatPr defaultColWidth="9.140625" defaultRowHeight="15" x14ac:dyDescent="0.25"/>
  <cols>
    <col min="1" max="1" width="13" style="137" customWidth="1"/>
    <col min="2" max="2" width="60.140625" style="137" customWidth="1"/>
    <col min="3" max="3" width="14.28515625" style="190" customWidth="1"/>
    <col min="4" max="4" width="10.85546875" style="190" customWidth="1"/>
    <col min="5" max="5" width="14.85546875" style="137" customWidth="1"/>
    <col min="6" max="6" width="17.85546875" style="137" customWidth="1"/>
    <col min="7" max="7" width="16.28515625" style="137" customWidth="1"/>
    <col min="8" max="8" width="16.85546875" style="137" customWidth="1"/>
    <col min="9" max="9" width="19.7109375" style="346" customWidth="1"/>
    <col min="10" max="10" width="14.28515625" style="190" customWidth="1"/>
    <col min="11" max="11" width="10.85546875" style="190" customWidth="1"/>
    <col min="12" max="12" width="14.85546875" style="137" customWidth="1"/>
    <col min="13" max="13" width="17.85546875" style="137" customWidth="1"/>
    <col min="14" max="15" width="19.7109375" style="137" customWidth="1"/>
    <col min="16" max="16" width="16.7109375" style="137" customWidth="1"/>
    <col min="17" max="17" width="14.7109375" style="137" customWidth="1"/>
    <col min="18" max="18" width="16" style="137" customWidth="1"/>
    <col min="19" max="16384" width="9.140625" style="137"/>
  </cols>
  <sheetData>
    <row r="1" spans="1:18" s="333" customFormat="1" ht="30" x14ac:dyDescent="0.25">
      <c r="C1" s="399" t="s">
        <v>785</v>
      </c>
      <c r="D1" s="399"/>
      <c r="E1" s="399"/>
      <c r="F1" s="399"/>
      <c r="G1" s="332" t="s">
        <v>786</v>
      </c>
      <c r="H1" s="332" t="s">
        <v>787</v>
      </c>
      <c r="I1" s="339" t="s">
        <v>791</v>
      </c>
      <c r="J1" s="399" t="s">
        <v>326</v>
      </c>
      <c r="K1" s="399"/>
      <c r="L1" s="399"/>
      <c r="M1" s="399"/>
      <c r="N1" s="332" t="s">
        <v>786</v>
      </c>
      <c r="O1" s="332" t="s">
        <v>787</v>
      </c>
      <c r="P1" s="332" t="s">
        <v>789</v>
      </c>
      <c r="Q1" s="332" t="s">
        <v>790</v>
      </c>
      <c r="R1" s="332" t="s">
        <v>788</v>
      </c>
    </row>
    <row r="2" spans="1:18" x14ac:dyDescent="0.25">
      <c r="A2" s="397" t="s">
        <v>317</v>
      </c>
      <c r="B2" s="397"/>
      <c r="C2" s="140"/>
      <c r="D2" s="139"/>
      <c r="E2" s="139"/>
      <c r="F2" s="140">
        <f>F5+F320</f>
        <v>535833886000</v>
      </c>
      <c r="G2" s="330">
        <f>SUM(G5:G547)</f>
        <v>3043307000</v>
      </c>
      <c r="H2" s="330">
        <f>SUM(H5:H547)</f>
        <v>3567418000</v>
      </c>
      <c r="I2" s="340">
        <f>SUM(I5:I547)</f>
        <v>2236889000</v>
      </c>
      <c r="J2" s="140"/>
      <c r="K2" s="139"/>
      <c r="L2" s="139"/>
      <c r="M2" s="140">
        <f>M5+M320</f>
        <v>533596997000</v>
      </c>
      <c r="N2" s="330">
        <f>SUM(N5:N547)</f>
        <v>2235622000</v>
      </c>
      <c r="O2" s="330">
        <f>SUM(O5:O547)</f>
        <v>2619862000</v>
      </c>
      <c r="P2" s="331">
        <f>G2-N2</f>
        <v>807685000</v>
      </c>
      <c r="Q2" s="331">
        <f>H2-O2</f>
        <v>947556000</v>
      </c>
      <c r="R2" s="331">
        <f>P2+Q2</f>
        <v>1755241000</v>
      </c>
    </row>
    <row r="3" spans="1:18" ht="33" customHeight="1" x14ac:dyDescent="0.25">
      <c r="A3" s="392" t="s">
        <v>318</v>
      </c>
      <c r="B3" s="392" t="s">
        <v>319</v>
      </c>
      <c r="C3" s="392" t="s">
        <v>320</v>
      </c>
      <c r="D3" s="392" t="s">
        <v>321</v>
      </c>
      <c r="E3" s="394" t="s">
        <v>322</v>
      </c>
      <c r="F3" s="394" t="s">
        <v>323</v>
      </c>
      <c r="G3" s="337">
        <f>G2/(G2+H2)</f>
        <v>0.46035903777573567</v>
      </c>
      <c r="H3" s="337">
        <f>H2/(G2+H2)</f>
        <v>0.53964096222426439</v>
      </c>
      <c r="I3" s="341"/>
      <c r="J3" s="392" t="s">
        <v>320</v>
      </c>
      <c r="K3" s="392" t="s">
        <v>321</v>
      </c>
      <c r="L3" s="394" t="s">
        <v>322</v>
      </c>
      <c r="M3" s="394" t="s">
        <v>323</v>
      </c>
      <c r="N3" s="337">
        <f>N2/(N2+O2)</f>
        <v>0.46043236884314725</v>
      </c>
      <c r="O3" s="337">
        <f>O2/(N2+O2)</f>
        <v>0.5395676311568528</v>
      </c>
      <c r="P3" s="336" t="s">
        <v>792</v>
      </c>
    </row>
    <row r="4" spans="1:18" x14ac:dyDescent="0.25">
      <c r="A4" s="393"/>
      <c r="B4" s="393"/>
      <c r="C4" s="398"/>
      <c r="D4" s="393"/>
      <c r="E4" s="395"/>
      <c r="F4" s="395"/>
      <c r="I4" s="341"/>
      <c r="J4" s="398"/>
      <c r="K4" s="393"/>
      <c r="L4" s="395"/>
      <c r="M4" s="395"/>
      <c r="P4" s="335">
        <f>F2-M2</f>
        <v>2236889000</v>
      </c>
    </row>
    <row r="5" spans="1:18" x14ac:dyDescent="0.25">
      <c r="A5" s="142" t="s">
        <v>695</v>
      </c>
      <c r="B5" s="142" t="s">
        <v>1</v>
      </c>
      <c r="C5" s="143"/>
      <c r="D5" s="143"/>
      <c r="E5" s="144"/>
      <c r="F5" s="145">
        <f>F6</f>
        <v>414468798000</v>
      </c>
      <c r="I5" s="341"/>
      <c r="J5" s="143"/>
      <c r="K5" s="143"/>
      <c r="L5" s="144"/>
      <c r="M5" s="145">
        <f>M6</f>
        <v>412713557000</v>
      </c>
    </row>
    <row r="6" spans="1:18" x14ac:dyDescent="0.25">
      <c r="A6" s="146">
        <v>7733</v>
      </c>
      <c r="B6" s="146" t="s">
        <v>3</v>
      </c>
      <c r="C6" s="147"/>
      <c r="D6" s="147"/>
      <c r="E6" s="148"/>
      <c r="F6" s="149">
        <f>F277+F7</f>
        <v>414468798000</v>
      </c>
      <c r="I6" s="341"/>
      <c r="J6" s="147"/>
      <c r="K6" s="147"/>
      <c r="L6" s="148"/>
      <c r="M6" s="149">
        <f>M277+M7</f>
        <v>412713557000</v>
      </c>
      <c r="N6" s="335">
        <f>M7-4855484000</f>
        <v>0</v>
      </c>
    </row>
    <row r="7" spans="1:18" x14ac:dyDescent="0.25">
      <c r="A7" s="150" t="s">
        <v>673</v>
      </c>
      <c r="B7" s="150" t="s">
        <v>5</v>
      </c>
      <c r="C7" s="151"/>
      <c r="D7" s="151"/>
      <c r="E7" s="152"/>
      <c r="F7" s="153">
        <f>F8+F232</f>
        <v>6610725000</v>
      </c>
      <c r="I7" s="341"/>
      <c r="J7" s="151"/>
      <c r="K7" s="151"/>
      <c r="L7" s="152"/>
      <c r="M7" s="153">
        <f>M8+M232</f>
        <v>4855484000</v>
      </c>
    </row>
    <row r="8" spans="1:18" ht="30" x14ac:dyDescent="0.25">
      <c r="A8" s="154" t="s">
        <v>674</v>
      </c>
      <c r="B8" s="154" t="s">
        <v>8</v>
      </c>
      <c r="C8" s="155">
        <v>245</v>
      </c>
      <c r="D8" s="155" t="s">
        <v>295</v>
      </c>
      <c r="E8" s="156"/>
      <c r="F8" s="157">
        <f>F9+F34+F123+F168</f>
        <v>6175115000</v>
      </c>
      <c r="I8" s="341"/>
      <c r="J8" s="155">
        <v>245</v>
      </c>
      <c r="K8" s="155" t="s">
        <v>295</v>
      </c>
      <c r="L8" s="156"/>
      <c r="M8" s="157">
        <f>M9+M34+M123+M168</f>
        <v>4594964000</v>
      </c>
    </row>
    <row r="9" spans="1:18" ht="30" x14ac:dyDescent="0.25">
      <c r="A9" s="158" t="s">
        <v>9</v>
      </c>
      <c r="B9" s="158" t="s">
        <v>10</v>
      </c>
      <c r="C9" s="159" t="s">
        <v>11</v>
      </c>
      <c r="D9" s="159"/>
      <c r="E9" s="160"/>
      <c r="F9" s="161">
        <f>F10</f>
        <v>623222000</v>
      </c>
      <c r="I9" s="341"/>
      <c r="J9" s="159" t="s">
        <v>11</v>
      </c>
      <c r="K9" s="159"/>
      <c r="L9" s="160"/>
      <c r="M9" s="161">
        <f>M10</f>
        <v>52150000</v>
      </c>
    </row>
    <row r="10" spans="1:18" x14ac:dyDescent="0.25">
      <c r="A10" s="162" t="s">
        <v>12</v>
      </c>
      <c r="B10" s="162" t="s">
        <v>13</v>
      </c>
      <c r="C10" s="163"/>
      <c r="D10" s="163"/>
      <c r="E10" s="164"/>
      <c r="F10" s="165">
        <f>F11+F15+F20+F23+F31</f>
        <v>623222000</v>
      </c>
      <c r="I10" s="342">
        <f>F10-M10</f>
        <v>571072000</v>
      </c>
      <c r="J10" s="163"/>
      <c r="K10" s="163"/>
      <c r="L10" s="164"/>
      <c r="M10" s="165">
        <f>M11+M15+M20+M23+M31</f>
        <v>52150000</v>
      </c>
    </row>
    <row r="11" spans="1:18" x14ac:dyDescent="0.25">
      <c r="A11" s="166" t="s">
        <v>22</v>
      </c>
      <c r="B11" s="166" t="s">
        <v>23</v>
      </c>
      <c r="C11" s="168"/>
      <c r="D11" s="168"/>
      <c r="E11" s="169"/>
      <c r="F11" s="167">
        <f>SUM(F12:F14)</f>
        <v>61450000</v>
      </c>
      <c r="G11" s="183">
        <f>F11</f>
        <v>61450000</v>
      </c>
      <c r="I11" s="341"/>
      <c r="J11" s="168"/>
      <c r="K11" s="168"/>
      <c r="L11" s="169"/>
      <c r="M11" s="167">
        <f>SUM(M12:M14)</f>
        <v>8800000</v>
      </c>
      <c r="N11" s="183">
        <f>M11</f>
        <v>8800000</v>
      </c>
    </row>
    <row r="12" spans="1:18" x14ac:dyDescent="0.25">
      <c r="A12" s="170"/>
      <c r="B12" s="171" t="s">
        <v>521</v>
      </c>
      <c r="C12" s="172">
        <v>750</v>
      </c>
      <c r="D12" s="172" t="s">
        <v>296</v>
      </c>
      <c r="E12" s="173">
        <v>57000</v>
      </c>
      <c r="F12" s="173">
        <f>C12*E12</f>
        <v>42750000</v>
      </c>
      <c r="I12" s="341"/>
      <c r="J12" s="230">
        <v>100</v>
      </c>
      <c r="K12" s="172" t="s">
        <v>296</v>
      </c>
      <c r="L12" s="173">
        <v>57000</v>
      </c>
      <c r="M12" s="173">
        <f>J12*L12</f>
        <v>5700000</v>
      </c>
    </row>
    <row r="13" spans="1:18" x14ac:dyDescent="0.25">
      <c r="A13" s="170"/>
      <c r="B13" s="171" t="s">
        <v>522</v>
      </c>
      <c r="C13" s="172">
        <v>750</v>
      </c>
      <c r="D13" s="172" t="s">
        <v>296</v>
      </c>
      <c r="E13" s="173">
        <v>24000</v>
      </c>
      <c r="F13" s="173">
        <f>C13*E13</f>
        <v>18000000</v>
      </c>
      <c r="I13" s="341"/>
      <c r="J13" s="230">
        <v>100</v>
      </c>
      <c r="K13" s="172" t="s">
        <v>296</v>
      </c>
      <c r="L13" s="173">
        <v>24000</v>
      </c>
      <c r="M13" s="173">
        <f>J13*L13</f>
        <v>2400000</v>
      </c>
    </row>
    <row r="14" spans="1:18" x14ac:dyDescent="0.25">
      <c r="A14" s="170"/>
      <c r="B14" s="195" t="s">
        <v>344</v>
      </c>
      <c r="C14" s="172">
        <v>1</v>
      </c>
      <c r="D14" s="172" t="s">
        <v>298</v>
      </c>
      <c r="E14" s="173">
        <f>778000-108000+30000</f>
        <v>700000</v>
      </c>
      <c r="F14" s="173">
        <f t="shared" ref="F14" si="0">C14*E14</f>
        <v>700000</v>
      </c>
      <c r="I14" s="341"/>
      <c r="J14" s="230">
        <v>1</v>
      </c>
      <c r="K14" s="172" t="s">
        <v>298</v>
      </c>
      <c r="L14" s="173">
        <f>778000-108000+30000</f>
        <v>700000</v>
      </c>
      <c r="M14" s="173">
        <f t="shared" ref="M14" si="1">J14*L14</f>
        <v>700000</v>
      </c>
    </row>
    <row r="15" spans="1:18" x14ac:dyDescent="0.25">
      <c r="A15" s="166" t="s">
        <v>14</v>
      </c>
      <c r="B15" s="166" t="s">
        <v>15</v>
      </c>
      <c r="C15" s="168"/>
      <c r="D15" s="168"/>
      <c r="E15" s="169"/>
      <c r="F15" s="167">
        <f>SUM(F16:F19)</f>
        <v>7750000</v>
      </c>
      <c r="G15" s="183">
        <f>F15</f>
        <v>7750000</v>
      </c>
      <c r="I15" s="341"/>
      <c r="J15" s="168"/>
      <c r="K15" s="168"/>
      <c r="L15" s="169"/>
      <c r="M15" s="167">
        <f>SUM(M16:M19)</f>
        <v>7750000</v>
      </c>
      <c r="N15" s="183">
        <f>M15</f>
        <v>7750000</v>
      </c>
    </row>
    <row r="16" spans="1:18" ht="30" x14ac:dyDescent="0.25">
      <c r="A16" s="170"/>
      <c r="B16" s="176" t="s">
        <v>669</v>
      </c>
      <c r="C16" s="172">
        <v>1</v>
      </c>
      <c r="D16" s="172" t="s">
        <v>296</v>
      </c>
      <c r="E16" s="173">
        <v>450000</v>
      </c>
      <c r="F16" s="173">
        <f>C16*E16</f>
        <v>450000</v>
      </c>
      <c r="I16" s="341"/>
      <c r="J16" s="172">
        <v>1</v>
      </c>
      <c r="K16" s="172" t="s">
        <v>296</v>
      </c>
      <c r="L16" s="173">
        <v>450000</v>
      </c>
      <c r="M16" s="173">
        <f>J16*L16</f>
        <v>450000</v>
      </c>
    </row>
    <row r="17" spans="1:15" ht="30" x14ac:dyDescent="0.25">
      <c r="A17" s="170"/>
      <c r="B17" s="176" t="s">
        <v>670</v>
      </c>
      <c r="C17" s="172">
        <v>1</v>
      </c>
      <c r="D17" s="172" t="s">
        <v>296</v>
      </c>
      <c r="E17" s="173">
        <v>400000</v>
      </c>
      <c r="F17" s="173">
        <f t="shared" ref="F17:F19" si="2">C17*E17</f>
        <v>400000</v>
      </c>
      <c r="I17" s="341"/>
      <c r="J17" s="172">
        <v>1</v>
      </c>
      <c r="K17" s="172" t="s">
        <v>296</v>
      </c>
      <c r="L17" s="173">
        <v>400000</v>
      </c>
      <c r="M17" s="173">
        <f t="shared" ref="M17:M19" si="3">J17*L17</f>
        <v>400000</v>
      </c>
    </row>
    <row r="18" spans="1:15" ht="30" x14ac:dyDescent="0.25">
      <c r="A18" s="170"/>
      <c r="B18" s="176" t="s">
        <v>671</v>
      </c>
      <c r="C18" s="172">
        <v>1</v>
      </c>
      <c r="D18" s="172" t="s">
        <v>296</v>
      </c>
      <c r="E18" s="173">
        <v>300000</v>
      </c>
      <c r="F18" s="173">
        <f t="shared" si="2"/>
        <v>300000</v>
      </c>
      <c r="I18" s="341"/>
      <c r="J18" s="172">
        <v>1</v>
      </c>
      <c r="K18" s="172" t="s">
        <v>296</v>
      </c>
      <c r="L18" s="173">
        <v>300000</v>
      </c>
      <c r="M18" s="173">
        <f t="shared" si="3"/>
        <v>300000</v>
      </c>
    </row>
    <row r="19" spans="1:15" ht="30" x14ac:dyDescent="0.25">
      <c r="A19" s="170"/>
      <c r="B19" s="176" t="s">
        <v>672</v>
      </c>
      <c r="C19" s="172">
        <v>22</v>
      </c>
      <c r="D19" s="172" t="s">
        <v>296</v>
      </c>
      <c r="E19" s="173">
        <v>300000</v>
      </c>
      <c r="F19" s="173">
        <f t="shared" si="2"/>
        <v>6600000</v>
      </c>
      <c r="I19" s="341"/>
      <c r="J19" s="172">
        <v>22</v>
      </c>
      <c r="K19" s="172" t="s">
        <v>296</v>
      </c>
      <c r="L19" s="173">
        <v>300000</v>
      </c>
      <c r="M19" s="173">
        <f t="shared" si="3"/>
        <v>6600000</v>
      </c>
    </row>
    <row r="20" spans="1:15" x14ac:dyDescent="0.25">
      <c r="A20" s="166" t="s">
        <v>16</v>
      </c>
      <c r="B20" s="166" t="s">
        <v>17</v>
      </c>
      <c r="C20" s="168"/>
      <c r="D20" s="168"/>
      <c r="E20" s="169"/>
      <c r="F20" s="167">
        <f>SUM(F21:F22)</f>
        <v>70500000</v>
      </c>
      <c r="G20" s="183">
        <f>F20</f>
        <v>70500000</v>
      </c>
      <c r="I20" s="341"/>
      <c r="J20" s="168"/>
      <c r="K20" s="168"/>
      <c r="L20" s="169"/>
      <c r="M20" s="167">
        <f>SUM(M21:M22)</f>
        <v>12800000</v>
      </c>
      <c r="N20" s="183">
        <f>M20</f>
        <v>12800000</v>
      </c>
    </row>
    <row r="21" spans="1:15" ht="30" x14ac:dyDescent="0.25">
      <c r="A21" s="170"/>
      <c r="B21" s="171" t="s">
        <v>515</v>
      </c>
      <c r="C21" s="172">
        <v>60</v>
      </c>
      <c r="D21" s="172" t="s">
        <v>297</v>
      </c>
      <c r="E21" s="173">
        <v>1000000</v>
      </c>
      <c r="F21" s="173">
        <f>C21*E21</f>
        <v>60000000</v>
      </c>
      <c r="I21" s="341"/>
      <c r="J21" s="230">
        <v>10</v>
      </c>
      <c r="K21" s="172" t="s">
        <v>297</v>
      </c>
      <c r="L21" s="173">
        <v>1000000</v>
      </c>
      <c r="M21" s="173">
        <f>J21*L21</f>
        <v>10000000</v>
      </c>
    </row>
    <row r="22" spans="1:15" x14ac:dyDescent="0.25">
      <c r="A22" s="170"/>
      <c r="B22" s="171" t="s">
        <v>523</v>
      </c>
      <c r="C22" s="172">
        <v>15</v>
      </c>
      <c r="D22" s="172" t="s">
        <v>347</v>
      </c>
      <c r="E22" s="173">
        <v>700000</v>
      </c>
      <c r="F22" s="173">
        <f t="shared" ref="F22" si="4">C22*E22</f>
        <v>10500000</v>
      </c>
      <c r="I22" s="341"/>
      <c r="J22" s="230">
        <v>4</v>
      </c>
      <c r="K22" s="172" t="s">
        <v>347</v>
      </c>
      <c r="L22" s="173">
        <v>700000</v>
      </c>
      <c r="M22" s="173">
        <f t="shared" ref="M22" si="5">J22*L22</f>
        <v>2800000</v>
      </c>
    </row>
    <row r="23" spans="1:15" x14ac:dyDescent="0.25">
      <c r="A23" s="166" t="s">
        <v>28</v>
      </c>
      <c r="B23" s="166" t="s">
        <v>29</v>
      </c>
      <c r="C23" s="168"/>
      <c r="D23" s="168"/>
      <c r="E23" s="169"/>
      <c r="F23" s="167">
        <f>SUM(F24:F30)</f>
        <v>118722000</v>
      </c>
      <c r="H23" s="183">
        <f>F23</f>
        <v>118722000</v>
      </c>
      <c r="I23" s="341"/>
      <c r="J23" s="168"/>
      <c r="K23" s="168"/>
      <c r="L23" s="169"/>
      <c r="M23" s="167">
        <f>SUM(M24:M30)</f>
        <v>0</v>
      </c>
      <c r="O23" s="183">
        <f>M23</f>
        <v>0</v>
      </c>
    </row>
    <row r="24" spans="1:15" ht="30" x14ac:dyDescent="0.25">
      <c r="A24" s="170"/>
      <c r="B24" s="171" t="s">
        <v>525</v>
      </c>
      <c r="C24" s="172">
        <v>48</v>
      </c>
      <c r="D24" s="172" t="s">
        <v>301</v>
      </c>
      <c r="E24" s="173">
        <v>430000</v>
      </c>
      <c r="F24" s="173">
        <f>C24*E24</f>
        <v>20640000</v>
      </c>
      <c r="I24" s="341"/>
      <c r="J24" s="230">
        <v>0</v>
      </c>
      <c r="K24" s="172" t="s">
        <v>301</v>
      </c>
      <c r="L24" s="173">
        <v>430000</v>
      </c>
      <c r="M24" s="173">
        <f>J24*L24</f>
        <v>0</v>
      </c>
    </row>
    <row r="25" spans="1:15" ht="30" x14ac:dyDescent="0.25">
      <c r="A25" s="170"/>
      <c r="B25" s="171" t="s">
        <v>526</v>
      </c>
      <c r="C25" s="172">
        <v>96</v>
      </c>
      <c r="D25" s="172" t="s">
        <v>296</v>
      </c>
      <c r="E25" s="173">
        <v>284000</v>
      </c>
      <c r="F25" s="173">
        <f t="shared" ref="F25:F30" si="6">C25*E25</f>
        <v>27264000</v>
      </c>
      <c r="I25" s="341"/>
      <c r="J25" s="230">
        <v>0</v>
      </c>
      <c r="K25" s="172" t="s">
        <v>296</v>
      </c>
      <c r="L25" s="173">
        <v>284000</v>
      </c>
      <c r="M25" s="173">
        <f t="shared" ref="M25:M30" si="7">J25*L25</f>
        <v>0</v>
      </c>
    </row>
    <row r="26" spans="1:15" ht="30" x14ac:dyDescent="0.25">
      <c r="A26" s="170"/>
      <c r="B26" s="177" t="s">
        <v>350</v>
      </c>
      <c r="C26" s="172">
        <v>8</v>
      </c>
      <c r="D26" s="172" t="s">
        <v>296</v>
      </c>
      <c r="E26" s="173">
        <v>2182000</v>
      </c>
      <c r="F26" s="173">
        <f t="shared" si="6"/>
        <v>17456000</v>
      </c>
      <c r="I26" s="341"/>
      <c r="J26" s="230">
        <v>0</v>
      </c>
      <c r="K26" s="172" t="s">
        <v>296</v>
      </c>
      <c r="L26" s="173">
        <v>2182000</v>
      </c>
      <c r="M26" s="173">
        <f t="shared" si="7"/>
        <v>0</v>
      </c>
    </row>
    <row r="27" spans="1:15" ht="30" x14ac:dyDescent="0.25">
      <c r="A27" s="170"/>
      <c r="B27" s="171" t="s">
        <v>351</v>
      </c>
      <c r="C27" s="172">
        <v>32</v>
      </c>
      <c r="D27" s="172" t="s">
        <v>301</v>
      </c>
      <c r="E27" s="173">
        <v>1201000</v>
      </c>
      <c r="F27" s="173">
        <f t="shared" si="6"/>
        <v>38432000</v>
      </c>
      <c r="I27" s="341"/>
      <c r="J27" s="230">
        <v>0</v>
      </c>
      <c r="K27" s="172" t="s">
        <v>301</v>
      </c>
      <c r="L27" s="173">
        <v>1201000</v>
      </c>
      <c r="M27" s="173">
        <f t="shared" si="7"/>
        <v>0</v>
      </c>
    </row>
    <row r="28" spans="1:15" ht="30" x14ac:dyDescent="0.25">
      <c r="A28" s="170"/>
      <c r="B28" s="171" t="s">
        <v>516</v>
      </c>
      <c r="C28" s="172">
        <v>15</v>
      </c>
      <c r="D28" s="172" t="s">
        <v>301</v>
      </c>
      <c r="E28" s="173">
        <v>370000</v>
      </c>
      <c r="F28" s="173">
        <f t="shared" si="6"/>
        <v>5550000</v>
      </c>
      <c r="I28" s="341"/>
      <c r="J28" s="230">
        <v>0</v>
      </c>
      <c r="K28" s="172" t="s">
        <v>301</v>
      </c>
      <c r="L28" s="173">
        <v>370000</v>
      </c>
      <c r="M28" s="173">
        <f t="shared" si="7"/>
        <v>0</v>
      </c>
    </row>
    <row r="29" spans="1:15" ht="30" x14ac:dyDescent="0.25">
      <c r="A29" s="170"/>
      <c r="B29" s="171" t="s">
        <v>517</v>
      </c>
      <c r="C29" s="172">
        <v>30</v>
      </c>
      <c r="D29" s="172" t="s">
        <v>296</v>
      </c>
      <c r="E29" s="173">
        <v>274000</v>
      </c>
      <c r="F29" s="173">
        <f t="shared" si="6"/>
        <v>8220000</v>
      </c>
      <c r="I29" s="341"/>
      <c r="J29" s="230">
        <v>0</v>
      </c>
      <c r="K29" s="172" t="s">
        <v>296</v>
      </c>
      <c r="L29" s="173">
        <v>274000</v>
      </c>
      <c r="M29" s="173">
        <f t="shared" si="7"/>
        <v>0</v>
      </c>
    </row>
    <row r="30" spans="1:15" x14ac:dyDescent="0.25">
      <c r="A30" s="170"/>
      <c r="B30" s="171" t="s">
        <v>518</v>
      </c>
      <c r="C30" s="172">
        <v>10</v>
      </c>
      <c r="D30" s="172" t="s">
        <v>296</v>
      </c>
      <c r="E30" s="173">
        <v>116000</v>
      </c>
      <c r="F30" s="173">
        <f t="shared" si="6"/>
        <v>1160000</v>
      </c>
      <c r="I30" s="341"/>
      <c r="J30" s="230">
        <v>0</v>
      </c>
      <c r="K30" s="172" t="s">
        <v>296</v>
      </c>
      <c r="L30" s="173">
        <v>116000</v>
      </c>
      <c r="M30" s="173">
        <f t="shared" si="7"/>
        <v>0</v>
      </c>
    </row>
    <row r="31" spans="1:15" x14ac:dyDescent="0.25">
      <c r="A31" s="166" t="s">
        <v>18</v>
      </c>
      <c r="B31" s="166" t="s">
        <v>19</v>
      </c>
      <c r="C31" s="168"/>
      <c r="D31" s="168"/>
      <c r="E31" s="169"/>
      <c r="F31" s="167">
        <f>SUM(F32:F33)</f>
        <v>364800000</v>
      </c>
      <c r="H31" s="183">
        <f>F31</f>
        <v>364800000</v>
      </c>
      <c r="I31" s="341"/>
      <c r="J31" s="168"/>
      <c r="K31" s="168"/>
      <c r="L31" s="169"/>
      <c r="M31" s="167">
        <f>SUM(M32:M33)</f>
        <v>22800000</v>
      </c>
      <c r="O31" s="183">
        <f>M31</f>
        <v>22800000</v>
      </c>
    </row>
    <row r="32" spans="1:15" ht="30" x14ac:dyDescent="0.25">
      <c r="A32" s="170"/>
      <c r="B32" s="171" t="s">
        <v>690</v>
      </c>
      <c r="C32" s="172">
        <v>960</v>
      </c>
      <c r="D32" s="172" t="s">
        <v>301</v>
      </c>
      <c r="E32" s="173">
        <v>210000</v>
      </c>
      <c r="F32" s="173">
        <f>C32*E32</f>
        <v>201600000</v>
      </c>
      <c r="I32" s="341"/>
      <c r="J32" s="230">
        <v>60</v>
      </c>
      <c r="K32" s="172" t="s">
        <v>301</v>
      </c>
      <c r="L32" s="173">
        <v>210000</v>
      </c>
      <c r="M32" s="173">
        <f>J32*L32</f>
        <v>12600000</v>
      </c>
    </row>
    <row r="33" spans="1:14" ht="30" x14ac:dyDescent="0.25">
      <c r="A33" s="170"/>
      <c r="B33" s="171" t="s">
        <v>691</v>
      </c>
      <c r="C33" s="172">
        <v>960</v>
      </c>
      <c r="D33" s="172" t="s">
        <v>296</v>
      </c>
      <c r="E33" s="173">
        <v>170000</v>
      </c>
      <c r="F33" s="173">
        <f>C33*E33</f>
        <v>163200000</v>
      </c>
      <c r="I33" s="341"/>
      <c r="J33" s="230">
        <v>60</v>
      </c>
      <c r="K33" s="172" t="s">
        <v>296</v>
      </c>
      <c r="L33" s="173">
        <v>170000</v>
      </c>
      <c r="M33" s="173">
        <f>J33*L33</f>
        <v>10200000</v>
      </c>
    </row>
    <row r="34" spans="1:14" ht="30" x14ac:dyDescent="0.25">
      <c r="A34" s="158" t="s">
        <v>20</v>
      </c>
      <c r="B34" s="158" t="s">
        <v>21</v>
      </c>
      <c r="C34" s="159" t="s">
        <v>11</v>
      </c>
      <c r="D34" s="159"/>
      <c r="E34" s="160"/>
      <c r="F34" s="161">
        <f>F35+F57+F79+F101</f>
        <v>2490032000</v>
      </c>
      <c r="I34" s="341"/>
      <c r="J34" s="159" t="s">
        <v>11</v>
      </c>
      <c r="K34" s="159"/>
      <c r="L34" s="160"/>
      <c r="M34" s="161">
        <f>M35+M57+M79+M101</f>
        <v>2355010000</v>
      </c>
    </row>
    <row r="35" spans="1:14" x14ac:dyDescent="0.25">
      <c r="A35" s="162" t="s">
        <v>12</v>
      </c>
      <c r="B35" s="162" t="s">
        <v>337</v>
      </c>
      <c r="C35" s="163"/>
      <c r="D35" s="163"/>
      <c r="E35" s="164"/>
      <c r="F35" s="165">
        <f>F36+F40+F45+F49+F53</f>
        <v>622508000</v>
      </c>
      <c r="I35" s="342">
        <f>F35-M35</f>
        <v>0</v>
      </c>
      <c r="J35" s="163"/>
      <c r="K35" s="163"/>
      <c r="L35" s="164"/>
      <c r="M35" s="165">
        <f>M36+M40+M45+M49+M53</f>
        <v>622508000</v>
      </c>
    </row>
    <row r="36" spans="1:14" x14ac:dyDescent="0.25">
      <c r="A36" s="166" t="s">
        <v>22</v>
      </c>
      <c r="B36" s="166" t="s">
        <v>23</v>
      </c>
      <c r="C36" s="168"/>
      <c r="D36" s="168"/>
      <c r="E36" s="169"/>
      <c r="F36" s="167">
        <f>SUM(F37:F39)</f>
        <v>143060000</v>
      </c>
      <c r="G36" s="183">
        <f>F36</f>
        <v>143060000</v>
      </c>
      <c r="I36" s="341"/>
      <c r="J36" s="168"/>
      <c r="K36" s="168"/>
      <c r="L36" s="169"/>
      <c r="M36" s="167">
        <f>SUM(M37:M39)</f>
        <v>143060000</v>
      </c>
      <c r="N36" s="183">
        <f>M36</f>
        <v>143060000</v>
      </c>
    </row>
    <row r="37" spans="1:14" ht="30" x14ac:dyDescent="0.25">
      <c r="A37" s="170"/>
      <c r="B37" s="171" t="s">
        <v>736</v>
      </c>
      <c r="C37" s="172">
        <v>1760</v>
      </c>
      <c r="D37" s="172" t="s">
        <v>296</v>
      </c>
      <c r="E37" s="173">
        <v>57000</v>
      </c>
      <c r="F37" s="173">
        <f>C37*E37</f>
        <v>100320000</v>
      </c>
      <c r="I37" s="341"/>
      <c r="J37" s="172">
        <v>1760</v>
      </c>
      <c r="K37" s="172" t="s">
        <v>296</v>
      </c>
      <c r="L37" s="173">
        <v>57000</v>
      </c>
      <c r="M37" s="173">
        <f>J37*L37</f>
        <v>100320000</v>
      </c>
    </row>
    <row r="38" spans="1:14" ht="30" x14ac:dyDescent="0.25">
      <c r="A38" s="170"/>
      <c r="B38" s="171" t="s">
        <v>737</v>
      </c>
      <c r="C38" s="172">
        <v>1760</v>
      </c>
      <c r="D38" s="172" t="s">
        <v>296</v>
      </c>
      <c r="E38" s="173">
        <v>24000</v>
      </c>
      <c r="F38" s="173">
        <f>C38*E38</f>
        <v>42240000</v>
      </c>
      <c r="I38" s="341"/>
      <c r="J38" s="172">
        <v>1760</v>
      </c>
      <c r="K38" s="172" t="s">
        <v>296</v>
      </c>
      <c r="L38" s="173">
        <v>24000</v>
      </c>
      <c r="M38" s="173">
        <f>J38*L38</f>
        <v>42240000</v>
      </c>
    </row>
    <row r="39" spans="1:14" x14ac:dyDescent="0.25">
      <c r="A39" s="170"/>
      <c r="B39" s="178" t="s">
        <v>344</v>
      </c>
      <c r="C39" s="172">
        <v>1</v>
      </c>
      <c r="D39" s="172" t="s">
        <v>298</v>
      </c>
      <c r="E39" s="173">
        <v>500000</v>
      </c>
      <c r="F39" s="173">
        <f t="shared" ref="F39" si="8">C39*E39</f>
        <v>500000</v>
      </c>
      <c r="I39" s="341"/>
      <c r="J39" s="172">
        <v>1</v>
      </c>
      <c r="K39" s="172" t="s">
        <v>298</v>
      </c>
      <c r="L39" s="173">
        <v>500000</v>
      </c>
      <c r="M39" s="173">
        <f t="shared" ref="M39" si="9">J39*L39</f>
        <v>500000</v>
      </c>
    </row>
    <row r="40" spans="1:14" x14ac:dyDescent="0.25">
      <c r="A40" s="166" t="s">
        <v>14</v>
      </c>
      <c r="B40" s="166" t="s">
        <v>15</v>
      </c>
      <c r="C40" s="168"/>
      <c r="D40" s="168"/>
      <c r="E40" s="169"/>
      <c r="F40" s="167">
        <f>SUM(F41:F44)</f>
        <v>15400000</v>
      </c>
      <c r="G40" s="183">
        <f>F40</f>
        <v>15400000</v>
      </c>
      <c r="I40" s="341"/>
      <c r="J40" s="168"/>
      <c r="K40" s="168"/>
      <c r="L40" s="169"/>
      <c r="M40" s="167">
        <f>SUM(M41:M44)</f>
        <v>15400000</v>
      </c>
      <c r="N40" s="183">
        <f>M40</f>
        <v>15400000</v>
      </c>
    </row>
    <row r="41" spans="1:14" ht="30" x14ac:dyDescent="0.25">
      <c r="A41" s="170"/>
      <c r="B41" s="176" t="s">
        <v>360</v>
      </c>
      <c r="C41" s="172">
        <v>4</v>
      </c>
      <c r="D41" s="172" t="s">
        <v>296</v>
      </c>
      <c r="E41" s="173">
        <v>450000</v>
      </c>
      <c r="F41" s="173">
        <f>C41*E41</f>
        <v>1800000</v>
      </c>
      <c r="I41" s="341"/>
      <c r="J41" s="172">
        <v>4</v>
      </c>
      <c r="K41" s="172" t="s">
        <v>296</v>
      </c>
      <c r="L41" s="173">
        <v>450000</v>
      </c>
      <c r="M41" s="173">
        <f>J41*L41</f>
        <v>1800000</v>
      </c>
    </row>
    <row r="42" spans="1:14" ht="30" x14ac:dyDescent="0.25">
      <c r="A42" s="170"/>
      <c r="B42" s="176" t="s">
        <v>361</v>
      </c>
      <c r="C42" s="172">
        <v>4</v>
      </c>
      <c r="D42" s="172" t="s">
        <v>296</v>
      </c>
      <c r="E42" s="173">
        <v>400000</v>
      </c>
      <c r="F42" s="173">
        <f t="shared" ref="F42:F44" si="10">C42*E42</f>
        <v>1600000</v>
      </c>
      <c r="I42" s="341"/>
      <c r="J42" s="172">
        <v>4</v>
      </c>
      <c r="K42" s="172" t="s">
        <v>296</v>
      </c>
      <c r="L42" s="173">
        <v>400000</v>
      </c>
      <c r="M42" s="173">
        <f t="shared" ref="M42:M44" si="11">J42*L42</f>
        <v>1600000</v>
      </c>
    </row>
    <row r="43" spans="1:14" ht="30" x14ac:dyDescent="0.25">
      <c r="A43" s="170"/>
      <c r="B43" s="176" t="s">
        <v>362</v>
      </c>
      <c r="C43" s="172">
        <v>4</v>
      </c>
      <c r="D43" s="172" t="s">
        <v>296</v>
      </c>
      <c r="E43" s="173">
        <v>300000</v>
      </c>
      <c r="F43" s="173">
        <f t="shared" si="10"/>
        <v>1200000</v>
      </c>
      <c r="I43" s="341"/>
      <c r="J43" s="172">
        <v>4</v>
      </c>
      <c r="K43" s="172" t="s">
        <v>296</v>
      </c>
      <c r="L43" s="173">
        <v>300000</v>
      </c>
      <c r="M43" s="173">
        <f t="shared" si="11"/>
        <v>1200000</v>
      </c>
    </row>
    <row r="44" spans="1:14" ht="30" x14ac:dyDescent="0.25">
      <c r="A44" s="170"/>
      <c r="B44" s="176" t="s">
        <v>363</v>
      </c>
      <c r="C44" s="172">
        <v>36</v>
      </c>
      <c r="D44" s="172" t="s">
        <v>296</v>
      </c>
      <c r="E44" s="173">
        <v>300000</v>
      </c>
      <c r="F44" s="173">
        <f t="shared" si="10"/>
        <v>10800000</v>
      </c>
      <c r="I44" s="341"/>
      <c r="J44" s="172">
        <v>36</v>
      </c>
      <c r="K44" s="172" t="s">
        <v>296</v>
      </c>
      <c r="L44" s="173">
        <v>300000</v>
      </c>
      <c r="M44" s="173">
        <f t="shared" si="11"/>
        <v>10800000</v>
      </c>
    </row>
    <row r="45" spans="1:14" x14ac:dyDescent="0.25">
      <c r="A45" s="166" t="s">
        <v>16</v>
      </c>
      <c r="B45" s="166" t="s">
        <v>17</v>
      </c>
      <c r="C45" s="168"/>
      <c r="D45" s="168"/>
      <c r="E45" s="169"/>
      <c r="F45" s="167">
        <f>SUM(F46:F48)</f>
        <v>148000000</v>
      </c>
      <c r="G45" s="183">
        <f>F45</f>
        <v>148000000</v>
      </c>
      <c r="I45" s="341"/>
      <c r="J45" s="168"/>
      <c r="K45" s="168"/>
      <c r="L45" s="169"/>
      <c r="M45" s="167">
        <f>SUM(M46:M48)</f>
        <v>148000000</v>
      </c>
      <c r="N45" s="183">
        <f>M45</f>
        <v>148000000</v>
      </c>
    </row>
    <row r="46" spans="1:14" ht="30" x14ac:dyDescent="0.25">
      <c r="A46" s="170"/>
      <c r="B46" s="171" t="s">
        <v>738</v>
      </c>
      <c r="C46" s="172">
        <v>72</v>
      </c>
      <c r="D46" s="172" t="s">
        <v>297</v>
      </c>
      <c r="E46" s="173">
        <v>1000000</v>
      </c>
      <c r="F46" s="173">
        <f>C46*E46</f>
        <v>72000000</v>
      </c>
      <c r="I46" s="341"/>
      <c r="J46" s="172">
        <v>72</v>
      </c>
      <c r="K46" s="172" t="s">
        <v>297</v>
      </c>
      <c r="L46" s="173">
        <v>1000000</v>
      </c>
      <c r="M46" s="173">
        <f>J46*L46</f>
        <v>72000000</v>
      </c>
    </row>
    <row r="47" spans="1:14" ht="30" x14ac:dyDescent="0.25">
      <c r="A47" s="170"/>
      <c r="B47" s="171" t="s">
        <v>739</v>
      </c>
      <c r="C47" s="172">
        <v>72</v>
      </c>
      <c r="D47" s="172" t="s">
        <v>297</v>
      </c>
      <c r="E47" s="173">
        <v>900000</v>
      </c>
      <c r="F47" s="173">
        <f>C47*E47</f>
        <v>64800000</v>
      </c>
      <c r="I47" s="341"/>
      <c r="J47" s="172">
        <v>72</v>
      </c>
      <c r="K47" s="172" t="s">
        <v>297</v>
      </c>
      <c r="L47" s="173">
        <v>900000</v>
      </c>
      <c r="M47" s="173">
        <f>J47*L47</f>
        <v>64800000</v>
      </c>
    </row>
    <row r="48" spans="1:14" x14ac:dyDescent="0.25">
      <c r="A48" s="170"/>
      <c r="B48" s="171" t="s">
        <v>740</v>
      </c>
      <c r="C48" s="172">
        <v>16</v>
      </c>
      <c r="D48" s="172" t="s">
        <v>347</v>
      </c>
      <c r="E48" s="173">
        <v>700000</v>
      </c>
      <c r="F48" s="173">
        <f t="shared" ref="F48" si="12">C48*E48</f>
        <v>11200000</v>
      </c>
      <c r="I48" s="341"/>
      <c r="J48" s="172">
        <v>16</v>
      </c>
      <c r="K48" s="172" t="s">
        <v>347</v>
      </c>
      <c r="L48" s="173">
        <v>700000</v>
      </c>
      <c r="M48" s="173">
        <f t="shared" ref="M48" si="13">J48*L48</f>
        <v>11200000</v>
      </c>
    </row>
    <row r="49" spans="1:15" x14ac:dyDescent="0.25">
      <c r="A49" s="166" t="s">
        <v>28</v>
      </c>
      <c r="B49" s="166" t="s">
        <v>29</v>
      </c>
      <c r="C49" s="168"/>
      <c r="D49" s="168"/>
      <c r="E49" s="169"/>
      <c r="F49" s="167">
        <f>SUM(F50:F52)</f>
        <v>190368000</v>
      </c>
      <c r="H49" s="183">
        <f>F49</f>
        <v>190368000</v>
      </c>
      <c r="I49" s="341"/>
      <c r="J49" s="168"/>
      <c r="K49" s="168"/>
      <c r="L49" s="169"/>
      <c r="M49" s="167">
        <f>SUM(M50:M52)</f>
        <v>190368000</v>
      </c>
      <c r="O49" s="183">
        <f>M49</f>
        <v>190368000</v>
      </c>
    </row>
    <row r="50" spans="1:15" ht="30" x14ac:dyDescent="0.25">
      <c r="A50" s="170"/>
      <c r="B50" s="171" t="s">
        <v>741</v>
      </c>
      <c r="C50" s="172">
        <v>288</v>
      </c>
      <c r="D50" s="172" t="s">
        <v>301</v>
      </c>
      <c r="E50" s="173">
        <v>430000</v>
      </c>
      <c r="F50" s="173">
        <f>C50*E50</f>
        <v>123840000</v>
      </c>
      <c r="I50" s="341"/>
      <c r="J50" s="172">
        <v>288</v>
      </c>
      <c r="K50" s="172" t="s">
        <v>301</v>
      </c>
      <c r="L50" s="173">
        <v>430000</v>
      </c>
      <c r="M50" s="173">
        <f>J50*L50</f>
        <v>123840000</v>
      </c>
    </row>
    <row r="51" spans="1:15" ht="30" x14ac:dyDescent="0.25">
      <c r="A51" s="170"/>
      <c r="B51" s="171" t="s">
        <v>742</v>
      </c>
      <c r="C51" s="172">
        <v>192</v>
      </c>
      <c r="D51" s="172" t="s">
        <v>296</v>
      </c>
      <c r="E51" s="173">
        <v>284000</v>
      </c>
      <c r="F51" s="173">
        <f t="shared" ref="F51" si="14">C51*E51</f>
        <v>54528000</v>
      </c>
      <c r="I51" s="341"/>
      <c r="J51" s="172">
        <v>192</v>
      </c>
      <c r="K51" s="172" t="s">
        <v>296</v>
      </c>
      <c r="L51" s="173">
        <v>284000</v>
      </c>
      <c r="M51" s="173">
        <f t="shared" ref="M51" si="15">J51*L51</f>
        <v>54528000</v>
      </c>
    </row>
    <row r="52" spans="1:15" x14ac:dyDescent="0.25">
      <c r="A52" s="170"/>
      <c r="B52" s="171" t="s">
        <v>692</v>
      </c>
      <c r="C52" s="172">
        <v>32</v>
      </c>
      <c r="D52" s="172" t="s">
        <v>296</v>
      </c>
      <c r="E52" s="173">
        <v>375000</v>
      </c>
      <c r="F52" s="173">
        <f>C52*E52</f>
        <v>12000000</v>
      </c>
      <c r="I52" s="341"/>
      <c r="J52" s="172">
        <v>32</v>
      </c>
      <c r="K52" s="172" t="s">
        <v>296</v>
      </c>
      <c r="L52" s="173">
        <v>375000</v>
      </c>
      <c r="M52" s="173">
        <f>J52*L52</f>
        <v>12000000</v>
      </c>
    </row>
    <row r="53" spans="1:15" x14ac:dyDescent="0.25">
      <c r="A53" s="166" t="s">
        <v>18</v>
      </c>
      <c r="B53" s="166" t="s">
        <v>19</v>
      </c>
      <c r="C53" s="168"/>
      <c r="D53" s="168"/>
      <c r="E53" s="169"/>
      <c r="F53" s="167">
        <f>SUM(F54:F56)</f>
        <v>125680000</v>
      </c>
      <c r="H53" s="183">
        <f>F53</f>
        <v>125680000</v>
      </c>
      <c r="I53" s="341"/>
      <c r="J53" s="168"/>
      <c r="K53" s="168"/>
      <c r="L53" s="169"/>
      <c r="M53" s="167">
        <f>SUM(M54:M56)</f>
        <v>125680000</v>
      </c>
      <c r="O53" s="183">
        <f>M53</f>
        <v>125680000</v>
      </c>
    </row>
    <row r="54" spans="1:15" ht="30" x14ac:dyDescent="0.25">
      <c r="A54" s="170"/>
      <c r="B54" s="171" t="s">
        <v>693</v>
      </c>
      <c r="C54" s="172">
        <v>300</v>
      </c>
      <c r="D54" s="172" t="s">
        <v>301</v>
      </c>
      <c r="E54" s="173">
        <v>210000</v>
      </c>
      <c r="F54" s="173">
        <f>C54*E54</f>
        <v>63000000</v>
      </c>
      <c r="I54" s="341"/>
      <c r="J54" s="172">
        <v>300</v>
      </c>
      <c r="K54" s="172" t="s">
        <v>301</v>
      </c>
      <c r="L54" s="173">
        <v>210000</v>
      </c>
      <c r="M54" s="173">
        <f>J54*L54</f>
        <v>63000000</v>
      </c>
    </row>
    <row r="55" spans="1:15" ht="30" x14ac:dyDescent="0.25">
      <c r="A55" s="170"/>
      <c r="B55" s="171" t="s">
        <v>694</v>
      </c>
      <c r="C55" s="172">
        <v>300</v>
      </c>
      <c r="D55" s="172" t="s">
        <v>296</v>
      </c>
      <c r="E55" s="173">
        <v>170000</v>
      </c>
      <c r="F55" s="173">
        <f>C55*E55</f>
        <v>51000000</v>
      </c>
      <c r="I55" s="341"/>
      <c r="J55" s="172">
        <v>300</v>
      </c>
      <c r="K55" s="172" t="s">
        <v>296</v>
      </c>
      <c r="L55" s="173">
        <v>170000</v>
      </c>
      <c r="M55" s="173">
        <f>J55*L55</f>
        <v>51000000</v>
      </c>
    </row>
    <row r="56" spans="1:15" x14ac:dyDescent="0.25">
      <c r="A56" s="170"/>
      <c r="B56" s="171" t="s">
        <v>702</v>
      </c>
      <c r="C56" s="172">
        <v>16</v>
      </c>
      <c r="D56" s="172" t="s">
        <v>296</v>
      </c>
      <c r="E56" s="173">
        <v>730000</v>
      </c>
      <c r="F56" s="173">
        <f>C56*E56</f>
        <v>11680000</v>
      </c>
      <c r="I56" s="341"/>
      <c r="J56" s="172">
        <v>16</v>
      </c>
      <c r="K56" s="172" t="s">
        <v>296</v>
      </c>
      <c r="L56" s="173">
        <v>730000</v>
      </c>
      <c r="M56" s="173">
        <f>J56*L56</f>
        <v>11680000</v>
      </c>
    </row>
    <row r="57" spans="1:15" x14ac:dyDescent="0.25">
      <c r="A57" s="162" t="s">
        <v>26</v>
      </c>
      <c r="B57" s="162" t="s">
        <v>39</v>
      </c>
      <c r="C57" s="163"/>
      <c r="D57" s="163"/>
      <c r="E57" s="164"/>
      <c r="F57" s="165">
        <f>F58+F62+F67+F71+F75</f>
        <v>622508000</v>
      </c>
      <c r="I57" s="342">
        <f>F57-M57</f>
        <v>0</v>
      </c>
      <c r="J57" s="163"/>
      <c r="K57" s="163"/>
      <c r="L57" s="164"/>
      <c r="M57" s="165">
        <f>M58+M62+M67+M71+M75</f>
        <v>622508000</v>
      </c>
    </row>
    <row r="58" spans="1:15" x14ac:dyDescent="0.25">
      <c r="A58" s="166" t="s">
        <v>22</v>
      </c>
      <c r="B58" s="166" t="s">
        <v>23</v>
      </c>
      <c r="C58" s="168"/>
      <c r="D58" s="168"/>
      <c r="E58" s="169"/>
      <c r="F58" s="167">
        <f>SUM(F59:F61)</f>
        <v>143060000</v>
      </c>
      <c r="G58" s="183">
        <f>F58</f>
        <v>143060000</v>
      </c>
      <c r="I58" s="341"/>
      <c r="J58" s="168"/>
      <c r="K58" s="168"/>
      <c r="L58" s="169"/>
      <c r="M58" s="167">
        <f>SUM(M59:M61)</f>
        <v>143060000</v>
      </c>
      <c r="N58" s="183">
        <f>M58</f>
        <v>143060000</v>
      </c>
    </row>
    <row r="59" spans="1:15" ht="30" x14ac:dyDescent="0.25">
      <c r="A59" s="170"/>
      <c r="B59" s="171" t="s">
        <v>736</v>
      </c>
      <c r="C59" s="172">
        <v>1760</v>
      </c>
      <c r="D59" s="172" t="s">
        <v>296</v>
      </c>
      <c r="E59" s="173">
        <v>57000</v>
      </c>
      <c r="F59" s="173">
        <f>C59*E59</f>
        <v>100320000</v>
      </c>
      <c r="I59" s="341"/>
      <c r="J59" s="172">
        <v>1760</v>
      </c>
      <c r="K59" s="172" t="s">
        <v>296</v>
      </c>
      <c r="L59" s="173">
        <v>57000</v>
      </c>
      <c r="M59" s="173">
        <f>J59*L59</f>
        <v>100320000</v>
      </c>
    </row>
    <row r="60" spans="1:15" ht="30" x14ac:dyDescent="0.25">
      <c r="A60" s="170"/>
      <c r="B60" s="171" t="s">
        <v>737</v>
      </c>
      <c r="C60" s="172">
        <v>1760</v>
      </c>
      <c r="D60" s="172" t="s">
        <v>296</v>
      </c>
      <c r="E60" s="173">
        <v>24000</v>
      </c>
      <c r="F60" s="173">
        <f>C60*E60</f>
        <v>42240000</v>
      </c>
      <c r="I60" s="341"/>
      <c r="J60" s="172">
        <v>1760</v>
      </c>
      <c r="K60" s="172" t="s">
        <v>296</v>
      </c>
      <c r="L60" s="173">
        <v>24000</v>
      </c>
      <c r="M60" s="173">
        <f>J60*L60</f>
        <v>42240000</v>
      </c>
    </row>
    <row r="61" spans="1:15" ht="25.5" customHeight="1" x14ac:dyDescent="0.25">
      <c r="A61" s="170"/>
      <c r="B61" s="178" t="s">
        <v>344</v>
      </c>
      <c r="C61" s="172">
        <v>1</v>
      </c>
      <c r="D61" s="172" t="s">
        <v>298</v>
      </c>
      <c r="E61" s="173">
        <v>500000</v>
      </c>
      <c r="F61" s="173">
        <f t="shared" ref="F61" si="16">C61*E61</f>
        <v>500000</v>
      </c>
      <c r="I61" s="341"/>
      <c r="J61" s="172">
        <v>1</v>
      </c>
      <c r="K61" s="172" t="s">
        <v>298</v>
      </c>
      <c r="L61" s="173">
        <v>500000</v>
      </c>
      <c r="M61" s="173">
        <f t="shared" ref="M61" si="17">J61*L61</f>
        <v>500000</v>
      </c>
    </row>
    <row r="62" spans="1:15" x14ac:dyDescent="0.25">
      <c r="A62" s="166" t="s">
        <v>14</v>
      </c>
      <c r="B62" s="166" t="s">
        <v>15</v>
      </c>
      <c r="C62" s="168"/>
      <c r="D62" s="168"/>
      <c r="E62" s="169"/>
      <c r="F62" s="167">
        <f>SUM(F63:F66)</f>
        <v>15400000</v>
      </c>
      <c r="G62" s="183">
        <f>F62</f>
        <v>15400000</v>
      </c>
      <c r="I62" s="341"/>
      <c r="J62" s="168"/>
      <c r="K62" s="168"/>
      <c r="L62" s="169"/>
      <c r="M62" s="167">
        <f>SUM(M63:M66)</f>
        <v>15400000</v>
      </c>
      <c r="N62" s="183">
        <f>M62</f>
        <v>15400000</v>
      </c>
    </row>
    <row r="63" spans="1:15" ht="30" x14ac:dyDescent="0.25">
      <c r="A63" s="170"/>
      <c r="B63" s="176" t="s">
        <v>360</v>
      </c>
      <c r="C63" s="172">
        <v>4</v>
      </c>
      <c r="D63" s="172" t="s">
        <v>296</v>
      </c>
      <c r="E63" s="173">
        <v>450000</v>
      </c>
      <c r="F63" s="173">
        <f>C63*E63</f>
        <v>1800000</v>
      </c>
      <c r="I63" s="341"/>
      <c r="J63" s="172">
        <v>4</v>
      </c>
      <c r="K63" s="172" t="s">
        <v>296</v>
      </c>
      <c r="L63" s="173">
        <v>450000</v>
      </c>
      <c r="M63" s="173">
        <f>J63*L63</f>
        <v>1800000</v>
      </c>
    </row>
    <row r="64" spans="1:15" ht="30" x14ac:dyDescent="0.25">
      <c r="A64" s="170"/>
      <c r="B64" s="176" t="s">
        <v>361</v>
      </c>
      <c r="C64" s="172">
        <v>4</v>
      </c>
      <c r="D64" s="172" t="s">
        <v>296</v>
      </c>
      <c r="E64" s="173">
        <v>400000</v>
      </c>
      <c r="F64" s="173">
        <f t="shared" ref="F64:F66" si="18">C64*E64</f>
        <v>1600000</v>
      </c>
      <c r="I64" s="341"/>
      <c r="J64" s="172">
        <v>4</v>
      </c>
      <c r="K64" s="172" t="s">
        <v>296</v>
      </c>
      <c r="L64" s="173">
        <v>400000</v>
      </c>
      <c r="M64" s="173">
        <f t="shared" ref="M64:M66" si="19">J64*L64</f>
        <v>1600000</v>
      </c>
    </row>
    <row r="65" spans="1:15" ht="30" x14ac:dyDescent="0.25">
      <c r="A65" s="170"/>
      <c r="B65" s="176" t="s">
        <v>362</v>
      </c>
      <c r="C65" s="172">
        <v>4</v>
      </c>
      <c r="D65" s="172" t="s">
        <v>296</v>
      </c>
      <c r="E65" s="173">
        <v>300000</v>
      </c>
      <c r="F65" s="173">
        <f t="shared" si="18"/>
        <v>1200000</v>
      </c>
      <c r="I65" s="341"/>
      <c r="J65" s="172">
        <v>4</v>
      </c>
      <c r="K65" s="172" t="s">
        <v>296</v>
      </c>
      <c r="L65" s="173">
        <v>300000</v>
      </c>
      <c r="M65" s="173">
        <f t="shared" si="19"/>
        <v>1200000</v>
      </c>
    </row>
    <row r="66" spans="1:15" ht="30" x14ac:dyDescent="0.25">
      <c r="A66" s="170"/>
      <c r="B66" s="176" t="s">
        <v>363</v>
      </c>
      <c r="C66" s="172">
        <v>36</v>
      </c>
      <c r="D66" s="172" t="s">
        <v>296</v>
      </c>
      <c r="E66" s="173">
        <v>300000</v>
      </c>
      <c r="F66" s="173">
        <f t="shared" si="18"/>
        <v>10800000</v>
      </c>
      <c r="I66" s="341"/>
      <c r="J66" s="172">
        <v>36</v>
      </c>
      <c r="K66" s="172" t="s">
        <v>296</v>
      </c>
      <c r="L66" s="173">
        <v>300000</v>
      </c>
      <c r="M66" s="173">
        <f t="shared" si="19"/>
        <v>10800000</v>
      </c>
    </row>
    <row r="67" spans="1:15" x14ac:dyDescent="0.25">
      <c r="A67" s="166" t="s">
        <v>16</v>
      </c>
      <c r="B67" s="166" t="s">
        <v>17</v>
      </c>
      <c r="C67" s="168"/>
      <c r="D67" s="168"/>
      <c r="E67" s="169"/>
      <c r="F67" s="167">
        <f>SUM(F68:F70)</f>
        <v>148000000</v>
      </c>
      <c r="G67" s="183">
        <f>F67</f>
        <v>148000000</v>
      </c>
      <c r="I67" s="341"/>
      <c r="J67" s="168"/>
      <c r="K67" s="168"/>
      <c r="L67" s="169"/>
      <c r="M67" s="167">
        <f>SUM(M68:M70)</f>
        <v>148000000</v>
      </c>
      <c r="N67" s="183">
        <f>M67</f>
        <v>148000000</v>
      </c>
    </row>
    <row r="68" spans="1:15" ht="30" x14ac:dyDescent="0.25">
      <c r="A68" s="170"/>
      <c r="B68" s="171" t="s">
        <v>738</v>
      </c>
      <c r="C68" s="172">
        <v>72</v>
      </c>
      <c r="D68" s="172" t="s">
        <v>297</v>
      </c>
      <c r="E68" s="173">
        <v>1000000</v>
      </c>
      <c r="F68" s="173">
        <f>C68*E68</f>
        <v>72000000</v>
      </c>
      <c r="I68" s="341"/>
      <c r="J68" s="172">
        <v>72</v>
      </c>
      <c r="K68" s="172" t="s">
        <v>297</v>
      </c>
      <c r="L68" s="173">
        <v>1000000</v>
      </c>
      <c r="M68" s="173">
        <f>J68*L68</f>
        <v>72000000</v>
      </c>
    </row>
    <row r="69" spans="1:15" ht="30" x14ac:dyDescent="0.25">
      <c r="A69" s="170"/>
      <c r="B69" s="171" t="s">
        <v>739</v>
      </c>
      <c r="C69" s="172">
        <v>72</v>
      </c>
      <c r="D69" s="172" t="s">
        <v>297</v>
      </c>
      <c r="E69" s="173">
        <v>900000</v>
      </c>
      <c r="F69" s="173">
        <f>C69*E69</f>
        <v>64800000</v>
      </c>
      <c r="I69" s="341"/>
      <c r="J69" s="172">
        <v>72</v>
      </c>
      <c r="K69" s="172" t="s">
        <v>297</v>
      </c>
      <c r="L69" s="173">
        <v>900000</v>
      </c>
      <c r="M69" s="173">
        <f>J69*L69</f>
        <v>64800000</v>
      </c>
    </row>
    <row r="70" spans="1:15" x14ac:dyDescent="0.25">
      <c r="A70" s="170"/>
      <c r="B70" s="171" t="s">
        <v>740</v>
      </c>
      <c r="C70" s="172">
        <v>16</v>
      </c>
      <c r="D70" s="172" t="s">
        <v>347</v>
      </c>
      <c r="E70" s="173">
        <v>700000</v>
      </c>
      <c r="F70" s="173">
        <f t="shared" ref="F70" si="20">C70*E70</f>
        <v>11200000</v>
      </c>
      <c r="I70" s="341"/>
      <c r="J70" s="172">
        <v>16</v>
      </c>
      <c r="K70" s="172" t="s">
        <v>347</v>
      </c>
      <c r="L70" s="173">
        <v>700000</v>
      </c>
      <c r="M70" s="173">
        <f t="shared" ref="M70" si="21">J70*L70</f>
        <v>11200000</v>
      </c>
    </row>
    <row r="71" spans="1:15" x14ac:dyDescent="0.25">
      <c r="A71" s="166" t="s">
        <v>28</v>
      </c>
      <c r="B71" s="166" t="s">
        <v>29</v>
      </c>
      <c r="C71" s="168"/>
      <c r="D71" s="168"/>
      <c r="E71" s="169"/>
      <c r="F71" s="167">
        <f>SUM(F72:F74)</f>
        <v>190368000</v>
      </c>
      <c r="H71" s="183">
        <f>F71</f>
        <v>190368000</v>
      </c>
      <c r="I71" s="341"/>
      <c r="J71" s="168"/>
      <c r="K71" s="168"/>
      <c r="L71" s="169"/>
      <c r="M71" s="167">
        <f>SUM(M72:M74)</f>
        <v>190368000</v>
      </c>
      <c r="O71" s="183">
        <f>M71</f>
        <v>190368000</v>
      </c>
    </row>
    <row r="72" spans="1:15" ht="30" x14ac:dyDescent="0.25">
      <c r="A72" s="170"/>
      <c r="B72" s="171" t="s">
        <v>741</v>
      </c>
      <c r="C72" s="172">
        <v>288</v>
      </c>
      <c r="D72" s="172" t="s">
        <v>301</v>
      </c>
      <c r="E72" s="173">
        <v>430000</v>
      </c>
      <c r="F72" s="173">
        <f>C72*E72</f>
        <v>123840000</v>
      </c>
      <c r="I72" s="341"/>
      <c r="J72" s="172">
        <v>288</v>
      </c>
      <c r="K72" s="172" t="s">
        <v>301</v>
      </c>
      <c r="L72" s="173">
        <v>430000</v>
      </c>
      <c r="M72" s="173">
        <f>J72*L72</f>
        <v>123840000</v>
      </c>
    </row>
    <row r="73" spans="1:15" ht="30" x14ac:dyDescent="0.25">
      <c r="A73" s="170"/>
      <c r="B73" s="171" t="s">
        <v>742</v>
      </c>
      <c r="C73" s="172">
        <v>192</v>
      </c>
      <c r="D73" s="172" t="s">
        <v>296</v>
      </c>
      <c r="E73" s="173">
        <v>284000</v>
      </c>
      <c r="F73" s="173">
        <f t="shared" ref="F73" si="22">C73*E73</f>
        <v>54528000</v>
      </c>
      <c r="I73" s="341"/>
      <c r="J73" s="172">
        <v>192</v>
      </c>
      <c r="K73" s="172" t="s">
        <v>296</v>
      </c>
      <c r="L73" s="173">
        <v>284000</v>
      </c>
      <c r="M73" s="173">
        <f t="shared" ref="M73" si="23">J73*L73</f>
        <v>54528000</v>
      </c>
    </row>
    <row r="74" spans="1:15" x14ac:dyDescent="0.25">
      <c r="A74" s="170"/>
      <c r="B74" s="171" t="s">
        <v>692</v>
      </c>
      <c r="C74" s="172">
        <v>32</v>
      </c>
      <c r="D74" s="172" t="s">
        <v>296</v>
      </c>
      <c r="E74" s="173">
        <v>375000</v>
      </c>
      <c r="F74" s="173">
        <f>C74*E74</f>
        <v>12000000</v>
      </c>
      <c r="I74" s="341"/>
      <c r="J74" s="172">
        <v>32</v>
      </c>
      <c r="K74" s="172" t="s">
        <v>296</v>
      </c>
      <c r="L74" s="173">
        <v>375000</v>
      </c>
      <c r="M74" s="173">
        <f>J74*L74</f>
        <v>12000000</v>
      </c>
    </row>
    <row r="75" spans="1:15" x14ac:dyDescent="0.25">
      <c r="A75" s="166" t="s">
        <v>18</v>
      </c>
      <c r="B75" s="166" t="s">
        <v>19</v>
      </c>
      <c r="C75" s="168"/>
      <c r="D75" s="168"/>
      <c r="E75" s="169"/>
      <c r="F75" s="167">
        <f>SUM(F76:F78)</f>
        <v>125680000</v>
      </c>
      <c r="H75" s="183">
        <f>F75</f>
        <v>125680000</v>
      </c>
      <c r="I75" s="341"/>
      <c r="J75" s="168"/>
      <c r="K75" s="168"/>
      <c r="L75" s="169"/>
      <c r="M75" s="167">
        <f>SUM(M76:M78)</f>
        <v>125680000</v>
      </c>
      <c r="O75" s="183">
        <f>M75</f>
        <v>125680000</v>
      </c>
    </row>
    <row r="76" spans="1:15" ht="30" x14ac:dyDescent="0.25">
      <c r="A76" s="170"/>
      <c r="B76" s="171" t="s">
        <v>693</v>
      </c>
      <c r="C76" s="172">
        <v>300</v>
      </c>
      <c r="D76" s="172" t="s">
        <v>301</v>
      </c>
      <c r="E76" s="173">
        <v>210000</v>
      </c>
      <c r="F76" s="173">
        <f>C76*E76</f>
        <v>63000000</v>
      </c>
      <c r="I76" s="341"/>
      <c r="J76" s="172">
        <v>300</v>
      </c>
      <c r="K76" s="172" t="s">
        <v>301</v>
      </c>
      <c r="L76" s="173">
        <v>210000</v>
      </c>
      <c r="M76" s="173">
        <f>J76*L76</f>
        <v>63000000</v>
      </c>
    </row>
    <row r="77" spans="1:15" ht="30" x14ac:dyDescent="0.25">
      <c r="A77" s="170"/>
      <c r="B77" s="171" t="s">
        <v>694</v>
      </c>
      <c r="C77" s="172">
        <v>300</v>
      </c>
      <c r="D77" s="172" t="s">
        <v>296</v>
      </c>
      <c r="E77" s="173">
        <v>170000</v>
      </c>
      <c r="F77" s="173">
        <f>C77*E77</f>
        <v>51000000</v>
      </c>
      <c r="I77" s="341"/>
      <c r="J77" s="172">
        <v>300</v>
      </c>
      <c r="K77" s="172" t="s">
        <v>296</v>
      </c>
      <c r="L77" s="173">
        <v>170000</v>
      </c>
      <c r="M77" s="173">
        <f>J77*L77</f>
        <v>51000000</v>
      </c>
    </row>
    <row r="78" spans="1:15" x14ac:dyDescent="0.25">
      <c r="A78" s="170"/>
      <c r="B78" s="171" t="s">
        <v>702</v>
      </c>
      <c r="C78" s="172">
        <v>16</v>
      </c>
      <c r="D78" s="172" t="s">
        <v>296</v>
      </c>
      <c r="E78" s="173">
        <v>730000</v>
      </c>
      <c r="F78" s="173">
        <f>C78*E78</f>
        <v>11680000</v>
      </c>
      <c r="I78" s="341"/>
      <c r="J78" s="172">
        <v>16</v>
      </c>
      <c r="K78" s="172" t="s">
        <v>296</v>
      </c>
      <c r="L78" s="173">
        <v>730000</v>
      </c>
      <c r="M78" s="173">
        <f>J78*L78</f>
        <v>11680000</v>
      </c>
    </row>
    <row r="79" spans="1:15" ht="30" x14ac:dyDescent="0.25">
      <c r="A79" s="162" t="s">
        <v>32</v>
      </c>
      <c r="B79" s="162" t="s">
        <v>41</v>
      </c>
      <c r="C79" s="163"/>
      <c r="D79" s="163"/>
      <c r="E79" s="164"/>
      <c r="F79" s="165">
        <f>F80+F84+F89+F93+F97</f>
        <v>622508000</v>
      </c>
      <c r="I79" s="342">
        <f>F79-M79</f>
        <v>135022000</v>
      </c>
      <c r="J79" s="163"/>
      <c r="K79" s="163"/>
      <c r="L79" s="164"/>
      <c r="M79" s="165">
        <f>M80+M84+M89+M93+M97</f>
        <v>487486000</v>
      </c>
    </row>
    <row r="80" spans="1:15" x14ac:dyDescent="0.25">
      <c r="A80" s="166" t="s">
        <v>22</v>
      </c>
      <c r="B80" s="166" t="s">
        <v>23</v>
      </c>
      <c r="C80" s="168"/>
      <c r="D80" s="168"/>
      <c r="E80" s="169"/>
      <c r="F80" s="167">
        <f>SUM(F81:F83)</f>
        <v>143060000</v>
      </c>
      <c r="G80" s="183">
        <f>F80</f>
        <v>143060000</v>
      </c>
      <c r="I80" s="341"/>
      <c r="J80" s="168"/>
      <c r="K80" s="168"/>
      <c r="L80" s="169"/>
      <c r="M80" s="167">
        <f>SUM(M81:M83)</f>
        <v>52032000</v>
      </c>
      <c r="N80" s="183">
        <f>M80</f>
        <v>52032000</v>
      </c>
    </row>
    <row r="81" spans="1:15" ht="30" x14ac:dyDescent="0.25">
      <c r="A81" s="170"/>
      <c r="B81" s="171" t="s">
        <v>736</v>
      </c>
      <c r="C81" s="172">
        <v>1760</v>
      </c>
      <c r="D81" s="172" t="s">
        <v>296</v>
      </c>
      <c r="E81" s="173">
        <v>57000</v>
      </c>
      <c r="F81" s="173">
        <f>C81*E81</f>
        <v>100320000</v>
      </c>
      <c r="I81" s="341"/>
      <c r="J81" s="230">
        <v>620</v>
      </c>
      <c r="K81" s="172" t="s">
        <v>296</v>
      </c>
      <c r="L81" s="173">
        <v>57000</v>
      </c>
      <c r="M81" s="173">
        <f>J81*L81</f>
        <v>35340000</v>
      </c>
    </row>
    <row r="82" spans="1:15" ht="30" x14ac:dyDescent="0.25">
      <c r="A82" s="170"/>
      <c r="B82" s="171" t="s">
        <v>737</v>
      </c>
      <c r="C82" s="172">
        <v>1760</v>
      </c>
      <c r="D82" s="172" t="s">
        <v>296</v>
      </c>
      <c r="E82" s="173">
        <v>24000</v>
      </c>
      <c r="F82" s="173">
        <f>C82*E82</f>
        <v>42240000</v>
      </c>
      <c r="I82" s="341"/>
      <c r="J82" s="230">
        <v>620</v>
      </c>
      <c r="K82" s="172" t="s">
        <v>296</v>
      </c>
      <c r="L82" s="173">
        <v>24000</v>
      </c>
      <c r="M82" s="173">
        <f>J82*L82</f>
        <v>14880000</v>
      </c>
    </row>
    <row r="83" spans="1:15" x14ac:dyDescent="0.25">
      <c r="A83" s="170"/>
      <c r="B83" s="178" t="s">
        <v>344</v>
      </c>
      <c r="C83" s="172">
        <v>1</v>
      </c>
      <c r="D83" s="172" t="s">
        <v>298</v>
      </c>
      <c r="E83" s="173">
        <v>500000</v>
      </c>
      <c r="F83" s="173">
        <f t="shared" ref="F83" si="24">C83*E83</f>
        <v>500000</v>
      </c>
      <c r="I83" s="341"/>
      <c r="J83" s="172">
        <v>1</v>
      </c>
      <c r="K83" s="172" t="s">
        <v>298</v>
      </c>
      <c r="L83" s="231">
        <v>1812000</v>
      </c>
      <c r="M83" s="173">
        <f t="shared" ref="M83" si="25">J83*L83</f>
        <v>1812000</v>
      </c>
    </row>
    <row r="84" spans="1:15" x14ac:dyDescent="0.25">
      <c r="A84" s="166" t="s">
        <v>14</v>
      </c>
      <c r="B84" s="166" t="s">
        <v>15</v>
      </c>
      <c r="C84" s="168"/>
      <c r="D84" s="168"/>
      <c r="E84" s="169"/>
      <c r="F84" s="167">
        <f>SUM(F85:F88)</f>
        <v>15400000</v>
      </c>
      <c r="G84" s="183">
        <f>F84</f>
        <v>15400000</v>
      </c>
      <c r="I84" s="341"/>
      <c r="J84" s="168"/>
      <c r="K84" s="168"/>
      <c r="L84" s="169"/>
      <c r="M84" s="167">
        <f>SUM(M85:M88)</f>
        <v>15400000</v>
      </c>
      <c r="N84" s="183">
        <f>M84</f>
        <v>15400000</v>
      </c>
    </row>
    <row r="85" spans="1:15" ht="30" x14ac:dyDescent="0.25">
      <c r="A85" s="170"/>
      <c r="B85" s="176" t="s">
        <v>360</v>
      </c>
      <c r="C85" s="172">
        <v>4</v>
      </c>
      <c r="D85" s="172" t="s">
        <v>296</v>
      </c>
      <c r="E85" s="173">
        <v>450000</v>
      </c>
      <c r="F85" s="173">
        <f>C85*E85</f>
        <v>1800000</v>
      </c>
      <c r="I85" s="341"/>
      <c r="J85" s="172">
        <v>4</v>
      </c>
      <c r="K85" s="172" t="s">
        <v>296</v>
      </c>
      <c r="L85" s="173">
        <v>450000</v>
      </c>
      <c r="M85" s="173">
        <f>J85*L85</f>
        <v>1800000</v>
      </c>
    </row>
    <row r="86" spans="1:15" ht="30" x14ac:dyDescent="0.25">
      <c r="A86" s="170"/>
      <c r="B86" s="176" t="s">
        <v>361</v>
      </c>
      <c r="C86" s="172">
        <v>4</v>
      </c>
      <c r="D86" s="172" t="s">
        <v>296</v>
      </c>
      <c r="E86" s="173">
        <v>400000</v>
      </c>
      <c r="F86" s="173">
        <f t="shared" ref="F86:F88" si="26">C86*E86</f>
        <v>1600000</v>
      </c>
      <c r="I86" s="341"/>
      <c r="J86" s="172">
        <v>4</v>
      </c>
      <c r="K86" s="172" t="s">
        <v>296</v>
      </c>
      <c r="L86" s="173">
        <v>400000</v>
      </c>
      <c r="M86" s="173">
        <f t="shared" ref="M86:M88" si="27">J86*L86</f>
        <v>1600000</v>
      </c>
    </row>
    <row r="87" spans="1:15" ht="30" x14ac:dyDescent="0.25">
      <c r="A87" s="170"/>
      <c r="B87" s="176" t="s">
        <v>362</v>
      </c>
      <c r="C87" s="172">
        <v>4</v>
      </c>
      <c r="D87" s="172" t="s">
        <v>296</v>
      </c>
      <c r="E87" s="173">
        <v>300000</v>
      </c>
      <c r="F87" s="173">
        <f t="shared" si="26"/>
        <v>1200000</v>
      </c>
      <c r="I87" s="341"/>
      <c r="J87" s="172">
        <v>4</v>
      </c>
      <c r="K87" s="172" t="s">
        <v>296</v>
      </c>
      <c r="L87" s="173">
        <v>300000</v>
      </c>
      <c r="M87" s="173">
        <f t="shared" si="27"/>
        <v>1200000</v>
      </c>
    </row>
    <row r="88" spans="1:15" ht="30" x14ac:dyDescent="0.25">
      <c r="A88" s="170"/>
      <c r="B88" s="176" t="s">
        <v>363</v>
      </c>
      <c r="C88" s="172">
        <v>36</v>
      </c>
      <c r="D88" s="172" t="s">
        <v>296</v>
      </c>
      <c r="E88" s="173">
        <v>300000</v>
      </c>
      <c r="F88" s="173">
        <f t="shared" si="26"/>
        <v>10800000</v>
      </c>
      <c r="I88" s="341"/>
      <c r="J88" s="172">
        <v>36</v>
      </c>
      <c r="K88" s="172" t="s">
        <v>296</v>
      </c>
      <c r="L88" s="173">
        <v>300000</v>
      </c>
      <c r="M88" s="173">
        <f t="shared" si="27"/>
        <v>10800000</v>
      </c>
    </row>
    <row r="89" spans="1:15" x14ac:dyDescent="0.25">
      <c r="A89" s="166" t="s">
        <v>16</v>
      </c>
      <c r="B89" s="166" t="s">
        <v>17</v>
      </c>
      <c r="C89" s="168"/>
      <c r="D89" s="168"/>
      <c r="E89" s="169"/>
      <c r="F89" s="167">
        <f>SUM(F90:F92)</f>
        <v>148000000</v>
      </c>
      <c r="G89" s="183">
        <f>F89</f>
        <v>148000000</v>
      </c>
      <c r="I89" s="341"/>
      <c r="J89" s="168"/>
      <c r="K89" s="168"/>
      <c r="L89" s="169"/>
      <c r="M89" s="167">
        <f>SUM(M90:M92)</f>
        <v>134700000</v>
      </c>
      <c r="N89" s="183">
        <f>M89</f>
        <v>134700000</v>
      </c>
    </row>
    <row r="90" spans="1:15" ht="30" x14ac:dyDescent="0.25">
      <c r="A90" s="170"/>
      <c r="B90" s="171" t="s">
        <v>738</v>
      </c>
      <c r="C90" s="172">
        <v>72</v>
      </c>
      <c r="D90" s="172" t="s">
        <v>297</v>
      </c>
      <c r="E90" s="173">
        <v>1000000</v>
      </c>
      <c r="F90" s="173">
        <f>C90*E90</f>
        <v>72000000</v>
      </c>
      <c r="I90" s="341"/>
      <c r="J90" s="230">
        <v>65</v>
      </c>
      <c r="K90" s="172" t="s">
        <v>297</v>
      </c>
      <c r="L90" s="173">
        <v>1000000</v>
      </c>
      <c r="M90" s="173">
        <f>J90*L90</f>
        <v>65000000</v>
      </c>
    </row>
    <row r="91" spans="1:15" ht="30" x14ac:dyDescent="0.25">
      <c r="A91" s="170"/>
      <c r="B91" s="171" t="s">
        <v>739</v>
      </c>
      <c r="C91" s="172">
        <v>72</v>
      </c>
      <c r="D91" s="172" t="s">
        <v>297</v>
      </c>
      <c r="E91" s="173">
        <v>900000</v>
      </c>
      <c r="F91" s="173">
        <f>C91*E91</f>
        <v>64800000</v>
      </c>
      <c r="I91" s="341"/>
      <c r="J91" s="230">
        <v>65</v>
      </c>
      <c r="K91" s="172" t="s">
        <v>297</v>
      </c>
      <c r="L91" s="173">
        <v>900000</v>
      </c>
      <c r="M91" s="173">
        <f>J91*L91</f>
        <v>58500000</v>
      </c>
    </row>
    <row r="92" spans="1:15" x14ac:dyDescent="0.25">
      <c r="A92" s="170"/>
      <c r="B92" s="171" t="s">
        <v>740</v>
      </c>
      <c r="C92" s="172">
        <v>16</v>
      </c>
      <c r="D92" s="172" t="s">
        <v>347</v>
      </c>
      <c r="E92" s="173">
        <v>700000</v>
      </c>
      <c r="F92" s="173">
        <f t="shared" ref="F92" si="28">C92*E92</f>
        <v>11200000</v>
      </c>
      <c r="I92" s="341"/>
      <c r="J92" s="172">
        <v>16</v>
      </c>
      <c r="K92" s="172" t="s">
        <v>347</v>
      </c>
      <c r="L92" s="173">
        <v>700000</v>
      </c>
      <c r="M92" s="173">
        <f t="shared" ref="M92" si="29">J92*L92</f>
        <v>11200000</v>
      </c>
    </row>
    <row r="93" spans="1:15" x14ac:dyDescent="0.25">
      <c r="A93" s="166" t="s">
        <v>28</v>
      </c>
      <c r="B93" s="166" t="s">
        <v>29</v>
      </c>
      <c r="C93" s="168"/>
      <c r="D93" s="168"/>
      <c r="E93" s="169"/>
      <c r="F93" s="167">
        <f>SUM(F94:F96)</f>
        <v>190368000</v>
      </c>
      <c r="H93" s="183">
        <f>F93</f>
        <v>190368000</v>
      </c>
      <c r="I93" s="341"/>
      <c r="J93" s="168"/>
      <c r="K93" s="168"/>
      <c r="L93" s="169"/>
      <c r="M93" s="167">
        <f>SUM(M94:M96)</f>
        <v>159674000</v>
      </c>
      <c r="O93" s="183">
        <f>M93</f>
        <v>159674000</v>
      </c>
    </row>
    <row r="94" spans="1:15" ht="30" x14ac:dyDescent="0.25">
      <c r="A94" s="170"/>
      <c r="B94" s="171" t="s">
        <v>741</v>
      </c>
      <c r="C94" s="172">
        <v>288</v>
      </c>
      <c r="D94" s="172" t="s">
        <v>301</v>
      </c>
      <c r="E94" s="173">
        <v>430000</v>
      </c>
      <c r="F94" s="173">
        <f>C94*E94</f>
        <v>123840000</v>
      </c>
      <c r="I94" s="341"/>
      <c r="J94" s="230">
        <v>247</v>
      </c>
      <c r="K94" s="172" t="s">
        <v>301</v>
      </c>
      <c r="L94" s="173">
        <v>430000</v>
      </c>
      <c r="M94" s="173">
        <f>J94*L94</f>
        <v>106210000</v>
      </c>
    </row>
    <row r="95" spans="1:15" ht="30" x14ac:dyDescent="0.25">
      <c r="A95" s="170"/>
      <c r="B95" s="171" t="s">
        <v>742</v>
      </c>
      <c r="C95" s="172">
        <v>192</v>
      </c>
      <c r="D95" s="172" t="s">
        <v>296</v>
      </c>
      <c r="E95" s="173">
        <v>284000</v>
      </c>
      <c r="F95" s="173">
        <f t="shared" ref="F95" si="30">C95*E95</f>
        <v>54528000</v>
      </c>
      <c r="I95" s="341"/>
      <c r="J95" s="230">
        <v>146</v>
      </c>
      <c r="K95" s="172" t="s">
        <v>296</v>
      </c>
      <c r="L95" s="173">
        <v>284000</v>
      </c>
      <c r="M95" s="173">
        <f t="shared" ref="M95" si="31">J95*L95</f>
        <v>41464000</v>
      </c>
    </row>
    <row r="96" spans="1:15" x14ac:dyDescent="0.25">
      <c r="A96" s="170"/>
      <c r="B96" s="171" t="s">
        <v>692</v>
      </c>
      <c r="C96" s="172">
        <v>32</v>
      </c>
      <c r="D96" s="172" t="s">
        <v>296</v>
      </c>
      <c r="E96" s="173">
        <v>375000</v>
      </c>
      <c r="F96" s="173">
        <f>C96*E96</f>
        <v>12000000</v>
      </c>
      <c r="I96" s="341"/>
      <c r="J96" s="172">
        <v>32</v>
      </c>
      <c r="K96" s="172" t="s">
        <v>296</v>
      </c>
      <c r="L96" s="173">
        <v>375000</v>
      </c>
      <c r="M96" s="173">
        <f>J96*L96</f>
        <v>12000000</v>
      </c>
    </row>
    <row r="97" spans="1:15" x14ac:dyDescent="0.25">
      <c r="A97" s="166" t="s">
        <v>18</v>
      </c>
      <c r="B97" s="166" t="s">
        <v>19</v>
      </c>
      <c r="C97" s="168"/>
      <c r="D97" s="168"/>
      <c r="E97" s="169"/>
      <c r="F97" s="167">
        <f>SUM(F98:F100)</f>
        <v>125680000</v>
      </c>
      <c r="H97" s="183">
        <f>F97</f>
        <v>125680000</v>
      </c>
      <c r="I97" s="341"/>
      <c r="J97" s="168"/>
      <c r="K97" s="168"/>
      <c r="L97" s="169"/>
      <c r="M97" s="167">
        <f>SUM(M98:M100)</f>
        <v>125680000</v>
      </c>
      <c r="O97" s="183">
        <f>M97</f>
        <v>125680000</v>
      </c>
    </row>
    <row r="98" spans="1:15" ht="30" x14ac:dyDescent="0.25">
      <c r="A98" s="170"/>
      <c r="B98" s="171" t="s">
        <v>693</v>
      </c>
      <c r="C98" s="172">
        <v>300</v>
      </c>
      <c r="D98" s="172" t="s">
        <v>301</v>
      </c>
      <c r="E98" s="173">
        <v>210000</v>
      </c>
      <c r="F98" s="173">
        <f>C98*E98</f>
        <v>63000000</v>
      </c>
      <c r="I98" s="341"/>
      <c r="J98" s="172">
        <v>300</v>
      </c>
      <c r="K98" s="172" t="s">
        <v>301</v>
      </c>
      <c r="L98" s="173">
        <v>210000</v>
      </c>
      <c r="M98" s="173">
        <f>J98*L98</f>
        <v>63000000</v>
      </c>
    </row>
    <row r="99" spans="1:15" ht="30" x14ac:dyDescent="0.25">
      <c r="A99" s="170"/>
      <c r="B99" s="171" t="s">
        <v>694</v>
      </c>
      <c r="C99" s="172">
        <v>300</v>
      </c>
      <c r="D99" s="172" t="s">
        <v>296</v>
      </c>
      <c r="E99" s="173">
        <v>170000</v>
      </c>
      <c r="F99" s="173">
        <f>C99*E99</f>
        <v>51000000</v>
      </c>
      <c r="I99" s="341"/>
      <c r="J99" s="172">
        <v>300</v>
      </c>
      <c r="K99" s="172" t="s">
        <v>296</v>
      </c>
      <c r="L99" s="173">
        <v>170000</v>
      </c>
      <c r="M99" s="173">
        <f>J99*L99</f>
        <v>51000000</v>
      </c>
    </row>
    <row r="100" spans="1:15" x14ac:dyDescent="0.25">
      <c r="A100" s="170"/>
      <c r="B100" s="171" t="s">
        <v>702</v>
      </c>
      <c r="C100" s="172">
        <v>16</v>
      </c>
      <c r="D100" s="172" t="s">
        <v>296</v>
      </c>
      <c r="E100" s="173">
        <v>730000</v>
      </c>
      <c r="F100" s="173">
        <f>C100*E100</f>
        <v>11680000</v>
      </c>
      <c r="I100" s="341"/>
      <c r="J100" s="172">
        <v>16</v>
      </c>
      <c r="K100" s="172" t="s">
        <v>296</v>
      </c>
      <c r="L100" s="173">
        <v>730000</v>
      </c>
      <c r="M100" s="173">
        <f>J100*L100</f>
        <v>11680000</v>
      </c>
    </row>
    <row r="101" spans="1:15" x14ac:dyDescent="0.25">
      <c r="A101" s="162" t="s">
        <v>35</v>
      </c>
      <c r="B101" s="162" t="s">
        <v>45</v>
      </c>
      <c r="C101" s="163"/>
      <c r="D101" s="163"/>
      <c r="E101" s="164"/>
      <c r="F101" s="165">
        <f>F102+F106+F111+F115+F119</f>
        <v>622508000</v>
      </c>
      <c r="I101" s="342">
        <f>F101-M101</f>
        <v>0</v>
      </c>
      <c r="J101" s="163"/>
      <c r="K101" s="163"/>
      <c r="L101" s="164"/>
      <c r="M101" s="165">
        <f>M102+M106+M111+M115+M119</f>
        <v>622508000</v>
      </c>
    </row>
    <row r="102" spans="1:15" x14ac:dyDescent="0.25">
      <c r="A102" s="166" t="s">
        <v>22</v>
      </c>
      <c r="B102" s="166" t="s">
        <v>23</v>
      </c>
      <c r="C102" s="168"/>
      <c r="D102" s="168"/>
      <c r="E102" s="169"/>
      <c r="F102" s="167">
        <f>SUM(F103:F105)</f>
        <v>143060000</v>
      </c>
      <c r="G102" s="183">
        <f>F102</f>
        <v>143060000</v>
      </c>
      <c r="I102" s="341"/>
      <c r="J102" s="168"/>
      <c r="K102" s="168"/>
      <c r="L102" s="169"/>
      <c r="M102" s="167">
        <f>SUM(M103:M105)</f>
        <v>143060000</v>
      </c>
      <c r="N102" s="183">
        <f>M102</f>
        <v>143060000</v>
      </c>
    </row>
    <row r="103" spans="1:15" ht="30" x14ac:dyDescent="0.25">
      <c r="A103" s="170"/>
      <c r="B103" s="171" t="s">
        <v>736</v>
      </c>
      <c r="C103" s="172">
        <v>1760</v>
      </c>
      <c r="D103" s="172" t="s">
        <v>296</v>
      </c>
      <c r="E103" s="173">
        <v>57000</v>
      </c>
      <c r="F103" s="173">
        <f>C103*E103</f>
        <v>100320000</v>
      </c>
      <c r="I103" s="341"/>
      <c r="J103" s="172">
        <v>1760</v>
      </c>
      <c r="K103" s="172" t="s">
        <v>296</v>
      </c>
      <c r="L103" s="173">
        <v>57000</v>
      </c>
      <c r="M103" s="173">
        <f>J103*L103</f>
        <v>100320000</v>
      </c>
    </row>
    <row r="104" spans="1:15" ht="30" x14ac:dyDescent="0.25">
      <c r="A104" s="170"/>
      <c r="B104" s="171" t="s">
        <v>737</v>
      </c>
      <c r="C104" s="172">
        <v>1760</v>
      </c>
      <c r="D104" s="172" t="s">
        <v>296</v>
      </c>
      <c r="E104" s="173">
        <v>24000</v>
      </c>
      <c r="F104" s="173">
        <f>C104*E104</f>
        <v>42240000</v>
      </c>
      <c r="I104" s="341"/>
      <c r="J104" s="172">
        <v>1760</v>
      </c>
      <c r="K104" s="172" t="s">
        <v>296</v>
      </c>
      <c r="L104" s="173">
        <v>24000</v>
      </c>
      <c r="M104" s="173">
        <f>J104*L104</f>
        <v>42240000</v>
      </c>
    </row>
    <row r="105" spans="1:15" ht="21.75" customHeight="1" x14ac:dyDescent="0.25">
      <c r="A105" s="170"/>
      <c r="B105" s="178" t="s">
        <v>344</v>
      </c>
      <c r="C105" s="172">
        <v>1</v>
      </c>
      <c r="D105" s="172" t="s">
        <v>298</v>
      </c>
      <c r="E105" s="173">
        <v>500000</v>
      </c>
      <c r="F105" s="173">
        <f t="shared" ref="F105" si="32">C105*E105</f>
        <v>500000</v>
      </c>
      <c r="I105" s="341"/>
      <c r="J105" s="172">
        <v>1</v>
      </c>
      <c r="K105" s="172" t="s">
        <v>298</v>
      </c>
      <c r="L105" s="173">
        <v>500000</v>
      </c>
      <c r="M105" s="173">
        <f t="shared" ref="M105" si="33">J105*L105</f>
        <v>500000</v>
      </c>
    </row>
    <row r="106" spans="1:15" x14ac:dyDescent="0.25">
      <c r="A106" s="166" t="s">
        <v>14</v>
      </c>
      <c r="B106" s="166" t="s">
        <v>15</v>
      </c>
      <c r="C106" s="168"/>
      <c r="D106" s="168"/>
      <c r="E106" s="169"/>
      <c r="F106" s="167">
        <f>SUM(F107:F110)</f>
        <v>15400000</v>
      </c>
      <c r="G106" s="183">
        <f>F106</f>
        <v>15400000</v>
      </c>
      <c r="I106" s="341"/>
      <c r="J106" s="168"/>
      <c r="K106" s="168"/>
      <c r="L106" s="169"/>
      <c r="M106" s="167">
        <f>SUM(M107:M110)</f>
        <v>15400000</v>
      </c>
      <c r="N106" s="183">
        <f>M106</f>
        <v>15400000</v>
      </c>
    </row>
    <row r="107" spans="1:15" ht="30" x14ac:dyDescent="0.25">
      <c r="A107" s="170"/>
      <c r="B107" s="176" t="s">
        <v>360</v>
      </c>
      <c r="C107" s="172">
        <v>4</v>
      </c>
      <c r="D107" s="172" t="s">
        <v>296</v>
      </c>
      <c r="E107" s="173">
        <v>450000</v>
      </c>
      <c r="F107" s="173">
        <f>C107*E107</f>
        <v>1800000</v>
      </c>
      <c r="I107" s="341"/>
      <c r="J107" s="172">
        <v>4</v>
      </c>
      <c r="K107" s="172" t="s">
        <v>296</v>
      </c>
      <c r="L107" s="173">
        <v>450000</v>
      </c>
      <c r="M107" s="173">
        <f>J107*L107</f>
        <v>1800000</v>
      </c>
    </row>
    <row r="108" spans="1:15" ht="30" x14ac:dyDescent="0.25">
      <c r="A108" s="170"/>
      <c r="B108" s="176" t="s">
        <v>361</v>
      </c>
      <c r="C108" s="172">
        <v>4</v>
      </c>
      <c r="D108" s="172" t="s">
        <v>296</v>
      </c>
      <c r="E108" s="173">
        <v>400000</v>
      </c>
      <c r="F108" s="173">
        <f t="shared" ref="F108:F110" si="34">C108*E108</f>
        <v>1600000</v>
      </c>
      <c r="I108" s="341"/>
      <c r="J108" s="172">
        <v>4</v>
      </c>
      <c r="K108" s="172" t="s">
        <v>296</v>
      </c>
      <c r="L108" s="173">
        <v>400000</v>
      </c>
      <c r="M108" s="173">
        <f t="shared" ref="M108:M110" si="35">J108*L108</f>
        <v>1600000</v>
      </c>
    </row>
    <row r="109" spans="1:15" ht="30" x14ac:dyDescent="0.25">
      <c r="A109" s="170"/>
      <c r="B109" s="176" t="s">
        <v>362</v>
      </c>
      <c r="C109" s="172">
        <v>4</v>
      </c>
      <c r="D109" s="172" t="s">
        <v>296</v>
      </c>
      <c r="E109" s="173">
        <v>300000</v>
      </c>
      <c r="F109" s="173">
        <f t="shared" si="34"/>
        <v>1200000</v>
      </c>
      <c r="I109" s="341"/>
      <c r="J109" s="172">
        <v>4</v>
      </c>
      <c r="K109" s="172" t="s">
        <v>296</v>
      </c>
      <c r="L109" s="173">
        <v>300000</v>
      </c>
      <c r="M109" s="173">
        <f t="shared" si="35"/>
        <v>1200000</v>
      </c>
    </row>
    <row r="110" spans="1:15" ht="30" x14ac:dyDescent="0.25">
      <c r="A110" s="170"/>
      <c r="B110" s="176" t="s">
        <v>363</v>
      </c>
      <c r="C110" s="172">
        <v>36</v>
      </c>
      <c r="D110" s="172" t="s">
        <v>296</v>
      </c>
      <c r="E110" s="173">
        <v>300000</v>
      </c>
      <c r="F110" s="173">
        <f t="shared" si="34"/>
        <v>10800000</v>
      </c>
      <c r="I110" s="341"/>
      <c r="J110" s="172">
        <v>36</v>
      </c>
      <c r="K110" s="172" t="s">
        <v>296</v>
      </c>
      <c r="L110" s="173">
        <v>300000</v>
      </c>
      <c r="M110" s="173">
        <f t="shared" si="35"/>
        <v>10800000</v>
      </c>
    </row>
    <row r="111" spans="1:15" x14ac:dyDescent="0.25">
      <c r="A111" s="166" t="s">
        <v>16</v>
      </c>
      <c r="B111" s="166" t="s">
        <v>17</v>
      </c>
      <c r="C111" s="168"/>
      <c r="D111" s="168"/>
      <c r="E111" s="169"/>
      <c r="F111" s="167">
        <f>SUM(F112:F114)</f>
        <v>148000000</v>
      </c>
      <c r="G111" s="183">
        <f>F111</f>
        <v>148000000</v>
      </c>
      <c r="I111" s="341"/>
      <c r="J111" s="168"/>
      <c r="K111" s="168"/>
      <c r="L111" s="169"/>
      <c r="M111" s="167">
        <f>SUM(M112:M114)</f>
        <v>148000000</v>
      </c>
      <c r="N111" s="183">
        <f>M111</f>
        <v>148000000</v>
      </c>
    </row>
    <row r="112" spans="1:15" ht="30" x14ac:dyDescent="0.25">
      <c r="A112" s="170"/>
      <c r="B112" s="171" t="s">
        <v>738</v>
      </c>
      <c r="C112" s="172">
        <v>72</v>
      </c>
      <c r="D112" s="172" t="s">
        <v>297</v>
      </c>
      <c r="E112" s="173">
        <v>1000000</v>
      </c>
      <c r="F112" s="173">
        <f>C112*E112</f>
        <v>72000000</v>
      </c>
      <c r="I112" s="341"/>
      <c r="J112" s="172">
        <v>72</v>
      </c>
      <c r="K112" s="172" t="s">
        <v>297</v>
      </c>
      <c r="L112" s="173">
        <v>1000000</v>
      </c>
      <c r="M112" s="173">
        <f>J112*L112</f>
        <v>72000000</v>
      </c>
    </row>
    <row r="113" spans="1:15" ht="30" x14ac:dyDescent="0.25">
      <c r="A113" s="170"/>
      <c r="B113" s="171" t="s">
        <v>739</v>
      </c>
      <c r="C113" s="172">
        <v>72</v>
      </c>
      <c r="D113" s="172" t="s">
        <v>297</v>
      </c>
      <c r="E113" s="173">
        <v>900000</v>
      </c>
      <c r="F113" s="173">
        <f>C113*E113</f>
        <v>64800000</v>
      </c>
      <c r="I113" s="341"/>
      <c r="J113" s="172">
        <v>72</v>
      </c>
      <c r="K113" s="172" t="s">
        <v>297</v>
      </c>
      <c r="L113" s="173">
        <v>900000</v>
      </c>
      <c r="M113" s="173">
        <f>J113*L113</f>
        <v>64800000</v>
      </c>
    </row>
    <row r="114" spans="1:15" x14ac:dyDescent="0.25">
      <c r="A114" s="170"/>
      <c r="B114" s="171" t="s">
        <v>740</v>
      </c>
      <c r="C114" s="172">
        <v>16</v>
      </c>
      <c r="D114" s="172" t="s">
        <v>347</v>
      </c>
      <c r="E114" s="173">
        <v>700000</v>
      </c>
      <c r="F114" s="173">
        <f t="shared" ref="F114" si="36">C114*E114</f>
        <v>11200000</v>
      </c>
      <c r="I114" s="341"/>
      <c r="J114" s="172">
        <v>16</v>
      </c>
      <c r="K114" s="172" t="s">
        <v>347</v>
      </c>
      <c r="L114" s="173">
        <v>700000</v>
      </c>
      <c r="M114" s="173">
        <f t="shared" ref="M114" si="37">J114*L114</f>
        <v>11200000</v>
      </c>
    </row>
    <row r="115" spans="1:15" x14ac:dyDescent="0.25">
      <c r="A115" s="166" t="s">
        <v>28</v>
      </c>
      <c r="B115" s="166" t="s">
        <v>29</v>
      </c>
      <c r="C115" s="168"/>
      <c r="D115" s="168"/>
      <c r="E115" s="169"/>
      <c r="F115" s="167">
        <f>SUM(F116:F118)</f>
        <v>190368000</v>
      </c>
      <c r="H115" s="183">
        <f>F115</f>
        <v>190368000</v>
      </c>
      <c r="I115" s="341"/>
      <c r="J115" s="168"/>
      <c r="K115" s="168"/>
      <c r="L115" s="169"/>
      <c r="M115" s="167">
        <f>SUM(M116:M118)</f>
        <v>190368000</v>
      </c>
      <c r="O115" s="183">
        <f>M115</f>
        <v>190368000</v>
      </c>
    </row>
    <row r="116" spans="1:15" ht="30" x14ac:dyDescent="0.25">
      <c r="A116" s="170"/>
      <c r="B116" s="171" t="s">
        <v>741</v>
      </c>
      <c r="C116" s="172">
        <v>288</v>
      </c>
      <c r="D116" s="172" t="s">
        <v>301</v>
      </c>
      <c r="E116" s="173">
        <v>430000</v>
      </c>
      <c r="F116" s="173">
        <f>C116*E116</f>
        <v>123840000</v>
      </c>
      <c r="I116" s="341"/>
      <c r="J116" s="172">
        <v>288</v>
      </c>
      <c r="K116" s="172" t="s">
        <v>301</v>
      </c>
      <c r="L116" s="173">
        <v>430000</v>
      </c>
      <c r="M116" s="173">
        <f>J116*L116</f>
        <v>123840000</v>
      </c>
    </row>
    <row r="117" spans="1:15" ht="30" x14ac:dyDescent="0.25">
      <c r="A117" s="170"/>
      <c r="B117" s="171" t="s">
        <v>742</v>
      </c>
      <c r="C117" s="172">
        <v>192</v>
      </c>
      <c r="D117" s="172" t="s">
        <v>296</v>
      </c>
      <c r="E117" s="173">
        <v>284000</v>
      </c>
      <c r="F117" s="173">
        <f t="shared" ref="F117" si="38">C117*E117</f>
        <v>54528000</v>
      </c>
      <c r="I117" s="341"/>
      <c r="J117" s="172">
        <v>192</v>
      </c>
      <c r="K117" s="172" t="s">
        <v>296</v>
      </c>
      <c r="L117" s="173">
        <v>284000</v>
      </c>
      <c r="M117" s="173">
        <f t="shared" ref="M117" si="39">J117*L117</f>
        <v>54528000</v>
      </c>
    </row>
    <row r="118" spans="1:15" x14ac:dyDescent="0.25">
      <c r="A118" s="170"/>
      <c r="B118" s="171" t="s">
        <v>692</v>
      </c>
      <c r="C118" s="172">
        <v>32</v>
      </c>
      <c r="D118" s="172" t="s">
        <v>296</v>
      </c>
      <c r="E118" s="173">
        <v>375000</v>
      </c>
      <c r="F118" s="173">
        <f>C118*E118</f>
        <v>12000000</v>
      </c>
      <c r="I118" s="341"/>
      <c r="J118" s="172">
        <v>32</v>
      </c>
      <c r="K118" s="172" t="s">
        <v>296</v>
      </c>
      <c r="L118" s="173">
        <v>375000</v>
      </c>
      <c r="M118" s="173">
        <f>J118*L118</f>
        <v>12000000</v>
      </c>
    </row>
    <row r="119" spans="1:15" x14ac:dyDescent="0.25">
      <c r="A119" s="166" t="s">
        <v>18</v>
      </c>
      <c r="B119" s="166" t="s">
        <v>19</v>
      </c>
      <c r="C119" s="168"/>
      <c r="D119" s="168"/>
      <c r="E119" s="169"/>
      <c r="F119" s="167">
        <f>SUM(F120:F122)</f>
        <v>125680000</v>
      </c>
      <c r="H119" s="183">
        <f>F119</f>
        <v>125680000</v>
      </c>
      <c r="I119" s="341"/>
      <c r="J119" s="168"/>
      <c r="K119" s="168"/>
      <c r="L119" s="169"/>
      <c r="M119" s="167">
        <f>SUM(M120:M122)</f>
        <v>125680000</v>
      </c>
      <c r="O119" s="183">
        <f>M119</f>
        <v>125680000</v>
      </c>
    </row>
    <row r="120" spans="1:15" ht="30" x14ac:dyDescent="0.25">
      <c r="A120" s="170"/>
      <c r="B120" s="171" t="s">
        <v>693</v>
      </c>
      <c r="C120" s="172">
        <v>300</v>
      </c>
      <c r="D120" s="172" t="s">
        <v>301</v>
      </c>
      <c r="E120" s="173">
        <v>210000</v>
      </c>
      <c r="F120" s="173">
        <f>C120*E120</f>
        <v>63000000</v>
      </c>
      <c r="I120" s="341"/>
      <c r="J120" s="172">
        <v>300</v>
      </c>
      <c r="K120" s="172" t="s">
        <v>301</v>
      </c>
      <c r="L120" s="173">
        <v>210000</v>
      </c>
      <c r="M120" s="173">
        <f>J120*L120</f>
        <v>63000000</v>
      </c>
    </row>
    <row r="121" spans="1:15" ht="30" x14ac:dyDescent="0.25">
      <c r="A121" s="170"/>
      <c r="B121" s="171" t="s">
        <v>694</v>
      </c>
      <c r="C121" s="172">
        <v>300</v>
      </c>
      <c r="D121" s="172" t="s">
        <v>296</v>
      </c>
      <c r="E121" s="173">
        <v>170000</v>
      </c>
      <c r="F121" s="173">
        <f>C121*E121</f>
        <v>51000000</v>
      </c>
      <c r="I121" s="341"/>
      <c r="J121" s="172">
        <v>300</v>
      </c>
      <c r="K121" s="172" t="s">
        <v>296</v>
      </c>
      <c r="L121" s="173">
        <v>170000</v>
      </c>
      <c r="M121" s="173">
        <f>J121*L121</f>
        <v>51000000</v>
      </c>
    </row>
    <row r="122" spans="1:15" x14ac:dyDescent="0.25">
      <c r="A122" s="170"/>
      <c r="B122" s="171" t="s">
        <v>702</v>
      </c>
      <c r="C122" s="172">
        <v>16</v>
      </c>
      <c r="D122" s="172" t="s">
        <v>296</v>
      </c>
      <c r="E122" s="173">
        <v>730000</v>
      </c>
      <c r="F122" s="173">
        <f>C122*E122</f>
        <v>11680000</v>
      </c>
      <c r="I122" s="341"/>
      <c r="J122" s="172">
        <v>16</v>
      </c>
      <c r="K122" s="172" t="s">
        <v>296</v>
      </c>
      <c r="L122" s="173">
        <v>730000</v>
      </c>
      <c r="M122" s="173">
        <f>J122*L122</f>
        <v>11680000</v>
      </c>
    </row>
    <row r="123" spans="1:15" x14ac:dyDescent="0.25">
      <c r="A123" s="158" t="s">
        <v>46</v>
      </c>
      <c r="B123" s="158" t="s">
        <v>47</v>
      </c>
      <c r="C123" s="159" t="s">
        <v>11</v>
      </c>
      <c r="D123" s="159"/>
      <c r="E123" s="160"/>
      <c r="F123" s="161">
        <f>F124+F146</f>
        <v>995115000</v>
      </c>
      <c r="I123" s="341"/>
      <c r="J123" s="159" t="s">
        <v>11</v>
      </c>
      <c r="K123" s="159"/>
      <c r="L123" s="160"/>
      <c r="M123" s="161">
        <f>M124+M146</f>
        <v>622508000</v>
      </c>
    </row>
    <row r="124" spans="1:15" x14ac:dyDescent="0.25">
      <c r="A124" s="162" t="s">
        <v>12</v>
      </c>
      <c r="B124" s="162" t="s">
        <v>48</v>
      </c>
      <c r="C124" s="163"/>
      <c r="D124" s="163"/>
      <c r="E124" s="164"/>
      <c r="F124" s="165">
        <f>F125+F129+F134+F138+F142</f>
        <v>622508000</v>
      </c>
      <c r="I124" s="342">
        <f>F124-M124</f>
        <v>0</v>
      </c>
      <c r="J124" s="163"/>
      <c r="K124" s="163"/>
      <c r="L124" s="164"/>
      <c r="M124" s="165">
        <f>M125+M129+M134+M138+M142</f>
        <v>622508000</v>
      </c>
    </row>
    <row r="125" spans="1:15" x14ac:dyDescent="0.25">
      <c r="A125" s="166" t="s">
        <v>22</v>
      </c>
      <c r="B125" s="166" t="s">
        <v>23</v>
      </c>
      <c r="C125" s="168"/>
      <c r="D125" s="168"/>
      <c r="E125" s="169"/>
      <c r="F125" s="167">
        <f>SUM(F126:F128)</f>
        <v>143060000</v>
      </c>
      <c r="G125" s="183">
        <f>F125</f>
        <v>143060000</v>
      </c>
      <c r="I125" s="341"/>
      <c r="J125" s="168"/>
      <c r="K125" s="168"/>
      <c r="L125" s="169"/>
      <c r="M125" s="167">
        <f>SUM(M126:M128)</f>
        <v>143060000</v>
      </c>
      <c r="N125" s="183">
        <f>M125</f>
        <v>143060000</v>
      </c>
    </row>
    <row r="126" spans="1:15" ht="30" x14ac:dyDescent="0.25">
      <c r="A126" s="170"/>
      <c r="B126" s="171" t="s">
        <v>736</v>
      </c>
      <c r="C126" s="172">
        <v>1760</v>
      </c>
      <c r="D126" s="172" t="s">
        <v>296</v>
      </c>
      <c r="E126" s="173">
        <v>57000</v>
      </c>
      <c r="F126" s="173">
        <f>C126*E126</f>
        <v>100320000</v>
      </c>
      <c r="I126" s="341"/>
      <c r="J126" s="172">
        <v>1760</v>
      </c>
      <c r="K126" s="172" t="s">
        <v>296</v>
      </c>
      <c r="L126" s="173">
        <v>57000</v>
      </c>
      <c r="M126" s="173">
        <f>J126*L126</f>
        <v>100320000</v>
      </c>
    </row>
    <row r="127" spans="1:15" ht="30" x14ac:dyDescent="0.25">
      <c r="A127" s="170"/>
      <c r="B127" s="171" t="s">
        <v>737</v>
      </c>
      <c r="C127" s="172">
        <v>1760</v>
      </c>
      <c r="D127" s="172" t="s">
        <v>296</v>
      </c>
      <c r="E127" s="173">
        <v>24000</v>
      </c>
      <c r="F127" s="173">
        <f>C127*E127</f>
        <v>42240000</v>
      </c>
      <c r="I127" s="341"/>
      <c r="J127" s="172">
        <v>1760</v>
      </c>
      <c r="K127" s="172" t="s">
        <v>296</v>
      </c>
      <c r="L127" s="173">
        <v>24000</v>
      </c>
      <c r="M127" s="173">
        <f>J127*L127</f>
        <v>42240000</v>
      </c>
    </row>
    <row r="128" spans="1:15" x14ac:dyDescent="0.25">
      <c r="A128" s="170"/>
      <c r="B128" s="178" t="s">
        <v>344</v>
      </c>
      <c r="C128" s="172">
        <v>1</v>
      </c>
      <c r="D128" s="172" t="s">
        <v>298</v>
      </c>
      <c r="E128" s="173">
        <v>500000</v>
      </c>
      <c r="F128" s="173">
        <f t="shared" ref="F128" si="40">C128*E128</f>
        <v>500000</v>
      </c>
      <c r="I128" s="341"/>
      <c r="J128" s="172">
        <v>1</v>
      </c>
      <c r="K128" s="172" t="s">
        <v>298</v>
      </c>
      <c r="L128" s="173">
        <v>500000</v>
      </c>
      <c r="M128" s="173">
        <f t="shared" ref="M128" si="41">J128*L128</f>
        <v>500000</v>
      </c>
    </row>
    <row r="129" spans="1:15" x14ac:dyDescent="0.25">
      <c r="A129" s="166" t="s">
        <v>14</v>
      </c>
      <c r="B129" s="166" t="s">
        <v>15</v>
      </c>
      <c r="C129" s="168"/>
      <c r="D129" s="168"/>
      <c r="E129" s="169"/>
      <c r="F129" s="167">
        <f>SUM(F130:F133)</f>
        <v>15400000</v>
      </c>
      <c r="G129" s="183">
        <f>F129</f>
        <v>15400000</v>
      </c>
      <c r="I129" s="341"/>
      <c r="J129" s="168"/>
      <c r="K129" s="168"/>
      <c r="L129" s="169"/>
      <c r="M129" s="167">
        <f>SUM(M130:M133)</f>
        <v>15400000</v>
      </c>
      <c r="N129" s="183">
        <f>M129</f>
        <v>15400000</v>
      </c>
    </row>
    <row r="130" spans="1:15" ht="30" x14ac:dyDescent="0.25">
      <c r="A130" s="170"/>
      <c r="B130" s="176" t="s">
        <v>360</v>
      </c>
      <c r="C130" s="172">
        <v>4</v>
      </c>
      <c r="D130" s="172" t="s">
        <v>296</v>
      </c>
      <c r="E130" s="173">
        <v>450000</v>
      </c>
      <c r="F130" s="173">
        <f>C130*E130</f>
        <v>1800000</v>
      </c>
      <c r="I130" s="341"/>
      <c r="J130" s="172">
        <v>4</v>
      </c>
      <c r="K130" s="172" t="s">
        <v>296</v>
      </c>
      <c r="L130" s="173">
        <v>450000</v>
      </c>
      <c r="M130" s="173">
        <f>J130*L130</f>
        <v>1800000</v>
      </c>
    </row>
    <row r="131" spans="1:15" ht="30" x14ac:dyDescent="0.25">
      <c r="A131" s="170"/>
      <c r="B131" s="176" t="s">
        <v>361</v>
      </c>
      <c r="C131" s="172">
        <v>4</v>
      </c>
      <c r="D131" s="172" t="s">
        <v>296</v>
      </c>
      <c r="E131" s="173">
        <v>400000</v>
      </c>
      <c r="F131" s="173">
        <f t="shared" ref="F131:F133" si="42">C131*E131</f>
        <v>1600000</v>
      </c>
      <c r="I131" s="341"/>
      <c r="J131" s="172">
        <v>4</v>
      </c>
      <c r="K131" s="172" t="s">
        <v>296</v>
      </c>
      <c r="L131" s="173">
        <v>400000</v>
      </c>
      <c r="M131" s="173">
        <f t="shared" ref="M131:M133" si="43">J131*L131</f>
        <v>1600000</v>
      </c>
    </row>
    <row r="132" spans="1:15" ht="30" x14ac:dyDescent="0.25">
      <c r="A132" s="170"/>
      <c r="B132" s="176" t="s">
        <v>362</v>
      </c>
      <c r="C132" s="172">
        <v>4</v>
      </c>
      <c r="D132" s="172" t="s">
        <v>296</v>
      </c>
      <c r="E132" s="173">
        <v>300000</v>
      </c>
      <c r="F132" s="173">
        <f t="shared" si="42"/>
        <v>1200000</v>
      </c>
      <c r="I132" s="341"/>
      <c r="J132" s="172">
        <v>4</v>
      </c>
      <c r="K132" s="172" t="s">
        <v>296</v>
      </c>
      <c r="L132" s="173">
        <v>300000</v>
      </c>
      <c r="M132" s="173">
        <f t="shared" si="43"/>
        <v>1200000</v>
      </c>
    </row>
    <row r="133" spans="1:15" ht="30" x14ac:dyDescent="0.25">
      <c r="A133" s="170"/>
      <c r="B133" s="176" t="s">
        <v>363</v>
      </c>
      <c r="C133" s="172">
        <v>36</v>
      </c>
      <c r="D133" s="172" t="s">
        <v>296</v>
      </c>
      <c r="E133" s="173">
        <v>300000</v>
      </c>
      <c r="F133" s="173">
        <f t="shared" si="42"/>
        <v>10800000</v>
      </c>
      <c r="I133" s="341"/>
      <c r="J133" s="172">
        <v>36</v>
      </c>
      <c r="K133" s="172" t="s">
        <v>296</v>
      </c>
      <c r="L133" s="173">
        <v>300000</v>
      </c>
      <c r="M133" s="173">
        <f t="shared" si="43"/>
        <v>10800000</v>
      </c>
    </row>
    <row r="134" spans="1:15" x14ac:dyDescent="0.25">
      <c r="A134" s="166" t="s">
        <v>16</v>
      </c>
      <c r="B134" s="166" t="s">
        <v>17</v>
      </c>
      <c r="C134" s="168"/>
      <c r="D134" s="168"/>
      <c r="E134" s="169"/>
      <c r="F134" s="167">
        <f>SUM(F135:F137)</f>
        <v>148000000</v>
      </c>
      <c r="G134" s="183">
        <f>F134</f>
        <v>148000000</v>
      </c>
      <c r="I134" s="341"/>
      <c r="J134" s="168"/>
      <c r="K134" s="168"/>
      <c r="L134" s="169"/>
      <c r="M134" s="167">
        <f>SUM(M135:M137)</f>
        <v>148000000</v>
      </c>
      <c r="N134" s="183">
        <f>M134</f>
        <v>148000000</v>
      </c>
    </row>
    <row r="135" spans="1:15" ht="30" x14ac:dyDescent="0.25">
      <c r="A135" s="170"/>
      <c r="B135" s="171" t="s">
        <v>738</v>
      </c>
      <c r="C135" s="172">
        <v>72</v>
      </c>
      <c r="D135" s="172" t="s">
        <v>297</v>
      </c>
      <c r="E135" s="173">
        <v>1000000</v>
      </c>
      <c r="F135" s="173">
        <f>C135*E135</f>
        <v>72000000</v>
      </c>
      <c r="I135" s="341"/>
      <c r="J135" s="172">
        <v>72</v>
      </c>
      <c r="K135" s="172" t="s">
        <v>297</v>
      </c>
      <c r="L135" s="173">
        <v>1000000</v>
      </c>
      <c r="M135" s="173">
        <f>J135*L135</f>
        <v>72000000</v>
      </c>
    </row>
    <row r="136" spans="1:15" ht="30" x14ac:dyDescent="0.25">
      <c r="A136" s="170"/>
      <c r="B136" s="171" t="s">
        <v>739</v>
      </c>
      <c r="C136" s="172">
        <v>72</v>
      </c>
      <c r="D136" s="172" t="s">
        <v>297</v>
      </c>
      <c r="E136" s="173">
        <v>900000</v>
      </c>
      <c r="F136" s="173">
        <f>C136*E136</f>
        <v>64800000</v>
      </c>
      <c r="I136" s="341"/>
      <c r="J136" s="172">
        <v>72</v>
      </c>
      <c r="K136" s="172" t="s">
        <v>297</v>
      </c>
      <c r="L136" s="173">
        <v>900000</v>
      </c>
      <c r="M136" s="173">
        <f>J136*L136</f>
        <v>64800000</v>
      </c>
    </row>
    <row r="137" spans="1:15" x14ac:dyDescent="0.25">
      <c r="A137" s="170"/>
      <c r="B137" s="171" t="s">
        <v>740</v>
      </c>
      <c r="C137" s="172">
        <v>16</v>
      </c>
      <c r="D137" s="172" t="s">
        <v>347</v>
      </c>
      <c r="E137" s="173">
        <v>700000</v>
      </c>
      <c r="F137" s="173">
        <f t="shared" ref="F137" si="44">C137*E137</f>
        <v>11200000</v>
      </c>
      <c r="I137" s="341"/>
      <c r="J137" s="172">
        <v>16</v>
      </c>
      <c r="K137" s="172" t="s">
        <v>347</v>
      </c>
      <c r="L137" s="173">
        <v>700000</v>
      </c>
      <c r="M137" s="173">
        <f t="shared" ref="M137" si="45">J137*L137</f>
        <v>11200000</v>
      </c>
    </row>
    <row r="138" spans="1:15" x14ac:dyDescent="0.25">
      <c r="A138" s="166" t="s">
        <v>28</v>
      </c>
      <c r="B138" s="166" t="s">
        <v>29</v>
      </c>
      <c r="C138" s="168"/>
      <c r="D138" s="168"/>
      <c r="E138" s="169"/>
      <c r="F138" s="167">
        <f>SUM(F139:F141)</f>
        <v>190368000</v>
      </c>
      <c r="H138" s="183">
        <f>F138</f>
        <v>190368000</v>
      </c>
      <c r="I138" s="341"/>
      <c r="J138" s="168"/>
      <c r="K138" s="168"/>
      <c r="L138" s="169"/>
      <c r="M138" s="167">
        <f>SUM(M139:M141)</f>
        <v>190368000</v>
      </c>
      <c r="O138" s="183">
        <f>M138</f>
        <v>190368000</v>
      </c>
    </row>
    <row r="139" spans="1:15" ht="30" x14ac:dyDescent="0.25">
      <c r="A139" s="170"/>
      <c r="B139" s="171" t="s">
        <v>741</v>
      </c>
      <c r="C139" s="172">
        <v>288</v>
      </c>
      <c r="D139" s="172" t="s">
        <v>301</v>
      </c>
      <c r="E139" s="173">
        <v>430000</v>
      </c>
      <c r="F139" s="173">
        <f>C139*E139</f>
        <v>123840000</v>
      </c>
      <c r="I139" s="341"/>
      <c r="J139" s="172">
        <v>288</v>
      </c>
      <c r="K139" s="172" t="s">
        <v>301</v>
      </c>
      <c r="L139" s="173">
        <v>430000</v>
      </c>
      <c r="M139" s="173">
        <f>J139*L139</f>
        <v>123840000</v>
      </c>
    </row>
    <row r="140" spans="1:15" ht="30" x14ac:dyDescent="0.25">
      <c r="A140" s="170"/>
      <c r="B140" s="171" t="s">
        <v>742</v>
      </c>
      <c r="C140" s="172">
        <v>192</v>
      </c>
      <c r="D140" s="172" t="s">
        <v>296</v>
      </c>
      <c r="E140" s="173">
        <v>284000</v>
      </c>
      <c r="F140" s="173">
        <f t="shared" ref="F140" si="46">C140*E140</f>
        <v>54528000</v>
      </c>
      <c r="I140" s="341"/>
      <c r="J140" s="172">
        <v>192</v>
      </c>
      <c r="K140" s="172" t="s">
        <v>296</v>
      </c>
      <c r="L140" s="173">
        <v>284000</v>
      </c>
      <c r="M140" s="173">
        <f t="shared" ref="M140" si="47">J140*L140</f>
        <v>54528000</v>
      </c>
    </row>
    <row r="141" spans="1:15" x14ac:dyDescent="0.25">
      <c r="A141" s="170"/>
      <c r="B141" s="171" t="s">
        <v>692</v>
      </c>
      <c r="C141" s="172">
        <v>32</v>
      </c>
      <c r="D141" s="172" t="s">
        <v>296</v>
      </c>
      <c r="E141" s="173">
        <v>375000</v>
      </c>
      <c r="F141" s="173">
        <f>C141*E141</f>
        <v>12000000</v>
      </c>
      <c r="I141" s="341"/>
      <c r="J141" s="172">
        <v>32</v>
      </c>
      <c r="K141" s="172" t="s">
        <v>296</v>
      </c>
      <c r="L141" s="173">
        <v>375000</v>
      </c>
      <c r="M141" s="173">
        <f>J141*L141</f>
        <v>12000000</v>
      </c>
    </row>
    <row r="142" spans="1:15" x14ac:dyDescent="0.25">
      <c r="A142" s="166" t="s">
        <v>18</v>
      </c>
      <c r="B142" s="166" t="s">
        <v>19</v>
      </c>
      <c r="C142" s="168"/>
      <c r="D142" s="168"/>
      <c r="E142" s="169"/>
      <c r="F142" s="167">
        <f>SUM(F143:F145)</f>
        <v>125680000</v>
      </c>
      <c r="H142" s="183">
        <f>F142</f>
        <v>125680000</v>
      </c>
      <c r="I142" s="341"/>
      <c r="J142" s="168"/>
      <c r="K142" s="168"/>
      <c r="L142" s="169"/>
      <c r="M142" s="167">
        <f>SUM(M143:M145)</f>
        <v>125680000</v>
      </c>
      <c r="O142" s="183">
        <f>M142</f>
        <v>125680000</v>
      </c>
    </row>
    <row r="143" spans="1:15" ht="30" x14ac:dyDescent="0.25">
      <c r="A143" s="170"/>
      <c r="B143" s="171" t="s">
        <v>693</v>
      </c>
      <c r="C143" s="172">
        <v>300</v>
      </c>
      <c r="D143" s="172" t="s">
        <v>301</v>
      </c>
      <c r="E143" s="173">
        <v>210000</v>
      </c>
      <c r="F143" s="173">
        <f>C143*E143</f>
        <v>63000000</v>
      </c>
      <c r="I143" s="341"/>
      <c r="J143" s="172">
        <v>300</v>
      </c>
      <c r="K143" s="172" t="s">
        <v>301</v>
      </c>
      <c r="L143" s="173">
        <v>210000</v>
      </c>
      <c r="M143" s="173">
        <f>J143*L143</f>
        <v>63000000</v>
      </c>
    </row>
    <row r="144" spans="1:15" ht="30" x14ac:dyDescent="0.25">
      <c r="A144" s="170"/>
      <c r="B144" s="171" t="s">
        <v>694</v>
      </c>
      <c r="C144" s="172">
        <v>300</v>
      </c>
      <c r="D144" s="172" t="s">
        <v>296</v>
      </c>
      <c r="E144" s="173">
        <v>170000</v>
      </c>
      <c r="F144" s="173">
        <f>C144*E144</f>
        <v>51000000</v>
      </c>
      <c r="I144" s="341"/>
      <c r="J144" s="172">
        <v>300</v>
      </c>
      <c r="K144" s="172" t="s">
        <v>296</v>
      </c>
      <c r="L144" s="173">
        <v>170000</v>
      </c>
      <c r="M144" s="173">
        <f>J144*L144</f>
        <v>51000000</v>
      </c>
    </row>
    <row r="145" spans="1:14" x14ac:dyDescent="0.25">
      <c r="A145" s="170"/>
      <c r="B145" s="171" t="s">
        <v>702</v>
      </c>
      <c r="C145" s="172">
        <v>16</v>
      </c>
      <c r="D145" s="172" t="s">
        <v>296</v>
      </c>
      <c r="E145" s="173">
        <v>730000</v>
      </c>
      <c r="F145" s="173">
        <f>C145*E145</f>
        <v>11680000</v>
      </c>
      <c r="I145" s="341"/>
      <c r="J145" s="172">
        <v>16</v>
      </c>
      <c r="K145" s="172" t="s">
        <v>296</v>
      </c>
      <c r="L145" s="173">
        <v>730000</v>
      </c>
      <c r="M145" s="173">
        <f>J145*L145</f>
        <v>11680000</v>
      </c>
    </row>
    <row r="146" spans="1:14" x14ac:dyDescent="0.25">
      <c r="A146" s="162" t="s">
        <v>26</v>
      </c>
      <c r="B146" s="162" t="s">
        <v>49</v>
      </c>
      <c r="C146" s="163"/>
      <c r="D146" s="163"/>
      <c r="E146" s="164"/>
      <c r="F146" s="165">
        <f>F147+F153+F158+F163</f>
        <v>372607000</v>
      </c>
      <c r="I146" s="342">
        <f>F146-M146</f>
        <v>372607000</v>
      </c>
      <c r="J146" s="163"/>
      <c r="K146" s="163"/>
      <c r="L146" s="164"/>
      <c r="M146" s="165">
        <f>M147+M153+M158+M163</f>
        <v>0</v>
      </c>
    </row>
    <row r="147" spans="1:14" x14ac:dyDescent="0.25">
      <c r="A147" s="166" t="s">
        <v>22</v>
      </c>
      <c r="B147" s="166" t="s">
        <v>23</v>
      </c>
      <c r="C147" s="168"/>
      <c r="D147" s="168"/>
      <c r="E147" s="169"/>
      <c r="F147" s="167">
        <f>SUM(F148:F152)</f>
        <v>159107000</v>
      </c>
      <c r="G147" s="183">
        <f>F147</f>
        <v>159107000</v>
      </c>
      <c r="I147" s="341"/>
      <c r="J147" s="168"/>
      <c r="K147" s="168"/>
      <c r="L147" s="169"/>
      <c r="M147" s="167">
        <f>SUM(M148:M152)</f>
        <v>0</v>
      </c>
      <c r="N147" s="183">
        <f>M147</f>
        <v>0</v>
      </c>
    </row>
    <row r="148" spans="1:14" x14ac:dyDescent="0.25">
      <c r="A148" s="170"/>
      <c r="B148" s="171" t="s">
        <v>554</v>
      </c>
      <c r="C148" s="172">
        <v>600</v>
      </c>
      <c r="D148" s="172" t="s">
        <v>296</v>
      </c>
      <c r="E148" s="173">
        <v>57000</v>
      </c>
      <c r="F148" s="173">
        <f>C148*E148</f>
        <v>34200000</v>
      </c>
      <c r="I148" s="341"/>
      <c r="J148" s="230">
        <v>0</v>
      </c>
      <c r="K148" s="172" t="s">
        <v>296</v>
      </c>
      <c r="L148" s="230">
        <v>0</v>
      </c>
      <c r="M148" s="173">
        <f>J148*L148</f>
        <v>0</v>
      </c>
    </row>
    <row r="149" spans="1:14" x14ac:dyDescent="0.25">
      <c r="A149" s="170"/>
      <c r="B149" s="171" t="s">
        <v>555</v>
      </c>
      <c r="C149" s="172">
        <v>600</v>
      </c>
      <c r="D149" s="172" t="s">
        <v>296</v>
      </c>
      <c r="E149" s="173">
        <v>24000</v>
      </c>
      <c r="F149" s="173">
        <f>C149*E149</f>
        <v>14400000</v>
      </c>
      <c r="I149" s="341"/>
      <c r="J149" s="230">
        <v>0</v>
      </c>
      <c r="K149" s="172" t="s">
        <v>296</v>
      </c>
      <c r="L149" s="230">
        <v>0</v>
      </c>
      <c r="M149" s="173">
        <f>J149*L149</f>
        <v>0</v>
      </c>
    </row>
    <row r="150" spans="1:14" x14ac:dyDescent="0.25">
      <c r="A150" s="170"/>
      <c r="B150" s="178" t="s">
        <v>344</v>
      </c>
      <c r="C150" s="172">
        <v>1</v>
      </c>
      <c r="D150" s="172" t="s">
        <v>298</v>
      </c>
      <c r="E150" s="173">
        <v>4507000</v>
      </c>
      <c r="F150" s="173">
        <f t="shared" ref="F150:F152" si="48">C150*E150</f>
        <v>4507000</v>
      </c>
      <c r="I150" s="341"/>
      <c r="J150" s="230">
        <v>0</v>
      </c>
      <c r="K150" s="172" t="s">
        <v>298</v>
      </c>
      <c r="L150" s="230">
        <v>0</v>
      </c>
      <c r="M150" s="173">
        <f t="shared" ref="M150:M152" si="49">J150*L150</f>
        <v>0</v>
      </c>
    </row>
    <row r="151" spans="1:14" x14ac:dyDescent="0.25">
      <c r="A151" s="170"/>
      <c r="B151" s="178" t="s">
        <v>553</v>
      </c>
      <c r="C151" s="172">
        <v>600</v>
      </c>
      <c r="D151" s="172" t="s">
        <v>296</v>
      </c>
      <c r="E151" s="173">
        <v>175000</v>
      </c>
      <c r="F151" s="173">
        <f t="shared" si="48"/>
        <v>105000000</v>
      </c>
      <c r="I151" s="341"/>
      <c r="J151" s="230">
        <v>0</v>
      </c>
      <c r="K151" s="172" t="s">
        <v>296</v>
      </c>
      <c r="L151" s="230">
        <v>0</v>
      </c>
      <c r="M151" s="173">
        <f t="shared" si="49"/>
        <v>0</v>
      </c>
    </row>
    <row r="152" spans="1:14" x14ac:dyDescent="0.25">
      <c r="A152" s="170"/>
      <c r="B152" s="178" t="s">
        <v>346</v>
      </c>
      <c r="C152" s="172">
        <v>1</v>
      </c>
      <c r="D152" s="172" t="s">
        <v>298</v>
      </c>
      <c r="E152" s="173">
        <v>1000000</v>
      </c>
      <c r="F152" s="173">
        <f t="shared" si="48"/>
        <v>1000000</v>
      </c>
      <c r="I152" s="341"/>
      <c r="J152" s="230">
        <v>0</v>
      </c>
      <c r="K152" s="172" t="s">
        <v>298</v>
      </c>
      <c r="L152" s="230">
        <v>0</v>
      </c>
      <c r="M152" s="173">
        <f t="shared" si="49"/>
        <v>0</v>
      </c>
    </row>
    <row r="153" spans="1:14" x14ac:dyDescent="0.25">
      <c r="A153" s="166" t="s">
        <v>14</v>
      </c>
      <c r="B153" s="166" t="s">
        <v>15</v>
      </c>
      <c r="C153" s="168"/>
      <c r="D153" s="168"/>
      <c r="E153" s="169"/>
      <c r="F153" s="167">
        <f>SUM(F154:F157)</f>
        <v>18250000</v>
      </c>
      <c r="G153" s="183">
        <f>F153</f>
        <v>18250000</v>
      </c>
      <c r="I153" s="341"/>
      <c r="J153" s="168"/>
      <c r="K153" s="168"/>
      <c r="L153" s="169"/>
      <c r="M153" s="167">
        <f>SUM(M154:M157)</f>
        <v>0</v>
      </c>
      <c r="N153" s="183">
        <f>M153</f>
        <v>0</v>
      </c>
    </row>
    <row r="154" spans="1:14" ht="30" x14ac:dyDescent="0.25">
      <c r="A154" s="170"/>
      <c r="B154" s="176" t="s">
        <v>360</v>
      </c>
      <c r="C154" s="172">
        <v>1</v>
      </c>
      <c r="D154" s="172" t="s">
        <v>296</v>
      </c>
      <c r="E154" s="173">
        <v>450000</v>
      </c>
      <c r="F154" s="173">
        <f>C154*E154</f>
        <v>450000</v>
      </c>
      <c r="I154" s="341"/>
      <c r="J154" s="230">
        <v>0</v>
      </c>
      <c r="K154" s="172" t="s">
        <v>296</v>
      </c>
      <c r="L154" s="230">
        <v>0</v>
      </c>
      <c r="M154" s="173">
        <f>J154*L154</f>
        <v>0</v>
      </c>
    </row>
    <row r="155" spans="1:14" ht="30" x14ac:dyDescent="0.25">
      <c r="A155" s="170"/>
      <c r="B155" s="176" t="s">
        <v>361</v>
      </c>
      <c r="C155" s="172">
        <v>1</v>
      </c>
      <c r="D155" s="172" t="s">
        <v>296</v>
      </c>
      <c r="E155" s="173">
        <v>400000</v>
      </c>
      <c r="F155" s="173">
        <f t="shared" ref="F155:F157" si="50">C155*E155</f>
        <v>400000</v>
      </c>
      <c r="I155" s="341"/>
      <c r="J155" s="230">
        <v>0</v>
      </c>
      <c r="K155" s="172" t="s">
        <v>296</v>
      </c>
      <c r="L155" s="230">
        <v>0</v>
      </c>
      <c r="M155" s="173">
        <f t="shared" ref="M155:M157" si="51">J155*L155</f>
        <v>0</v>
      </c>
    </row>
    <row r="156" spans="1:14" ht="30" x14ac:dyDescent="0.25">
      <c r="A156" s="170"/>
      <c r="B156" s="176" t="s">
        <v>362</v>
      </c>
      <c r="C156" s="172">
        <v>1</v>
      </c>
      <c r="D156" s="172" t="s">
        <v>296</v>
      </c>
      <c r="E156" s="173">
        <v>300000</v>
      </c>
      <c r="F156" s="173">
        <f t="shared" si="50"/>
        <v>300000</v>
      </c>
      <c r="I156" s="341"/>
      <c r="J156" s="230">
        <v>0</v>
      </c>
      <c r="K156" s="172" t="s">
        <v>296</v>
      </c>
      <c r="L156" s="230">
        <v>0</v>
      </c>
      <c r="M156" s="173">
        <f t="shared" si="51"/>
        <v>0</v>
      </c>
    </row>
    <row r="157" spans="1:14" ht="30" x14ac:dyDescent="0.25">
      <c r="A157" s="170"/>
      <c r="B157" s="176" t="s">
        <v>363</v>
      </c>
      <c r="C157" s="172">
        <v>57</v>
      </c>
      <c r="D157" s="172" t="s">
        <v>296</v>
      </c>
      <c r="E157" s="173">
        <v>300000</v>
      </c>
      <c r="F157" s="173">
        <f t="shared" si="50"/>
        <v>17100000</v>
      </c>
      <c r="I157" s="341"/>
      <c r="J157" s="230">
        <v>0</v>
      </c>
      <c r="K157" s="172" t="s">
        <v>296</v>
      </c>
      <c r="L157" s="173">
        <v>300000</v>
      </c>
      <c r="M157" s="173">
        <f t="shared" si="51"/>
        <v>0</v>
      </c>
    </row>
    <row r="158" spans="1:14" x14ac:dyDescent="0.25">
      <c r="A158" s="166" t="s">
        <v>16</v>
      </c>
      <c r="B158" s="166" t="s">
        <v>17</v>
      </c>
      <c r="C158" s="168"/>
      <c r="D158" s="168"/>
      <c r="E158" s="169"/>
      <c r="F158" s="167">
        <f>SUM(F159:F162)</f>
        <v>95800000</v>
      </c>
      <c r="G158" s="183">
        <f>F158</f>
        <v>95800000</v>
      </c>
      <c r="I158" s="341"/>
      <c r="J158" s="168"/>
      <c r="K158" s="168"/>
      <c r="L158" s="169"/>
      <c r="M158" s="167">
        <f>SUM(M159:M162)</f>
        <v>0</v>
      </c>
      <c r="N158" s="183">
        <f>M158</f>
        <v>0</v>
      </c>
    </row>
    <row r="159" spans="1:14" ht="30" x14ac:dyDescent="0.25">
      <c r="A159" s="170"/>
      <c r="B159" s="171" t="s">
        <v>388</v>
      </c>
      <c r="C159" s="172">
        <v>4</v>
      </c>
      <c r="D159" s="172" t="s">
        <v>297</v>
      </c>
      <c r="E159" s="173">
        <v>1300000</v>
      </c>
      <c r="F159" s="173">
        <f>C159*E159</f>
        <v>5200000</v>
      </c>
      <c r="I159" s="341"/>
      <c r="J159" s="230">
        <v>0</v>
      </c>
      <c r="K159" s="172" t="s">
        <v>297</v>
      </c>
      <c r="L159" s="230">
        <v>0</v>
      </c>
      <c r="M159" s="173">
        <f>J159*L159</f>
        <v>0</v>
      </c>
    </row>
    <row r="160" spans="1:14" ht="30" x14ac:dyDescent="0.25">
      <c r="A160" s="170"/>
      <c r="B160" s="171" t="s">
        <v>371</v>
      </c>
      <c r="C160" s="172">
        <v>64</v>
      </c>
      <c r="D160" s="172" t="s">
        <v>297</v>
      </c>
      <c r="E160" s="173">
        <v>1000000</v>
      </c>
      <c r="F160" s="173">
        <f>C160*E160</f>
        <v>64000000</v>
      </c>
      <c r="I160" s="341"/>
      <c r="J160" s="230">
        <v>0</v>
      </c>
      <c r="K160" s="172" t="s">
        <v>297</v>
      </c>
      <c r="L160" s="230">
        <v>0</v>
      </c>
      <c r="M160" s="173">
        <f>J160*L160</f>
        <v>0</v>
      </c>
    </row>
    <row r="161" spans="1:15" ht="30" x14ac:dyDescent="0.25">
      <c r="A161" s="170"/>
      <c r="B161" s="171" t="s">
        <v>384</v>
      </c>
      <c r="C161" s="172">
        <v>21</v>
      </c>
      <c r="D161" s="172" t="s">
        <v>297</v>
      </c>
      <c r="E161" s="173">
        <v>1000000</v>
      </c>
      <c r="F161" s="173">
        <f t="shared" ref="F161:F162" si="52">C161*E161</f>
        <v>21000000</v>
      </c>
      <c r="I161" s="341"/>
      <c r="J161" s="230">
        <v>0</v>
      </c>
      <c r="K161" s="172" t="s">
        <v>297</v>
      </c>
      <c r="L161" s="230">
        <v>0</v>
      </c>
      <c r="M161" s="173">
        <f t="shared" ref="M161:M162" si="53">J161*L161</f>
        <v>0</v>
      </c>
    </row>
    <row r="162" spans="1:15" x14ac:dyDescent="0.25">
      <c r="A162" s="170"/>
      <c r="B162" s="171" t="s">
        <v>389</v>
      </c>
      <c r="C162" s="172">
        <v>8</v>
      </c>
      <c r="D162" s="172" t="s">
        <v>347</v>
      </c>
      <c r="E162" s="173">
        <v>700000</v>
      </c>
      <c r="F162" s="173">
        <f t="shared" si="52"/>
        <v>5600000</v>
      </c>
      <c r="I162" s="341"/>
      <c r="J162" s="230">
        <v>0</v>
      </c>
      <c r="K162" s="172" t="s">
        <v>347</v>
      </c>
      <c r="L162" s="230">
        <v>0</v>
      </c>
      <c r="M162" s="173">
        <f t="shared" si="53"/>
        <v>0</v>
      </c>
    </row>
    <row r="163" spans="1:15" x14ac:dyDescent="0.25">
      <c r="A163" s="166" t="s">
        <v>28</v>
      </c>
      <c r="B163" s="166" t="s">
        <v>29</v>
      </c>
      <c r="C163" s="168"/>
      <c r="D163" s="168"/>
      <c r="E163" s="169"/>
      <c r="F163" s="167">
        <f>SUM(F164:F167)</f>
        <v>99450000</v>
      </c>
      <c r="H163" s="183">
        <f>F163</f>
        <v>99450000</v>
      </c>
      <c r="I163" s="341"/>
      <c r="J163" s="168"/>
      <c r="K163" s="168"/>
      <c r="L163" s="169"/>
      <c r="M163" s="167">
        <f>SUM(M164:M167)</f>
        <v>0</v>
      </c>
      <c r="O163" s="183">
        <f>M163</f>
        <v>0</v>
      </c>
    </row>
    <row r="164" spans="1:15" ht="30" x14ac:dyDescent="0.25">
      <c r="A164" s="170"/>
      <c r="B164" s="171" t="s">
        <v>390</v>
      </c>
      <c r="C164" s="172">
        <v>65</v>
      </c>
      <c r="D164" s="172" t="s">
        <v>301</v>
      </c>
      <c r="E164" s="173">
        <v>430000</v>
      </c>
      <c r="F164" s="173">
        <f>C164*E164</f>
        <v>27950000</v>
      </c>
      <c r="I164" s="341"/>
      <c r="J164" s="230">
        <v>0</v>
      </c>
      <c r="K164" s="172" t="s">
        <v>301</v>
      </c>
      <c r="L164" s="230">
        <v>0</v>
      </c>
      <c r="M164" s="173">
        <f>J164*L164</f>
        <v>0</v>
      </c>
    </row>
    <row r="165" spans="1:15" x14ac:dyDescent="0.25">
      <c r="A165" s="170"/>
      <c r="B165" s="171" t="s">
        <v>391</v>
      </c>
      <c r="C165" s="172">
        <v>65</v>
      </c>
      <c r="D165" s="172" t="s">
        <v>296</v>
      </c>
      <c r="E165" s="173">
        <v>130000</v>
      </c>
      <c r="F165" s="173">
        <f t="shared" ref="F165:F166" si="54">C165*E165</f>
        <v>8450000</v>
      </c>
      <c r="I165" s="341"/>
      <c r="J165" s="230">
        <v>0</v>
      </c>
      <c r="K165" s="172" t="s">
        <v>296</v>
      </c>
      <c r="L165" s="230">
        <v>0</v>
      </c>
      <c r="M165" s="173">
        <f t="shared" ref="M165:M166" si="55">J165*L165</f>
        <v>0</v>
      </c>
    </row>
    <row r="166" spans="1:15" ht="30" x14ac:dyDescent="0.25">
      <c r="A166" s="170"/>
      <c r="B166" s="171" t="s">
        <v>392</v>
      </c>
      <c r="C166" s="172">
        <v>65</v>
      </c>
      <c r="D166" s="172" t="s">
        <v>296</v>
      </c>
      <c r="E166" s="173">
        <v>284000</v>
      </c>
      <c r="F166" s="173">
        <f t="shared" si="54"/>
        <v>18460000</v>
      </c>
      <c r="I166" s="341"/>
      <c r="J166" s="230">
        <v>0</v>
      </c>
      <c r="K166" s="172" t="s">
        <v>296</v>
      </c>
      <c r="L166" s="230">
        <v>0</v>
      </c>
      <c r="M166" s="173">
        <f t="shared" si="55"/>
        <v>0</v>
      </c>
    </row>
    <row r="167" spans="1:15" x14ac:dyDescent="0.25">
      <c r="A167" s="170"/>
      <c r="B167" s="171" t="s">
        <v>393</v>
      </c>
      <c r="C167" s="172">
        <v>65</v>
      </c>
      <c r="D167" s="172" t="s">
        <v>296</v>
      </c>
      <c r="E167" s="173">
        <v>686000</v>
      </c>
      <c r="F167" s="173">
        <f>C167*E167</f>
        <v>44590000</v>
      </c>
      <c r="I167" s="341"/>
      <c r="J167" s="230">
        <v>0</v>
      </c>
      <c r="K167" s="172" t="s">
        <v>296</v>
      </c>
      <c r="L167" s="230">
        <v>0</v>
      </c>
      <c r="M167" s="173">
        <f>J167*L167</f>
        <v>0</v>
      </c>
    </row>
    <row r="168" spans="1:15" x14ac:dyDescent="0.25">
      <c r="A168" s="158" t="s">
        <v>50</v>
      </c>
      <c r="B168" s="158" t="s">
        <v>51</v>
      </c>
      <c r="C168" s="159" t="s">
        <v>11</v>
      </c>
      <c r="D168" s="159"/>
      <c r="E168" s="160"/>
      <c r="F168" s="161">
        <f>F169+F191+F210</f>
        <v>2066746000</v>
      </c>
      <c r="I168" s="341"/>
      <c r="J168" s="159" t="s">
        <v>11</v>
      </c>
      <c r="K168" s="159"/>
      <c r="L168" s="160"/>
      <c r="M168" s="161">
        <f>M169+M191+M210</f>
        <v>1565296000</v>
      </c>
    </row>
    <row r="169" spans="1:15" x14ac:dyDescent="0.25">
      <c r="A169" s="162" t="s">
        <v>12</v>
      </c>
      <c r="B169" s="162" t="s">
        <v>43</v>
      </c>
      <c r="C169" s="163"/>
      <c r="D169" s="163"/>
      <c r="E169" s="164"/>
      <c r="F169" s="165">
        <f>F170+F174+F179+F183+F187</f>
        <v>622508000</v>
      </c>
      <c r="I169" s="342">
        <f>F169-M169</f>
        <v>0</v>
      </c>
      <c r="J169" s="163"/>
      <c r="K169" s="163"/>
      <c r="L169" s="164"/>
      <c r="M169" s="165">
        <f>M170+M174+M179+M183+M187</f>
        <v>622508000</v>
      </c>
    </row>
    <row r="170" spans="1:15" x14ac:dyDescent="0.25">
      <c r="A170" s="166" t="s">
        <v>22</v>
      </c>
      <c r="B170" s="166" t="s">
        <v>23</v>
      </c>
      <c r="C170" s="168"/>
      <c r="D170" s="168"/>
      <c r="E170" s="169"/>
      <c r="F170" s="167">
        <f>SUM(F171:F173)</f>
        <v>143060000</v>
      </c>
      <c r="G170" s="183">
        <f>F170</f>
        <v>143060000</v>
      </c>
      <c r="I170" s="341"/>
      <c r="J170" s="168"/>
      <c r="K170" s="168"/>
      <c r="L170" s="169"/>
      <c r="M170" s="167">
        <f>SUM(M171:M173)</f>
        <v>143060000</v>
      </c>
      <c r="N170" s="183">
        <f>M170</f>
        <v>143060000</v>
      </c>
    </row>
    <row r="171" spans="1:15" ht="30" x14ac:dyDescent="0.25">
      <c r="A171" s="170"/>
      <c r="B171" s="171" t="s">
        <v>736</v>
      </c>
      <c r="C171" s="172">
        <v>1760</v>
      </c>
      <c r="D171" s="172" t="s">
        <v>296</v>
      </c>
      <c r="E171" s="173">
        <v>57000</v>
      </c>
      <c r="F171" s="173">
        <f>C171*E171</f>
        <v>100320000</v>
      </c>
      <c r="I171" s="341"/>
      <c r="J171" s="172">
        <v>1760</v>
      </c>
      <c r="K171" s="172" t="s">
        <v>296</v>
      </c>
      <c r="L171" s="173">
        <v>57000</v>
      </c>
      <c r="M171" s="173">
        <f>J171*L171</f>
        <v>100320000</v>
      </c>
    </row>
    <row r="172" spans="1:15" ht="30" x14ac:dyDescent="0.25">
      <c r="A172" s="170"/>
      <c r="B172" s="171" t="s">
        <v>737</v>
      </c>
      <c r="C172" s="172">
        <v>1760</v>
      </c>
      <c r="D172" s="172" t="s">
        <v>296</v>
      </c>
      <c r="E172" s="173">
        <v>24000</v>
      </c>
      <c r="F172" s="173">
        <f>C172*E172</f>
        <v>42240000</v>
      </c>
      <c r="I172" s="341"/>
      <c r="J172" s="172">
        <v>1760</v>
      </c>
      <c r="K172" s="172" t="s">
        <v>296</v>
      </c>
      <c r="L172" s="173">
        <v>24000</v>
      </c>
      <c r="M172" s="173">
        <f>J172*L172</f>
        <v>42240000</v>
      </c>
    </row>
    <row r="173" spans="1:15" ht="24" customHeight="1" x14ac:dyDescent="0.25">
      <c r="A173" s="170"/>
      <c r="B173" s="178" t="s">
        <v>344</v>
      </c>
      <c r="C173" s="172">
        <v>1</v>
      </c>
      <c r="D173" s="172" t="s">
        <v>298</v>
      </c>
      <c r="E173" s="173">
        <v>500000</v>
      </c>
      <c r="F173" s="173">
        <f t="shared" ref="F173" si="56">C173*E173</f>
        <v>500000</v>
      </c>
      <c r="I173" s="341"/>
      <c r="J173" s="172">
        <v>1</v>
      </c>
      <c r="K173" s="172" t="s">
        <v>298</v>
      </c>
      <c r="L173" s="173">
        <v>500000</v>
      </c>
      <c r="M173" s="173">
        <f t="shared" ref="M173" si="57">J173*L173</f>
        <v>500000</v>
      </c>
    </row>
    <row r="174" spans="1:15" x14ac:dyDescent="0.25">
      <c r="A174" s="166" t="s">
        <v>14</v>
      </c>
      <c r="B174" s="166" t="s">
        <v>15</v>
      </c>
      <c r="C174" s="168"/>
      <c r="D174" s="168"/>
      <c r="E174" s="169"/>
      <c r="F174" s="167">
        <f>SUM(F175:F178)</f>
        <v>15400000</v>
      </c>
      <c r="G174" s="183">
        <f>F174</f>
        <v>15400000</v>
      </c>
      <c r="I174" s="341"/>
      <c r="J174" s="168"/>
      <c r="K174" s="168"/>
      <c r="L174" s="169"/>
      <c r="M174" s="167">
        <f>SUM(M175:M178)</f>
        <v>15400000</v>
      </c>
      <c r="N174" s="183">
        <f>M174</f>
        <v>15400000</v>
      </c>
    </row>
    <row r="175" spans="1:15" ht="30" x14ac:dyDescent="0.25">
      <c r="A175" s="170"/>
      <c r="B175" s="176" t="s">
        <v>360</v>
      </c>
      <c r="C175" s="172">
        <v>4</v>
      </c>
      <c r="D175" s="172" t="s">
        <v>296</v>
      </c>
      <c r="E175" s="173">
        <v>450000</v>
      </c>
      <c r="F175" s="173">
        <f>C175*E175</f>
        <v>1800000</v>
      </c>
      <c r="I175" s="341"/>
      <c r="J175" s="172">
        <v>4</v>
      </c>
      <c r="K175" s="172" t="s">
        <v>296</v>
      </c>
      <c r="L175" s="173">
        <v>450000</v>
      </c>
      <c r="M175" s="173">
        <f>J175*L175</f>
        <v>1800000</v>
      </c>
    </row>
    <row r="176" spans="1:15" ht="30" x14ac:dyDescent="0.25">
      <c r="A176" s="170"/>
      <c r="B176" s="176" t="s">
        <v>361</v>
      </c>
      <c r="C176" s="172">
        <v>4</v>
      </c>
      <c r="D176" s="172" t="s">
        <v>296</v>
      </c>
      <c r="E176" s="173">
        <v>400000</v>
      </c>
      <c r="F176" s="173">
        <f t="shared" ref="F176:F178" si="58">C176*E176</f>
        <v>1600000</v>
      </c>
      <c r="I176" s="341"/>
      <c r="J176" s="172">
        <v>4</v>
      </c>
      <c r="K176" s="172" t="s">
        <v>296</v>
      </c>
      <c r="L176" s="173">
        <v>400000</v>
      </c>
      <c r="M176" s="173">
        <f t="shared" ref="M176:M178" si="59">J176*L176</f>
        <v>1600000</v>
      </c>
    </row>
    <row r="177" spans="1:15" ht="30" x14ac:dyDescent="0.25">
      <c r="A177" s="170"/>
      <c r="B177" s="176" t="s">
        <v>362</v>
      </c>
      <c r="C177" s="172">
        <v>4</v>
      </c>
      <c r="D177" s="172" t="s">
        <v>296</v>
      </c>
      <c r="E177" s="173">
        <v>300000</v>
      </c>
      <c r="F177" s="173">
        <f t="shared" si="58"/>
        <v>1200000</v>
      </c>
      <c r="I177" s="341"/>
      <c r="J177" s="172">
        <v>4</v>
      </c>
      <c r="K177" s="172" t="s">
        <v>296</v>
      </c>
      <c r="L177" s="173">
        <v>300000</v>
      </c>
      <c r="M177" s="173">
        <f t="shared" si="59"/>
        <v>1200000</v>
      </c>
    </row>
    <row r="178" spans="1:15" ht="30" x14ac:dyDescent="0.25">
      <c r="A178" s="170"/>
      <c r="B178" s="176" t="s">
        <v>363</v>
      </c>
      <c r="C178" s="172">
        <v>36</v>
      </c>
      <c r="D178" s="172" t="s">
        <v>296</v>
      </c>
      <c r="E178" s="173">
        <v>300000</v>
      </c>
      <c r="F178" s="173">
        <f t="shared" si="58"/>
        <v>10800000</v>
      </c>
      <c r="I178" s="341"/>
      <c r="J178" s="172">
        <v>36</v>
      </c>
      <c r="K178" s="172" t="s">
        <v>296</v>
      </c>
      <c r="L178" s="173">
        <v>300000</v>
      </c>
      <c r="M178" s="173">
        <f t="shared" si="59"/>
        <v>10800000</v>
      </c>
    </row>
    <row r="179" spans="1:15" x14ac:dyDescent="0.25">
      <c r="A179" s="166" t="s">
        <v>16</v>
      </c>
      <c r="B179" s="166" t="s">
        <v>17</v>
      </c>
      <c r="C179" s="168"/>
      <c r="D179" s="168"/>
      <c r="E179" s="169"/>
      <c r="F179" s="167">
        <f>SUM(F180:F182)</f>
        <v>148000000</v>
      </c>
      <c r="G179" s="183">
        <f>F179</f>
        <v>148000000</v>
      </c>
      <c r="I179" s="341"/>
      <c r="J179" s="168"/>
      <c r="K179" s="168"/>
      <c r="L179" s="169"/>
      <c r="M179" s="167">
        <f>SUM(M180:M182)</f>
        <v>148000000</v>
      </c>
      <c r="N179" s="183">
        <f>M179</f>
        <v>148000000</v>
      </c>
    </row>
    <row r="180" spans="1:15" ht="30" x14ac:dyDescent="0.25">
      <c r="A180" s="170"/>
      <c r="B180" s="171" t="s">
        <v>738</v>
      </c>
      <c r="C180" s="172">
        <v>72</v>
      </c>
      <c r="D180" s="172" t="s">
        <v>297</v>
      </c>
      <c r="E180" s="173">
        <v>1000000</v>
      </c>
      <c r="F180" s="173">
        <f>C180*E180</f>
        <v>72000000</v>
      </c>
      <c r="I180" s="341"/>
      <c r="J180" s="172">
        <v>72</v>
      </c>
      <c r="K180" s="172" t="s">
        <v>297</v>
      </c>
      <c r="L180" s="173">
        <v>1000000</v>
      </c>
      <c r="M180" s="173">
        <f>J180*L180</f>
        <v>72000000</v>
      </c>
    </row>
    <row r="181" spans="1:15" ht="30" x14ac:dyDescent="0.25">
      <c r="A181" s="170"/>
      <c r="B181" s="171" t="s">
        <v>739</v>
      </c>
      <c r="C181" s="172">
        <v>72</v>
      </c>
      <c r="D181" s="172" t="s">
        <v>297</v>
      </c>
      <c r="E181" s="173">
        <v>900000</v>
      </c>
      <c r="F181" s="173">
        <f>C181*E181</f>
        <v>64800000</v>
      </c>
      <c r="I181" s="341"/>
      <c r="J181" s="172">
        <v>72</v>
      </c>
      <c r="K181" s="172" t="s">
        <v>297</v>
      </c>
      <c r="L181" s="173">
        <v>900000</v>
      </c>
      <c r="M181" s="173">
        <f>J181*L181</f>
        <v>64800000</v>
      </c>
    </row>
    <row r="182" spans="1:15" x14ac:dyDescent="0.25">
      <c r="A182" s="170"/>
      <c r="B182" s="171" t="s">
        <v>740</v>
      </c>
      <c r="C182" s="172">
        <v>16</v>
      </c>
      <c r="D182" s="172" t="s">
        <v>347</v>
      </c>
      <c r="E182" s="173">
        <v>700000</v>
      </c>
      <c r="F182" s="173">
        <f t="shared" ref="F182" si="60">C182*E182</f>
        <v>11200000</v>
      </c>
      <c r="I182" s="341"/>
      <c r="J182" s="172">
        <v>16</v>
      </c>
      <c r="K182" s="172" t="s">
        <v>347</v>
      </c>
      <c r="L182" s="173">
        <v>700000</v>
      </c>
      <c r="M182" s="173">
        <f t="shared" ref="M182" si="61">J182*L182</f>
        <v>11200000</v>
      </c>
    </row>
    <row r="183" spans="1:15" x14ac:dyDescent="0.25">
      <c r="A183" s="166" t="s">
        <v>28</v>
      </c>
      <c r="B183" s="166" t="s">
        <v>29</v>
      </c>
      <c r="C183" s="168"/>
      <c r="D183" s="168"/>
      <c r="E183" s="169"/>
      <c r="F183" s="167">
        <f>SUM(F184:F186)</f>
        <v>190368000</v>
      </c>
      <c r="H183" s="183">
        <f>F183</f>
        <v>190368000</v>
      </c>
      <c r="I183" s="341"/>
      <c r="J183" s="168"/>
      <c r="K183" s="168"/>
      <c r="L183" s="169"/>
      <c r="M183" s="167">
        <f>SUM(M184:M186)</f>
        <v>190368000</v>
      </c>
      <c r="O183" s="183">
        <f>M183</f>
        <v>190368000</v>
      </c>
    </row>
    <row r="184" spans="1:15" ht="30" x14ac:dyDescent="0.25">
      <c r="A184" s="170"/>
      <c r="B184" s="171" t="s">
        <v>741</v>
      </c>
      <c r="C184" s="172">
        <v>288</v>
      </c>
      <c r="D184" s="172" t="s">
        <v>301</v>
      </c>
      <c r="E184" s="173">
        <v>430000</v>
      </c>
      <c r="F184" s="173">
        <f>C184*E184</f>
        <v>123840000</v>
      </c>
      <c r="I184" s="341"/>
      <c r="J184" s="172">
        <v>288</v>
      </c>
      <c r="K184" s="172" t="s">
        <v>301</v>
      </c>
      <c r="L184" s="173">
        <v>430000</v>
      </c>
      <c r="M184" s="173">
        <f>J184*L184</f>
        <v>123840000</v>
      </c>
    </row>
    <row r="185" spans="1:15" ht="30" x14ac:dyDescent="0.25">
      <c r="A185" s="170"/>
      <c r="B185" s="171" t="s">
        <v>742</v>
      </c>
      <c r="C185" s="172">
        <v>192</v>
      </c>
      <c r="D185" s="172" t="s">
        <v>296</v>
      </c>
      <c r="E185" s="173">
        <v>284000</v>
      </c>
      <c r="F185" s="173">
        <f t="shared" ref="F185" si="62">C185*E185</f>
        <v>54528000</v>
      </c>
      <c r="I185" s="341"/>
      <c r="J185" s="172">
        <v>192</v>
      </c>
      <c r="K185" s="172" t="s">
        <v>296</v>
      </c>
      <c r="L185" s="173">
        <v>284000</v>
      </c>
      <c r="M185" s="173">
        <f t="shared" ref="M185" si="63">J185*L185</f>
        <v>54528000</v>
      </c>
    </row>
    <row r="186" spans="1:15" x14ac:dyDescent="0.25">
      <c r="A186" s="170"/>
      <c r="B186" s="171" t="s">
        <v>692</v>
      </c>
      <c r="C186" s="172">
        <v>32</v>
      </c>
      <c r="D186" s="172" t="s">
        <v>296</v>
      </c>
      <c r="E186" s="173">
        <v>375000</v>
      </c>
      <c r="F186" s="173">
        <f>C186*E186</f>
        <v>12000000</v>
      </c>
      <c r="I186" s="341"/>
      <c r="J186" s="172">
        <v>32</v>
      </c>
      <c r="K186" s="172" t="s">
        <v>296</v>
      </c>
      <c r="L186" s="173">
        <v>375000</v>
      </c>
      <c r="M186" s="173">
        <f>J186*L186</f>
        <v>12000000</v>
      </c>
    </row>
    <row r="187" spans="1:15" x14ac:dyDescent="0.25">
      <c r="A187" s="166" t="s">
        <v>18</v>
      </c>
      <c r="B187" s="166" t="s">
        <v>19</v>
      </c>
      <c r="C187" s="168"/>
      <c r="D187" s="168"/>
      <c r="E187" s="169"/>
      <c r="F187" s="167">
        <f>SUM(F188:F190)</f>
        <v>125680000</v>
      </c>
      <c r="H187" s="183">
        <f>F187</f>
        <v>125680000</v>
      </c>
      <c r="I187" s="341"/>
      <c r="J187" s="168"/>
      <c r="K187" s="168"/>
      <c r="L187" s="169"/>
      <c r="M187" s="167">
        <f>SUM(M188:M190)</f>
        <v>125680000</v>
      </c>
      <c r="O187" s="183">
        <f>M187</f>
        <v>125680000</v>
      </c>
    </row>
    <row r="188" spans="1:15" ht="30" x14ac:dyDescent="0.25">
      <c r="A188" s="170"/>
      <c r="B188" s="171" t="s">
        <v>693</v>
      </c>
      <c r="C188" s="172">
        <v>300</v>
      </c>
      <c r="D188" s="172" t="s">
        <v>301</v>
      </c>
      <c r="E188" s="173">
        <v>210000</v>
      </c>
      <c r="F188" s="173">
        <f>C188*E188</f>
        <v>63000000</v>
      </c>
      <c r="I188" s="341"/>
      <c r="J188" s="172">
        <v>300</v>
      </c>
      <c r="K188" s="172" t="s">
        <v>301</v>
      </c>
      <c r="L188" s="173">
        <v>210000</v>
      </c>
      <c r="M188" s="173">
        <f>J188*L188</f>
        <v>63000000</v>
      </c>
    </row>
    <row r="189" spans="1:15" ht="30" x14ac:dyDescent="0.25">
      <c r="A189" s="170"/>
      <c r="B189" s="171" t="s">
        <v>694</v>
      </c>
      <c r="C189" s="172">
        <v>300</v>
      </c>
      <c r="D189" s="172" t="s">
        <v>296</v>
      </c>
      <c r="E189" s="173">
        <v>170000</v>
      </c>
      <c r="F189" s="173">
        <f>C189*E189</f>
        <v>51000000</v>
      </c>
      <c r="I189" s="341"/>
      <c r="J189" s="172">
        <v>300</v>
      </c>
      <c r="K189" s="172" t="s">
        <v>296</v>
      </c>
      <c r="L189" s="173">
        <v>170000</v>
      </c>
      <c r="M189" s="173">
        <f>J189*L189</f>
        <v>51000000</v>
      </c>
    </row>
    <row r="190" spans="1:15" x14ac:dyDescent="0.25">
      <c r="A190" s="170"/>
      <c r="B190" s="171" t="s">
        <v>702</v>
      </c>
      <c r="C190" s="172">
        <v>16</v>
      </c>
      <c r="D190" s="172" t="s">
        <v>296</v>
      </c>
      <c r="E190" s="173">
        <v>730000</v>
      </c>
      <c r="F190" s="173">
        <f>C190*E190</f>
        <v>11680000</v>
      </c>
      <c r="I190" s="341"/>
      <c r="J190" s="172">
        <v>16</v>
      </c>
      <c r="K190" s="172" t="s">
        <v>296</v>
      </c>
      <c r="L190" s="173">
        <v>730000</v>
      </c>
      <c r="M190" s="173">
        <f>J190*L190</f>
        <v>11680000</v>
      </c>
    </row>
    <row r="191" spans="1:15" x14ac:dyDescent="0.25">
      <c r="A191" s="162" t="s">
        <v>26</v>
      </c>
      <c r="B191" s="162" t="s">
        <v>52</v>
      </c>
      <c r="C191" s="163"/>
      <c r="D191" s="163"/>
      <c r="E191" s="164"/>
      <c r="F191" s="165">
        <f>F192+F196+F200+F206</f>
        <v>821730000</v>
      </c>
      <c r="I191" s="342">
        <f>F191-M191</f>
        <v>501450000</v>
      </c>
      <c r="J191" s="163"/>
      <c r="K191" s="163"/>
      <c r="L191" s="164"/>
      <c r="M191" s="165">
        <f>M192+M196+M200+M206</f>
        <v>320280000</v>
      </c>
    </row>
    <row r="192" spans="1:15" x14ac:dyDescent="0.25">
      <c r="A192" s="166" t="s">
        <v>22</v>
      </c>
      <c r="B192" s="166" t="s">
        <v>23</v>
      </c>
      <c r="C192" s="168"/>
      <c r="D192" s="168"/>
      <c r="E192" s="169"/>
      <c r="F192" s="167">
        <f>SUM(F193:F195)</f>
        <v>211550000</v>
      </c>
      <c r="G192" s="183">
        <f>F192</f>
        <v>211550000</v>
      </c>
      <c r="I192" s="341"/>
      <c r="J192" s="168"/>
      <c r="K192" s="168"/>
      <c r="L192" s="169"/>
      <c r="M192" s="167">
        <f>SUM(M193:M195)</f>
        <v>37400000</v>
      </c>
      <c r="N192" s="183">
        <f>M192</f>
        <v>37400000</v>
      </c>
    </row>
    <row r="193" spans="1:15" x14ac:dyDescent="0.25">
      <c r="A193" s="170"/>
      <c r="B193" s="171" t="s">
        <v>774</v>
      </c>
      <c r="C193" s="172">
        <v>2550</v>
      </c>
      <c r="D193" s="172" t="s">
        <v>296</v>
      </c>
      <c r="E193" s="173">
        <v>57000</v>
      </c>
      <c r="F193" s="173">
        <f>C193*E193</f>
        <v>145350000</v>
      </c>
      <c r="I193" s="341"/>
      <c r="J193" s="230">
        <v>400</v>
      </c>
      <c r="K193" s="172" t="s">
        <v>296</v>
      </c>
      <c r="L193" s="173">
        <v>57000</v>
      </c>
      <c r="M193" s="173">
        <f>J193*L193</f>
        <v>22800000</v>
      </c>
    </row>
    <row r="194" spans="1:15" x14ac:dyDescent="0.25">
      <c r="A194" s="170"/>
      <c r="B194" s="171" t="s">
        <v>775</v>
      </c>
      <c r="C194" s="172">
        <v>2550</v>
      </c>
      <c r="D194" s="172" t="s">
        <v>296</v>
      </c>
      <c r="E194" s="173">
        <v>24000</v>
      </c>
      <c r="F194" s="173">
        <f>C194*E194</f>
        <v>61200000</v>
      </c>
      <c r="I194" s="341"/>
      <c r="J194" s="230">
        <v>400</v>
      </c>
      <c r="K194" s="172" t="s">
        <v>296</v>
      </c>
      <c r="L194" s="173">
        <v>24000</v>
      </c>
      <c r="M194" s="173">
        <f>J194*L194</f>
        <v>9600000</v>
      </c>
    </row>
    <row r="195" spans="1:15" x14ac:dyDescent="0.25">
      <c r="A195" s="170"/>
      <c r="B195" s="178" t="s">
        <v>721</v>
      </c>
      <c r="C195" s="172">
        <v>5</v>
      </c>
      <c r="D195" s="172" t="s">
        <v>330</v>
      </c>
      <c r="E195" s="173">
        <v>1000000</v>
      </c>
      <c r="F195" s="173">
        <f t="shared" ref="F195" si="64">C195*E195</f>
        <v>5000000</v>
      </c>
      <c r="I195" s="341"/>
      <c r="J195" s="172">
        <v>5</v>
      </c>
      <c r="K195" s="172" t="s">
        <v>330</v>
      </c>
      <c r="L195" s="173">
        <v>1000000</v>
      </c>
      <c r="M195" s="173">
        <f t="shared" ref="M195" si="65">J195*L195</f>
        <v>5000000</v>
      </c>
    </row>
    <row r="196" spans="1:15" x14ac:dyDescent="0.25">
      <c r="A196" s="166" t="s">
        <v>16</v>
      </c>
      <c r="B196" s="166" t="s">
        <v>17</v>
      </c>
      <c r="C196" s="168"/>
      <c r="D196" s="168"/>
      <c r="E196" s="169"/>
      <c r="F196" s="167">
        <f>SUM(F197:F199)</f>
        <v>68200000</v>
      </c>
      <c r="G196" s="183">
        <f>F196</f>
        <v>68200000</v>
      </c>
      <c r="I196" s="341"/>
      <c r="J196" s="168"/>
      <c r="K196" s="168"/>
      <c r="L196" s="169"/>
      <c r="M196" s="167">
        <f>SUM(M197:M199)</f>
        <v>9500000</v>
      </c>
      <c r="N196" s="183">
        <f>M196</f>
        <v>9500000</v>
      </c>
    </row>
    <row r="197" spans="1:15" ht="30" x14ac:dyDescent="0.25">
      <c r="A197" s="170"/>
      <c r="B197" s="171" t="s">
        <v>688</v>
      </c>
      <c r="C197" s="172">
        <v>30</v>
      </c>
      <c r="D197" s="172" t="s">
        <v>297</v>
      </c>
      <c r="E197" s="173">
        <v>1000000</v>
      </c>
      <c r="F197" s="173">
        <f>C197*E197</f>
        <v>30000000</v>
      </c>
      <c r="I197" s="341"/>
      <c r="J197" s="230">
        <v>5</v>
      </c>
      <c r="K197" s="172" t="s">
        <v>297</v>
      </c>
      <c r="L197" s="173">
        <v>1000000</v>
      </c>
      <c r="M197" s="173">
        <f>J197*L197</f>
        <v>5000000</v>
      </c>
    </row>
    <row r="198" spans="1:15" ht="30" x14ac:dyDescent="0.25">
      <c r="A198" s="170"/>
      <c r="B198" s="171" t="s">
        <v>722</v>
      </c>
      <c r="C198" s="172">
        <v>30</v>
      </c>
      <c r="D198" s="172" t="s">
        <v>297</v>
      </c>
      <c r="E198" s="173">
        <v>900000</v>
      </c>
      <c r="F198" s="173">
        <f>C198*E198</f>
        <v>27000000</v>
      </c>
      <c r="I198" s="341"/>
      <c r="J198" s="230">
        <v>5</v>
      </c>
      <c r="K198" s="172" t="s">
        <v>297</v>
      </c>
      <c r="L198" s="173">
        <v>900000</v>
      </c>
      <c r="M198" s="173">
        <f>J198*L198</f>
        <v>4500000</v>
      </c>
    </row>
    <row r="199" spans="1:15" x14ac:dyDescent="0.25">
      <c r="A199" s="170"/>
      <c r="B199" s="171" t="s">
        <v>689</v>
      </c>
      <c r="C199" s="172">
        <v>16</v>
      </c>
      <c r="D199" s="172" t="s">
        <v>347</v>
      </c>
      <c r="E199" s="173">
        <v>700000</v>
      </c>
      <c r="F199" s="173">
        <f t="shared" ref="F199" si="66">C199*E199</f>
        <v>11200000</v>
      </c>
      <c r="I199" s="341"/>
      <c r="J199" s="230">
        <v>0</v>
      </c>
      <c r="K199" s="172" t="s">
        <v>347</v>
      </c>
      <c r="L199" s="173">
        <v>700000</v>
      </c>
      <c r="M199" s="173">
        <f t="shared" ref="M199" si="67">J199*L199</f>
        <v>0</v>
      </c>
    </row>
    <row r="200" spans="1:15" x14ac:dyDescent="0.25">
      <c r="A200" s="166" t="s">
        <v>28</v>
      </c>
      <c r="B200" s="166" t="s">
        <v>29</v>
      </c>
      <c r="C200" s="168"/>
      <c r="D200" s="168"/>
      <c r="E200" s="169"/>
      <c r="F200" s="167">
        <f>SUM(F201:F205)</f>
        <v>220480000</v>
      </c>
      <c r="G200" s="183"/>
      <c r="H200" s="183">
        <f>F200</f>
        <v>220480000</v>
      </c>
      <c r="I200" s="341"/>
      <c r="J200" s="168"/>
      <c r="K200" s="168"/>
      <c r="L200" s="169"/>
      <c r="M200" s="167">
        <f>SUM(M201:M205)</f>
        <v>220480000</v>
      </c>
      <c r="N200" s="183"/>
      <c r="O200" s="183">
        <f>M200</f>
        <v>220480000</v>
      </c>
    </row>
    <row r="201" spans="1:15" x14ac:dyDescent="0.25">
      <c r="A201" s="170"/>
      <c r="B201" s="171" t="s">
        <v>769</v>
      </c>
      <c r="C201" s="172">
        <v>120</v>
      </c>
      <c r="D201" s="172" t="s">
        <v>301</v>
      </c>
      <c r="E201" s="173">
        <v>430000</v>
      </c>
      <c r="F201" s="173">
        <f>C201*E201</f>
        <v>51600000</v>
      </c>
      <c r="I201" s="341"/>
      <c r="J201" s="172">
        <v>120</v>
      </c>
      <c r="K201" s="172" t="s">
        <v>301</v>
      </c>
      <c r="L201" s="173">
        <v>430000</v>
      </c>
      <c r="M201" s="173">
        <f>J201*L201</f>
        <v>51600000</v>
      </c>
    </row>
    <row r="202" spans="1:15" s="138" customFormat="1" ht="30" x14ac:dyDescent="0.25">
      <c r="A202" s="170"/>
      <c r="B202" s="171" t="s">
        <v>770</v>
      </c>
      <c r="C202" s="172">
        <v>120</v>
      </c>
      <c r="D202" s="172" t="s">
        <v>296</v>
      </c>
      <c r="E202" s="173">
        <v>284000</v>
      </c>
      <c r="F202" s="173">
        <f t="shared" ref="F202:F204" si="68">C202*E202</f>
        <v>34080000</v>
      </c>
      <c r="I202" s="343"/>
      <c r="J202" s="172">
        <v>120</v>
      </c>
      <c r="K202" s="172" t="s">
        <v>296</v>
      </c>
      <c r="L202" s="173">
        <v>284000</v>
      </c>
      <c r="M202" s="173">
        <f t="shared" ref="M202:M204" si="69">J202*L202</f>
        <v>34080000</v>
      </c>
    </row>
    <row r="203" spans="1:15" s="138" customFormat="1" x14ac:dyDescent="0.25">
      <c r="A203" s="170"/>
      <c r="B203" s="171" t="s">
        <v>771</v>
      </c>
      <c r="C203" s="172">
        <v>30</v>
      </c>
      <c r="D203" s="172" t="s">
        <v>296</v>
      </c>
      <c r="E203" s="173">
        <v>2500000</v>
      </c>
      <c r="F203" s="173">
        <f t="shared" si="68"/>
        <v>75000000</v>
      </c>
      <c r="I203" s="343"/>
      <c r="J203" s="172">
        <v>30</v>
      </c>
      <c r="K203" s="172" t="s">
        <v>296</v>
      </c>
      <c r="L203" s="173">
        <v>2500000</v>
      </c>
      <c r="M203" s="173">
        <f t="shared" si="69"/>
        <v>75000000</v>
      </c>
    </row>
    <row r="204" spans="1:15" s="138" customFormat="1" ht="30" x14ac:dyDescent="0.25">
      <c r="A204" s="170"/>
      <c r="B204" s="171" t="s">
        <v>723</v>
      </c>
      <c r="C204" s="172">
        <v>80</v>
      </c>
      <c r="D204" s="172" t="s">
        <v>296</v>
      </c>
      <c r="E204" s="173">
        <v>200000</v>
      </c>
      <c r="F204" s="173">
        <f t="shared" si="68"/>
        <v>16000000</v>
      </c>
      <c r="I204" s="343"/>
      <c r="J204" s="172">
        <v>80</v>
      </c>
      <c r="K204" s="172" t="s">
        <v>296</v>
      </c>
      <c r="L204" s="173">
        <v>200000</v>
      </c>
      <c r="M204" s="173">
        <f t="shared" si="69"/>
        <v>16000000</v>
      </c>
    </row>
    <row r="205" spans="1:15" s="138" customFormat="1" x14ac:dyDescent="0.25">
      <c r="A205" s="170"/>
      <c r="B205" s="171" t="s">
        <v>772</v>
      </c>
      <c r="C205" s="172">
        <v>60</v>
      </c>
      <c r="D205" s="172" t="s">
        <v>296</v>
      </c>
      <c r="E205" s="173">
        <v>730000</v>
      </c>
      <c r="F205" s="173">
        <f>C205*E205</f>
        <v>43800000</v>
      </c>
      <c r="I205" s="343"/>
      <c r="J205" s="172">
        <v>60</v>
      </c>
      <c r="K205" s="172" t="s">
        <v>296</v>
      </c>
      <c r="L205" s="173">
        <v>730000</v>
      </c>
      <c r="M205" s="173">
        <f>J205*L205</f>
        <v>43800000</v>
      </c>
    </row>
    <row r="206" spans="1:15" s="138" customFormat="1" x14ac:dyDescent="0.25">
      <c r="A206" s="166" t="s">
        <v>18</v>
      </c>
      <c r="B206" s="166" t="s">
        <v>19</v>
      </c>
      <c r="C206" s="168"/>
      <c r="D206" s="168"/>
      <c r="E206" s="169"/>
      <c r="F206" s="167">
        <f>SUM(F207:F209)</f>
        <v>321500000</v>
      </c>
      <c r="H206" s="183">
        <f>F206</f>
        <v>321500000</v>
      </c>
      <c r="I206" s="343"/>
      <c r="J206" s="168"/>
      <c r="K206" s="168"/>
      <c r="L206" s="169"/>
      <c r="M206" s="167">
        <f>SUM(M207:M209)</f>
        <v>52900000</v>
      </c>
      <c r="O206" s="183">
        <f>M206</f>
        <v>52900000</v>
      </c>
    </row>
    <row r="207" spans="1:15" s="138" customFormat="1" ht="30" x14ac:dyDescent="0.25">
      <c r="A207" s="170"/>
      <c r="B207" s="171" t="s">
        <v>724</v>
      </c>
      <c r="C207" s="172">
        <v>750</v>
      </c>
      <c r="D207" s="172" t="s">
        <v>296</v>
      </c>
      <c r="E207" s="173">
        <v>170000</v>
      </c>
      <c r="F207" s="173">
        <f>C207*E207</f>
        <v>127500000</v>
      </c>
      <c r="I207" s="343"/>
      <c r="J207" s="230">
        <v>120</v>
      </c>
      <c r="K207" s="172" t="s">
        <v>296</v>
      </c>
      <c r="L207" s="173">
        <v>170000</v>
      </c>
      <c r="M207" s="173">
        <f>J207*L207</f>
        <v>20400000</v>
      </c>
    </row>
    <row r="208" spans="1:15" s="138" customFormat="1" ht="30" x14ac:dyDescent="0.25">
      <c r="A208" s="170"/>
      <c r="B208" s="171" t="s">
        <v>725</v>
      </c>
      <c r="C208" s="172">
        <v>750</v>
      </c>
      <c r="D208" s="172" t="s">
        <v>301</v>
      </c>
      <c r="E208" s="173">
        <v>210000</v>
      </c>
      <c r="F208" s="173">
        <f>C208*E208</f>
        <v>157500000</v>
      </c>
      <c r="I208" s="343"/>
      <c r="J208" s="230">
        <v>120</v>
      </c>
      <c r="K208" s="172" t="s">
        <v>301</v>
      </c>
      <c r="L208" s="173">
        <v>210000</v>
      </c>
      <c r="M208" s="173">
        <f>J208*L208</f>
        <v>25200000</v>
      </c>
    </row>
    <row r="209" spans="1:15" s="138" customFormat="1" x14ac:dyDescent="0.25">
      <c r="A209" s="170"/>
      <c r="B209" s="171" t="s">
        <v>640</v>
      </c>
      <c r="C209" s="172">
        <v>50</v>
      </c>
      <c r="D209" s="172" t="s">
        <v>296</v>
      </c>
      <c r="E209" s="173">
        <v>730000</v>
      </c>
      <c r="F209" s="173">
        <f>C209*E209</f>
        <v>36500000</v>
      </c>
      <c r="I209" s="343"/>
      <c r="J209" s="230">
        <v>10</v>
      </c>
      <c r="K209" s="172" t="s">
        <v>296</v>
      </c>
      <c r="L209" s="173">
        <v>730000</v>
      </c>
      <c r="M209" s="173">
        <f>J209*L209</f>
        <v>7300000</v>
      </c>
    </row>
    <row r="210" spans="1:15" x14ac:dyDescent="0.25">
      <c r="A210" s="162" t="s">
        <v>32</v>
      </c>
      <c r="B210" s="162" t="s">
        <v>53</v>
      </c>
      <c r="C210" s="163"/>
      <c r="D210" s="163"/>
      <c r="E210" s="164"/>
      <c r="F210" s="165">
        <f>F211+F215+F220+F224+F228</f>
        <v>622508000</v>
      </c>
      <c r="I210" s="342">
        <f>F210-M210</f>
        <v>0</v>
      </c>
      <c r="J210" s="163"/>
      <c r="K210" s="163"/>
      <c r="L210" s="164"/>
      <c r="M210" s="165">
        <f>M211+M215+M220+M224+M228</f>
        <v>622508000</v>
      </c>
    </row>
    <row r="211" spans="1:15" x14ac:dyDescent="0.25">
      <c r="A211" s="166" t="s">
        <v>22</v>
      </c>
      <c r="B211" s="166" t="s">
        <v>23</v>
      </c>
      <c r="C211" s="168"/>
      <c r="D211" s="168"/>
      <c r="E211" s="169"/>
      <c r="F211" s="167">
        <f>SUM(F212:F214)</f>
        <v>143060000</v>
      </c>
      <c r="G211" s="183">
        <f>F211</f>
        <v>143060000</v>
      </c>
      <c r="I211" s="341"/>
      <c r="J211" s="168"/>
      <c r="K211" s="168"/>
      <c r="L211" s="169"/>
      <c r="M211" s="167">
        <f>SUM(M212:M214)</f>
        <v>143060000</v>
      </c>
      <c r="N211" s="183">
        <f>M211</f>
        <v>143060000</v>
      </c>
    </row>
    <row r="212" spans="1:15" ht="30" x14ac:dyDescent="0.25">
      <c r="A212" s="170"/>
      <c r="B212" s="171" t="s">
        <v>736</v>
      </c>
      <c r="C212" s="172">
        <v>1760</v>
      </c>
      <c r="D212" s="172" t="s">
        <v>296</v>
      </c>
      <c r="E212" s="173">
        <v>57000</v>
      </c>
      <c r="F212" s="173">
        <f>C212*E212</f>
        <v>100320000</v>
      </c>
      <c r="I212" s="341"/>
      <c r="J212" s="172">
        <v>1760</v>
      </c>
      <c r="K212" s="172" t="s">
        <v>296</v>
      </c>
      <c r="L212" s="173">
        <v>57000</v>
      </c>
      <c r="M212" s="173">
        <f>J212*L212</f>
        <v>100320000</v>
      </c>
    </row>
    <row r="213" spans="1:15" ht="30" x14ac:dyDescent="0.25">
      <c r="A213" s="170"/>
      <c r="B213" s="171" t="s">
        <v>737</v>
      </c>
      <c r="C213" s="172">
        <v>1760</v>
      </c>
      <c r="D213" s="172" t="s">
        <v>296</v>
      </c>
      <c r="E213" s="173">
        <v>24000</v>
      </c>
      <c r="F213" s="173">
        <f>C213*E213</f>
        <v>42240000</v>
      </c>
      <c r="I213" s="341"/>
      <c r="J213" s="172">
        <v>1760</v>
      </c>
      <c r="K213" s="172" t="s">
        <v>296</v>
      </c>
      <c r="L213" s="173">
        <v>24000</v>
      </c>
      <c r="M213" s="173">
        <f>J213*L213</f>
        <v>42240000</v>
      </c>
    </row>
    <row r="214" spans="1:15" ht="25.5" customHeight="1" x14ac:dyDescent="0.25">
      <c r="A214" s="170"/>
      <c r="B214" s="178" t="s">
        <v>344</v>
      </c>
      <c r="C214" s="172">
        <v>1</v>
      </c>
      <c r="D214" s="172" t="s">
        <v>298</v>
      </c>
      <c r="E214" s="173">
        <v>500000</v>
      </c>
      <c r="F214" s="173">
        <f t="shared" ref="F214" si="70">C214*E214</f>
        <v>500000</v>
      </c>
      <c r="I214" s="341"/>
      <c r="J214" s="172">
        <v>1</v>
      </c>
      <c r="K214" s="172" t="s">
        <v>298</v>
      </c>
      <c r="L214" s="173">
        <v>500000</v>
      </c>
      <c r="M214" s="173">
        <f t="shared" ref="M214" si="71">J214*L214</f>
        <v>500000</v>
      </c>
    </row>
    <row r="215" spans="1:15" x14ac:dyDescent="0.25">
      <c r="A215" s="166" t="s">
        <v>14</v>
      </c>
      <c r="B215" s="166" t="s">
        <v>15</v>
      </c>
      <c r="C215" s="168"/>
      <c r="D215" s="168"/>
      <c r="E215" s="169"/>
      <c r="F215" s="167">
        <f>SUM(F216:F219)</f>
        <v>15400000</v>
      </c>
      <c r="G215" s="183">
        <f>F215</f>
        <v>15400000</v>
      </c>
      <c r="I215" s="341"/>
      <c r="J215" s="168"/>
      <c r="K215" s="168"/>
      <c r="L215" s="169"/>
      <c r="M215" s="167">
        <f>SUM(M216:M219)</f>
        <v>15400000</v>
      </c>
      <c r="N215" s="183">
        <f>M215</f>
        <v>15400000</v>
      </c>
    </row>
    <row r="216" spans="1:15" ht="30" x14ac:dyDescent="0.25">
      <c r="A216" s="170"/>
      <c r="B216" s="176" t="s">
        <v>360</v>
      </c>
      <c r="C216" s="172">
        <v>4</v>
      </c>
      <c r="D216" s="172" t="s">
        <v>296</v>
      </c>
      <c r="E216" s="173">
        <v>450000</v>
      </c>
      <c r="F216" s="173">
        <f>C216*E216</f>
        <v>1800000</v>
      </c>
      <c r="I216" s="341"/>
      <c r="J216" s="172">
        <v>4</v>
      </c>
      <c r="K216" s="172" t="s">
        <v>296</v>
      </c>
      <c r="L216" s="173">
        <v>450000</v>
      </c>
      <c r="M216" s="173">
        <f>J216*L216</f>
        <v>1800000</v>
      </c>
    </row>
    <row r="217" spans="1:15" ht="30" x14ac:dyDescent="0.25">
      <c r="A217" s="170"/>
      <c r="B217" s="176" t="s">
        <v>361</v>
      </c>
      <c r="C217" s="172">
        <v>4</v>
      </c>
      <c r="D217" s="172" t="s">
        <v>296</v>
      </c>
      <c r="E217" s="173">
        <v>400000</v>
      </c>
      <c r="F217" s="173">
        <f t="shared" ref="F217:F219" si="72">C217*E217</f>
        <v>1600000</v>
      </c>
      <c r="I217" s="341"/>
      <c r="J217" s="172">
        <v>4</v>
      </c>
      <c r="K217" s="172" t="s">
        <v>296</v>
      </c>
      <c r="L217" s="173">
        <v>400000</v>
      </c>
      <c r="M217" s="173">
        <f t="shared" ref="M217:M219" si="73">J217*L217</f>
        <v>1600000</v>
      </c>
    </row>
    <row r="218" spans="1:15" ht="30" x14ac:dyDescent="0.25">
      <c r="A218" s="170"/>
      <c r="B218" s="176" t="s">
        <v>362</v>
      </c>
      <c r="C218" s="172">
        <v>4</v>
      </c>
      <c r="D218" s="172" t="s">
        <v>296</v>
      </c>
      <c r="E218" s="173">
        <v>300000</v>
      </c>
      <c r="F218" s="173">
        <f t="shared" si="72"/>
        <v>1200000</v>
      </c>
      <c r="I218" s="341"/>
      <c r="J218" s="172">
        <v>4</v>
      </c>
      <c r="K218" s="172" t="s">
        <v>296</v>
      </c>
      <c r="L218" s="173">
        <v>300000</v>
      </c>
      <c r="M218" s="173">
        <f t="shared" si="73"/>
        <v>1200000</v>
      </c>
    </row>
    <row r="219" spans="1:15" ht="30" x14ac:dyDescent="0.25">
      <c r="A219" s="170"/>
      <c r="B219" s="176" t="s">
        <v>363</v>
      </c>
      <c r="C219" s="172">
        <v>36</v>
      </c>
      <c r="D219" s="172" t="s">
        <v>296</v>
      </c>
      <c r="E219" s="173">
        <v>300000</v>
      </c>
      <c r="F219" s="173">
        <f t="shared" si="72"/>
        <v>10800000</v>
      </c>
      <c r="I219" s="341"/>
      <c r="J219" s="172">
        <v>36</v>
      </c>
      <c r="K219" s="172" t="s">
        <v>296</v>
      </c>
      <c r="L219" s="173">
        <v>300000</v>
      </c>
      <c r="M219" s="173">
        <f t="shared" si="73"/>
        <v>10800000</v>
      </c>
    </row>
    <row r="220" spans="1:15" x14ac:dyDescent="0.25">
      <c r="A220" s="166" t="s">
        <v>16</v>
      </c>
      <c r="B220" s="166" t="s">
        <v>17</v>
      </c>
      <c r="C220" s="168"/>
      <c r="D220" s="168"/>
      <c r="E220" s="169"/>
      <c r="F220" s="167">
        <f>SUM(F221:F223)</f>
        <v>148000000</v>
      </c>
      <c r="G220" s="183">
        <f>F220</f>
        <v>148000000</v>
      </c>
      <c r="I220" s="341"/>
      <c r="J220" s="168"/>
      <c r="K220" s="168"/>
      <c r="L220" s="169"/>
      <c r="M220" s="167">
        <f>SUM(M221:M223)</f>
        <v>148000000</v>
      </c>
      <c r="N220" s="183">
        <f>M220</f>
        <v>148000000</v>
      </c>
    </row>
    <row r="221" spans="1:15" ht="30" x14ac:dyDescent="0.25">
      <c r="A221" s="170"/>
      <c r="B221" s="171" t="s">
        <v>738</v>
      </c>
      <c r="C221" s="172">
        <v>72</v>
      </c>
      <c r="D221" s="172" t="s">
        <v>297</v>
      </c>
      <c r="E221" s="173">
        <v>1000000</v>
      </c>
      <c r="F221" s="173">
        <f>C221*E221</f>
        <v>72000000</v>
      </c>
      <c r="I221" s="341"/>
      <c r="J221" s="172">
        <v>72</v>
      </c>
      <c r="K221" s="172" t="s">
        <v>297</v>
      </c>
      <c r="L221" s="173">
        <v>1000000</v>
      </c>
      <c r="M221" s="173">
        <f>J221*L221</f>
        <v>72000000</v>
      </c>
    </row>
    <row r="222" spans="1:15" ht="30" x14ac:dyDescent="0.25">
      <c r="A222" s="170"/>
      <c r="B222" s="171" t="s">
        <v>739</v>
      </c>
      <c r="C222" s="172">
        <v>72</v>
      </c>
      <c r="D222" s="172" t="s">
        <v>297</v>
      </c>
      <c r="E222" s="173">
        <v>900000</v>
      </c>
      <c r="F222" s="173">
        <f>C222*E222</f>
        <v>64800000</v>
      </c>
      <c r="I222" s="341"/>
      <c r="J222" s="172">
        <v>72</v>
      </c>
      <c r="K222" s="172" t="s">
        <v>297</v>
      </c>
      <c r="L222" s="173">
        <v>900000</v>
      </c>
      <c r="M222" s="173">
        <f>J222*L222</f>
        <v>64800000</v>
      </c>
    </row>
    <row r="223" spans="1:15" x14ac:dyDescent="0.25">
      <c r="A223" s="170"/>
      <c r="B223" s="171" t="s">
        <v>740</v>
      </c>
      <c r="C223" s="172">
        <v>16</v>
      </c>
      <c r="D223" s="172" t="s">
        <v>347</v>
      </c>
      <c r="E223" s="173">
        <v>700000</v>
      </c>
      <c r="F223" s="173">
        <f t="shared" ref="F223" si="74">C223*E223</f>
        <v>11200000</v>
      </c>
      <c r="I223" s="341"/>
      <c r="J223" s="172">
        <v>16</v>
      </c>
      <c r="K223" s="172" t="s">
        <v>347</v>
      </c>
      <c r="L223" s="173">
        <v>700000</v>
      </c>
      <c r="M223" s="173">
        <f t="shared" ref="M223" si="75">J223*L223</f>
        <v>11200000</v>
      </c>
    </row>
    <row r="224" spans="1:15" x14ac:dyDescent="0.25">
      <c r="A224" s="166" t="s">
        <v>28</v>
      </c>
      <c r="B224" s="166" t="s">
        <v>29</v>
      </c>
      <c r="C224" s="168"/>
      <c r="D224" s="168"/>
      <c r="E224" s="169"/>
      <c r="F224" s="167">
        <f>SUM(F225:F227)</f>
        <v>190368000</v>
      </c>
      <c r="H224" s="183">
        <f>F224</f>
        <v>190368000</v>
      </c>
      <c r="I224" s="341"/>
      <c r="J224" s="168"/>
      <c r="K224" s="168"/>
      <c r="L224" s="169"/>
      <c r="M224" s="167">
        <f>SUM(M225:M227)</f>
        <v>190368000</v>
      </c>
      <c r="O224" s="183">
        <f>M224</f>
        <v>190368000</v>
      </c>
    </row>
    <row r="225" spans="1:15" ht="30" x14ac:dyDescent="0.25">
      <c r="A225" s="170"/>
      <c r="B225" s="171" t="s">
        <v>741</v>
      </c>
      <c r="C225" s="172">
        <v>288</v>
      </c>
      <c r="D225" s="172" t="s">
        <v>301</v>
      </c>
      <c r="E225" s="173">
        <v>430000</v>
      </c>
      <c r="F225" s="173">
        <f>C225*E225</f>
        <v>123840000</v>
      </c>
      <c r="I225" s="341"/>
      <c r="J225" s="172">
        <v>288</v>
      </c>
      <c r="K225" s="172" t="s">
        <v>301</v>
      </c>
      <c r="L225" s="173">
        <v>430000</v>
      </c>
      <c r="M225" s="173">
        <f>J225*L225</f>
        <v>123840000</v>
      </c>
    </row>
    <row r="226" spans="1:15" ht="30" x14ac:dyDescent="0.25">
      <c r="A226" s="170"/>
      <c r="B226" s="171" t="s">
        <v>742</v>
      </c>
      <c r="C226" s="172">
        <v>192</v>
      </c>
      <c r="D226" s="172" t="s">
        <v>296</v>
      </c>
      <c r="E226" s="173">
        <v>284000</v>
      </c>
      <c r="F226" s="173">
        <f t="shared" ref="F226" si="76">C226*E226</f>
        <v>54528000</v>
      </c>
      <c r="I226" s="341"/>
      <c r="J226" s="172">
        <v>192</v>
      </c>
      <c r="K226" s="172" t="s">
        <v>296</v>
      </c>
      <c r="L226" s="173">
        <v>284000</v>
      </c>
      <c r="M226" s="173">
        <f t="shared" ref="M226" si="77">J226*L226</f>
        <v>54528000</v>
      </c>
    </row>
    <row r="227" spans="1:15" x14ac:dyDescent="0.25">
      <c r="A227" s="170"/>
      <c r="B227" s="171" t="s">
        <v>692</v>
      </c>
      <c r="C227" s="172">
        <v>32</v>
      </c>
      <c r="D227" s="172" t="s">
        <v>296</v>
      </c>
      <c r="E227" s="173">
        <v>375000</v>
      </c>
      <c r="F227" s="173">
        <f>C227*E227</f>
        <v>12000000</v>
      </c>
      <c r="I227" s="341"/>
      <c r="J227" s="172">
        <v>32</v>
      </c>
      <c r="K227" s="172" t="s">
        <v>296</v>
      </c>
      <c r="L227" s="173">
        <v>375000</v>
      </c>
      <c r="M227" s="173">
        <f>J227*L227</f>
        <v>12000000</v>
      </c>
    </row>
    <row r="228" spans="1:15" x14ac:dyDescent="0.25">
      <c r="A228" s="166" t="s">
        <v>18</v>
      </c>
      <c r="B228" s="166" t="s">
        <v>19</v>
      </c>
      <c r="C228" s="168"/>
      <c r="D228" s="168"/>
      <c r="E228" s="169"/>
      <c r="F228" s="167">
        <f>SUM(F229:F231)</f>
        <v>125680000</v>
      </c>
      <c r="H228" s="183">
        <f>F228</f>
        <v>125680000</v>
      </c>
      <c r="I228" s="341"/>
      <c r="J228" s="168"/>
      <c r="K228" s="168"/>
      <c r="L228" s="169"/>
      <c r="M228" s="167">
        <f>SUM(M229:M231)</f>
        <v>125680000</v>
      </c>
      <c r="O228" s="183">
        <f>M228</f>
        <v>125680000</v>
      </c>
    </row>
    <row r="229" spans="1:15" ht="30" x14ac:dyDescent="0.25">
      <c r="A229" s="170"/>
      <c r="B229" s="171" t="s">
        <v>693</v>
      </c>
      <c r="C229" s="172">
        <v>300</v>
      </c>
      <c r="D229" s="172" t="s">
        <v>301</v>
      </c>
      <c r="E229" s="173">
        <v>210000</v>
      </c>
      <c r="F229" s="173">
        <f>C229*E229</f>
        <v>63000000</v>
      </c>
      <c r="I229" s="341"/>
      <c r="J229" s="172">
        <v>300</v>
      </c>
      <c r="K229" s="172" t="s">
        <v>301</v>
      </c>
      <c r="L229" s="173">
        <v>210000</v>
      </c>
      <c r="M229" s="173">
        <f>J229*L229</f>
        <v>63000000</v>
      </c>
    </row>
    <row r="230" spans="1:15" ht="30" x14ac:dyDescent="0.25">
      <c r="A230" s="170"/>
      <c r="B230" s="171" t="s">
        <v>694</v>
      </c>
      <c r="C230" s="172">
        <v>300</v>
      </c>
      <c r="D230" s="172" t="s">
        <v>296</v>
      </c>
      <c r="E230" s="173">
        <v>170000</v>
      </c>
      <c r="F230" s="173">
        <f>C230*E230</f>
        <v>51000000</v>
      </c>
      <c r="I230" s="341"/>
      <c r="J230" s="172">
        <v>300</v>
      </c>
      <c r="K230" s="172" t="s">
        <v>296</v>
      </c>
      <c r="L230" s="173">
        <v>170000</v>
      </c>
      <c r="M230" s="173">
        <f>J230*L230</f>
        <v>51000000</v>
      </c>
    </row>
    <row r="231" spans="1:15" x14ac:dyDescent="0.25">
      <c r="A231" s="170"/>
      <c r="B231" s="171" t="s">
        <v>702</v>
      </c>
      <c r="C231" s="172">
        <v>16</v>
      </c>
      <c r="D231" s="172" t="s">
        <v>296</v>
      </c>
      <c r="E231" s="173">
        <v>730000</v>
      </c>
      <c r="F231" s="173">
        <f>C231*E231</f>
        <v>11680000</v>
      </c>
      <c r="I231" s="341"/>
      <c r="J231" s="172">
        <v>16</v>
      </c>
      <c r="K231" s="172" t="s">
        <v>296</v>
      </c>
      <c r="L231" s="173">
        <v>730000</v>
      </c>
      <c r="M231" s="173">
        <f>J231*L231</f>
        <v>11680000</v>
      </c>
    </row>
    <row r="232" spans="1:15" ht="30" x14ac:dyDescent="0.25">
      <c r="A232" s="154" t="s">
        <v>675</v>
      </c>
      <c r="B232" s="154" t="s">
        <v>55</v>
      </c>
      <c r="C232" s="155" t="s">
        <v>56</v>
      </c>
      <c r="D232" s="155" t="s">
        <v>295</v>
      </c>
      <c r="E232" s="156"/>
      <c r="F232" s="157">
        <f>F233</f>
        <v>435610000</v>
      </c>
      <c r="I232" s="341"/>
      <c r="J232" s="155" t="s">
        <v>56</v>
      </c>
      <c r="K232" s="155" t="s">
        <v>295</v>
      </c>
      <c r="L232" s="156"/>
      <c r="M232" s="157">
        <f>M233</f>
        <v>260520000</v>
      </c>
    </row>
    <row r="233" spans="1:15" x14ac:dyDescent="0.25">
      <c r="A233" s="158" t="s">
        <v>9</v>
      </c>
      <c r="B233" s="158" t="s">
        <v>57</v>
      </c>
      <c r="C233" s="159" t="s">
        <v>11</v>
      </c>
      <c r="D233" s="159"/>
      <c r="E233" s="160"/>
      <c r="F233" s="161">
        <f>F234+F245+F266</f>
        <v>435610000</v>
      </c>
      <c r="I233" s="341"/>
      <c r="J233" s="159" t="s">
        <v>11</v>
      </c>
      <c r="K233" s="159"/>
      <c r="L233" s="160"/>
      <c r="M233" s="161">
        <f>M234+M245+M266</f>
        <v>260520000</v>
      </c>
    </row>
    <row r="234" spans="1:15" ht="30" x14ac:dyDescent="0.25">
      <c r="A234" s="162" t="s">
        <v>12</v>
      </c>
      <c r="B234" s="162" t="s">
        <v>726</v>
      </c>
      <c r="C234" s="163"/>
      <c r="D234" s="163"/>
      <c r="E234" s="164"/>
      <c r="F234" s="165">
        <f>F235+F239+F242</f>
        <v>92602000</v>
      </c>
      <c r="I234" s="342">
        <f>F234-M234</f>
        <v>0</v>
      </c>
      <c r="J234" s="163"/>
      <c r="K234" s="163"/>
      <c r="L234" s="164"/>
      <c r="M234" s="165">
        <f>M235+M239+M242</f>
        <v>92602000</v>
      </c>
    </row>
    <row r="235" spans="1:15" x14ac:dyDescent="0.25">
      <c r="A235" s="166" t="s">
        <v>22</v>
      </c>
      <c r="B235" s="166" t="s">
        <v>23</v>
      </c>
      <c r="C235" s="168"/>
      <c r="D235" s="168"/>
      <c r="E235" s="169"/>
      <c r="F235" s="167">
        <f>SUM(F236:F238)</f>
        <v>16022000</v>
      </c>
      <c r="G235" s="183">
        <f>F235</f>
        <v>16022000</v>
      </c>
      <c r="I235" s="341"/>
      <c r="J235" s="168"/>
      <c r="K235" s="168"/>
      <c r="L235" s="169"/>
      <c r="M235" s="167">
        <f>SUM(M236:M238)</f>
        <v>16022000</v>
      </c>
      <c r="N235" s="183">
        <f>M235</f>
        <v>16022000</v>
      </c>
    </row>
    <row r="236" spans="1:15" x14ac:dyDescent="0.25">
      <c r="A236" s="170"/>
      <c r="B236" s="171" t="s">
        <v>763</v>
      </c>
      <c r="C236" s="172">
        <v>150</v>
      </c>
      <c r="D236" s="172" t="s">
        <v>296</v>
      </c>
      <c r="E236" s="173">
        <v>57000</v>
      </c>
      <c r="F236" s="173">
        <f>C236*E236</f>
        <v>8550000</v>
      </c>
      <c r="I236" s="341"/>
      <c r="J236" s="172">
        <v>150</v>
      </c>
      <c r="K236" s="172" t="s">
        <v>296</v>
      </c>
      <c r="L236" s="173">
        <v>57000</v>
      </c>
      <c r="M236" s="173">
        <f>J236*L236</f>
        <v>8550000</v>
      </c>
    </row>
    <row r="237" spans="1:15" x14ac:dyDescent="0.25">
      <c r="A237" s="170"/>
      <c r="B237" s="171" t="s">
        <v>764</v>
      </c>
      <c r="C237" s="172">
        <v>300</v>
      </c>
      <c r="D237" s="172" t="s">
        <v>296</v>
      </c>
      <c r="E237" s="173">
        <v>24000</v>
      </c>
      <c r="F237" s="173">
        <f>C237*E237</f>
        <v>7200000</v>
      </c>
      <c r="I237" s="341"/>
      <c r="J237" s="172">
        <v>300</v>
      </c>
      <c r="K237" s="172" t="s">
        <v>296</v>
      </c>
      <c r="L237" s="173">
        <v>24000</v>
      </c>
      <c r="M237" s="173">
        <f>J237*L237</f>
        <v>7200000</v>
      </c>
    </row>
    <row r="238" spans="1:15" x14ac:dyDescent="0.25">
      <c r="A238" s="170"/>
      <c r="B238" s="178" t="s">
        <v>394</v>
      </c>
      <c r="C238" s="172">
        <v>1</v>
      </c>
      <c r="D238" s="172" t="s">
        <v>303</v>
      </c>
      <c r="E238" s="173">
        <v>272000</v>
      </c>
      <c r="F238" s="173">
        <f>C238*E238</f>
        <v>272000</v>
      </c>
      <c r="I238" s="341"/>
      <c r="J238" s="172">
        <v>1</v>
      </c>
      <c r="K238" s="172" t="s">
        <v>303</v>
      </c>
      <c r="L238" s="173">
        <v>272000</v>
      </c>
      <c r="M238" s="173">
        <f>J238*L238</f>
        <v>272000</v>
      </c>
    </row>
    <row r="239" spans="1:15" x14ac:dyDescent="0.25">
      <c r="A239" s="166" t="s">
        <v>28</v>
      </c>
      <c r="B239" s="166" t="s">
        <v>29</v>
      </c>
      <c r="C239" s="168"/>
      <c r="D239" s="168"/>
      <c r="E239" s="169"/>
      <c r="F239" s="167">
        <f>SUM(F240:F241)</f>
        <v>49980000</v>
      </c>
      <c r="G239" s="183">
        <f>F239</f>
        <v>49980000</v>
      </c>
      <c r="I239" s="341"/>
      <c r="J239" s="168"/>
      <c r="K239" s="168"/>
      <c r="L239" s="169"/>
      <c r="M239" s="167">
        <f>SUM(M240:M241)</f>
        <v>49980000</v>
      </c>
      <c r="N239" s="183">
        <f>M239</f>
        <v>49980000</v>
      </c>
    </row>
    <row r="240" spans="1:15" ht="30" x14ac:dyDescent="0.25">
      <c r="A240" s="170"/>
      <c r="B240" s="171" t="s">
        <v>765</v>
      </c>
      <c r="C240" s="172">
        <v>70</v>
      </c>
      <c r="D240" s="172" t="s">
        <v>301</v>
      </c>
      <c r="E240" s="173">
        <v>430000</v>
      </c>
      <c r="F240" s="173">
        <f>C240*E240</f>
        <v>30100000</v>
      </c>
      <c r="I240" s="341"/>
      <c r="J240" s="172">
        <v>70</v>
      </c>
      <c r="K240" s="172" t="s">
        <v>301</v>
      </c>
      <c r="L240" s="173">
        <v>430000</v>
      </c>
      <c r="M240" s="173">
        <f>J240*L240</f>
        <v>30100000</v>
      </c>
    </row>
    <row r="241" spans="1:15" ht="30" x14ac:dyDescent="0.25">
      <c r="A241" s="170"/>
      <c r="B241" s="171" t="s">
        <v>766</v>
      </c>
      <c r="C241" s="172">
        <v>70</v>
      </c>
      <c r="D241" s="172" t="s">
        <v>296</v>
      </c>
      <c r="E241" s="173">
        <v>284000</v>
      </c>
      <c r="F241" s="173">
        <f t="shared" ref="F241" si="78">C241*E241</f>
        <v>19880000</v>
      </c>
      <c r="I241" s="341"/>
      <c r="J241" s="172">
        <v>70</v>
      </c>
      <c r="K241" s="172" t="s">
        <v>296</v>
      </c>
      <c r="L241" s="173">
        <v>284000</v>
      </c>
      <c r="M241" s="173">
        <f t="shared" ref="M241" si="79">J241*L241</f>
        <v>19880000</v>
      </c>
    </row>
    <row r="242" spans="1:15" x14ac:dyDescent="0.25">
      <c r="A242" s="166" t="s">
        <v>18</v>
      </c>
      <c r="B242" s="166" t="s">
        <v>19</v>
      </c>
      <c r="C242" s="168"/>
      <c r="D242" s="168"/>
      <c r="E242" s="169"/>
      <c r="F242" s="167">
        <f>SUM(F243:F244)</f>
        <v>26600000</v>
      </c>
      <c r="H242" s="183">
        <f>F242</f>
        <v>26600000</v>
      </c>
      <c r="I242" s="341"/>
      <c r="J242" s="168"/>
      <c r="K242" s="168"/>
      <c r="L242" s="169"/>
      <c r="M242" s="167">
        <f>SUM(M243:M244)</f>
        <v>26600000</v>
      </c>
      <c r="O242" s="183">
        <f>M242</f>
        <v>26600000</v>
      </c>
    </row>
    <row r="243" spans="1:15" ht="30" x14ac:dyDescent="0.25">
      <c r="A243" s="170"/>
      <c r="B243" s="171" t="s">
        <v>767</v>
      </c>
      <c r="C243" s="172">
        <v>70</v>
      </c>
      <c r="D243" s="172" t="s">
        <v>301</v>
      </c>
      <c r="E243" s="173">
        <v>210000</v>
      </c>
      <c r="F243" s="173">
        <f>C243*E243</f>
        <v>14700000</v>
      </c>
      <c r="I243" s="341"/>
      <c r="J243" s="172">
        <v>70</v>
      </c>
      <c r="K243" s="172" t="s">
        <v>301</v>
      </c>
      <c r="L243" s="173">
        <v>210000</v>
      </c>
      <c r="M243" s="173">
        <f>J243*L243</f>
        <v>14700000</v>
      </c>
    </row>
    <row r="244" spans="1:15" ht="30" x14ac:dyDescent="0.25">
      <c r="A244" s="170"/>
      <c r="B244" s="171" t="s">
        <v>768</v>
      </c>
      <c r="C244" s="172">
        <v>70</v>
      </c>
      <c r="D244" s="172" t="s">
        <v>296</v>
      </c>
      <c r="E244" s="173">
        <v>170000</v>
      </c>
      <c r="F244" s="173">
        <f>C244*E244</f>
        <v>11900000</v>
      </c>
      <c r="I244" s="341"/>
      <c r="J244" s="172">
        <v>70</v>
      </c>
      <c r="K244" s="172" t="s">
        <v>296</v>
      </c>
      <c r="L244" s="173">
        <v>170000</v>
      </c>
      <c r="M244" s="173">
        <f>J244*L244</f>
        <v>11900000</v>
      </c>
    </row>
    <row r="245" spans="1:15" x14ac:dyDescent="0.25">
      <c r="A245" s="162" t="s">
        <v>26</v>
      </c>
      <c r="B245" s="162" t="s">
        <v>60</v>
      </c>
      <c r="C245" s="163"/>
      <c r="D245" s="163"/>
      <c r="E245" s="164"/>
      <c r="F245" s="165">
        <f>F246+F250+F255+F258+F262</f>
        <v>254388000</v>
      </c>
      <c r="I245" s="342">
        <f>F245-M245</f>
        <v>175090000</v>
      </c>
      <c r="J245" s="163"/>
      <c r="K245" s="163"/>
      <c r="L245" s="164"/>
      <c r="M245" s="165">
        <f>M246+M250+M255+M258+M262</f>
        <v>79298000</v>
      </c>
    </row>
    <row r="246" spans="1:15" x14ac:dyDescent="0.25">
      <c r="A246" s="166" t="s">
        <v>22</v>
      </c>
      <c r="B246" s="166" t="s">
        <v>23</v>
      </c>
      <c r="C246" s="168"/>
      <c r="D246" s="168"/>
      <c r="E246" s="169"/>
      <c r="F246" s="167">
        <f>SUM(F247:F249)</f>
        <v>73048000</v>
      </c>
      <c r="G246" s="183">
        <f>F246</f>
        <v>73048000</v>
      </c>
      <c r="I246" s="341"/>
      <c r="J246" s="168"/>
      <c r="K246" s="168"/>
      <c r="L246" s="169"/>
      <c r="M246" s="167">
        <f>SUM(M247:M249)</f>
        <v>8248000</v>
      </c>
      <c r="N246" s="183">
        <f>M246</f>
        <v>8248000</v>
      </c>
    </row>
    <row r="247" spans="1:15" x14ac:dyDescent="0.25">
      <c r="A247" s="170"/>
      <c r="B247" s="171" t="s">
        <v>559</v>
      </c>
      <c r="C247" s="172">
        <v>900</v>
      </c>
      <c r="D247" s="172" t="s">
        <v>296</v>
      </c>
      <c r="E247" s="173">
        <v>57000</v>
      </c>
      <c r="F247" s="173">
        <f>C247*E247</f>
        <v>51300000</v>
      </c>
      <c r="I247" s="341"/>
      <c r="J247" s="230">
        <v>100</v>
      </c>
      <c r="K247" s="172" t="s">
        <v>296</v>
      </c>
      <c r="L247" s="173">
        <v>57000</v>
      </c>
      <c r="M247" s="173">
        <f>J247*L247</f>
        <v>5700000</v>
      </c>
    </row>
    <row r="248" spans="1:15" x14ac:dyDescent="0.25">
      <c r="A248" s="170"/>
      <c r="B248" s="171" t="s">
        <v>560</v>
      </c>
      <c r="C248" s="172">
        <v>900</v>
      </c>
      <c r="D248" s="172" t="s">
        <v>296</v>
      </c>
      <c r="E248" s="173">
        <v>24000</v>
      </c>
      <c r="F248" s="173">
        <f>C248*E248</f>
        <v>21600000</v>
      </c>
      <c r="I248" s="341"/>
      <c r="J248" s="230">
        <v>100</v>
      </c>
      <c r="K248" s="172" t="s">
        <v>296</v>
      </c>
      <c r="L248" s="173">
        <v>24000</v>
      </c>
      <c r="M248" s="173">
        <f>J248*L248</f>
        <v>2400000</v>
      </c>
    </row>
    <row r="249" spans="1:15" x14ac:dyDescent="0.25">
      <c r="A249" s="170"/>
      <c r="B249" s="178" t="s">
        <v>569</v>
      </c>
      <c r="C249" s="172">
        <v>1</v>
      </c>
      <c r="D249" s="172" t="s">
        <v>303</v>
      </c>
      <c r="E249" s="173">
        <f>358000-210000</f>
        <v>148000</v>
      </c>
      <c r="F249" s="173">
        <f>C249*E249</f>
        <v>148000</v>
      </c>
      <c r="I249" s="341"/>
      <c r="J249" s="172">
        <v>1</v>
      </c>
      <c r="K249" s="172" t="s">
        <v>303</v>
      </c>
      <c r="L249" s="173">
        <f>358000-210000</f>
        <v>148000</v>
      </c>
      <c r="M249" s="173">
        <f>J249*L249</f>
        <v>148000</v>
      </c>
    </row>
    <row r="250" spans="1:15" x14ac:dyDescent="0.25">
      <c r="A250" s="166" t="s">
        <v>14</v>
      </c>
      <c r="B250" s="166" t="s">
        <v>15</v>
      </c>
      <c r="C250" s="168"/>
      <c r="D250" s="168"/>
      <c r="E250" s="169"/>
      <c r="F250" s="167">
        <f>SUM(F251:F254)</f>
        <v>13850000</v>
      </c>
      <c r="G250" s="183">
        <f>F250</f>
        <v>13850000</v>
      </c>
      <c r="I250" s="341"/>
      <c r="J250" s="168"/>
      <c r="K250" s="168"/>
      <c r="L250" s="169"/>
      <c r="M250" s="167">
        <f>SUM(M251:M254)</f>
        <v>13850000</v>
      </c>
      <c r="N250" s="183">
        <f>M250</f>
        <v>13850000</v>
      </c>
    </row>
    <row r="251" spans="1:15" ht="30" x14ac:dyDescent="0.25">
      <c r="A251" s="170"/>
      <c r="B251" s="176" t="s">
        <v>360</v>
      </c>
      <c r="C251" s="172">
        <v>1</v>
      </c>
      <c r="D251" s="172" t="s">
        <v>296</v>
      </c>
      <c r="E251" s="173">
        <v>450000</v>
      </c>
      <c r="F251" s="173">
        <f>C251*E251</f>
        <v>450000</v>
      </c>
      <c r="I251" s="341"/>
      <c r="J251" s="172">
        <v>1</v>
      </c>
      <c r="K251" s="172" t="s">
        <v>296</v>
      </c>
      <c r="L251" s="173">
        <v>450000</v>
      </c>
      <c r="M251" s="173">
        <f>J251*L251</f>
        <v>450000</v>
      </c>
    </row>
    <row r="252" spans="1:15" ht="30" x14ac:dyDescent="0.25">
      <c r="A252" s="170"/>
      <c r="B252" s="176" t="s">
        <v>361</v>
      </c>
      <c r="C252" s="172">
        <v>2</v>
      </c>
      <c r="D252" s="172" t="s">
        <v>296</v>
      </c>
      <c r="E252" s="173">
        <v>400000</v>
      </c>
      <c r="F252" s="173">
        <f t="shared" ref="F252:F254" si="80">C252*E252</f>
        <v>800000</v>
      </c>
      <c r="I252" s="341"/>
      <c r="J252" s="172">
        <v>2</v>
      </c>
      <c r="K252" s="172" t="s">
        <v>296</v>
      </c>
      <c r="L252" s="173">
        <v>400000</v>
      </c>
      <c r="M252" s="173">
        <f t="shared" ref="M252:M254" si="81">J252*L252</f>
        <v>800000</v>
      </c>
    </row>
    <row r="253" spans="1:15" ht="30" x14ac:dyDescent="0.25">
      <c r="A253" s="170"/>
      <c r="B253" s="176" t="s">
        <v>362</v>
      </c>
      <c r="C253" s="172">
        <v>1</v>
      </c>
      <c r="D253" s="172" t="s">
        <v>296</v>
      </c>
      <c r="E253" s="173">
        <v>300000</v>
      </c>
      <c r="F253" s="173">
        <f t="shared" si="80"/>
        <v>300000</v>
      </c>
      <c r="I253" s="341"/>
      <c r="J253" s="172">
        <v>1</v>
      </c>
      <c r="K253" s="172" t="s">
        <v>296</v>
      </c>
      <c r="L253" s="173">
        <v>300000</v>
      </c>
      <c r="M253" s="173">
        <f t="shared" si="81"/>
        <v>300000</v>
      </c>
    </row>
    <row r="254" spans="1:15" ht="30" x14ac:dyDescent="0.25">
      <c r="A254" s="170"/>
      <c r="B254" s="176" t="s">
        <v>363</v>
      </c>
      <c r="C254" s="172">
        <v>41</v>
      </c>
      <c r="D254" s="172" t="s">
        <v>296</v>
      </c>
      <c r="E254" s="173">
        <v>300000</v>
      </c>
      <c r="F254" s="173">
        <f t="shared" si="80"/>
        <v>12300000</v>
      </c>
      <c r="I254" s="341"/>
      <c r="J254" s="172">
        <v>41</v>
      </c>
      <c r="K254" s="172" t="s">
        <v>296</v>
      </c>
      <c r="L254" s="173">
        <v>300000</v>
      </c>
      <c r="M254" s="173">
        <f t="shared" si="81"/>
        <v>12300000</v>
      </c>
    </row>
    <row r="255" spans="1:15" x14ac:dyDescent="0.25">
      <c r="A255" s="166" t="s">
        <v>16</v>
      </c>
      <c r="B255" s="166" t="s">
        <v>17</v>
      </c>
      <c r="C255" s="168"/>
      <c r="D255" s="168"/>
      <c r="E255" s="169"/>
      <c r="F255" s="167">
        <f>SUM(F256:F257)</f>
        <v>29600000</v>
      </c>
      <c r="G255" s="183">
        <f>F255</f>
        <v>29600000</v>
      </c>
      <c r="I255" s="341"/>
      <c r="J255" s="168"/>
      <c r="K255" s="168"/>
      <c r="L255" s="169"/>
      <c r="M255" s="167">
        <f>SUM(M256:M257)</f>
        <v>7400000</v>
      </c>
      <c r="N255" s="183">
        <f>M255</f>
        <v>7400000</v>
      </c>
    </row>
    <row r="256" spans="1:15" ht="30" x14ac:dyDescent="0.25">
      <c r="A256" s="170"/>
      <c r="B256" s="171" t="s">
        <v>778</v>
      </c>
      <c r="C256" s="172">
        <v>24</v>
      </c>
      <c r="D256" s="172" t="s">
        <v>297</v>
      </c>
      <c r="E256" s="173">
        <v>1000000</v>
      </c>
      <c r="F256" s="173">
        <f>C256*E256</f>
        <v>24000000</v>
      </c>
      <c r="I256" s="341"/>
      <c r="J256" s="230">
        <v>6</v>
      </c>
      <c r="K256" s="172" t="s">
        <v>297</v>
      </c>
      <c r="L256" s="173">
        <v>1000000</v>
      </c>
      <c r="M256" s="173">
        <f>J256*L256</f>
        <v>6000000</v>
      </c>
    </row>
    <row r="257" spans="1:15" x14ac:dyDescent="0.25">
      <c r="A257" s="170"/>
      <c r="B257" s="171" t="s">
        <v>389</v>
      </c>
      <c r="C257" s="172">
        <v>8</v>
      </c>
      <c r="D257" s="172" t="s">
        <v>347</v>
      </c>
      <c r="E257" s="173">
        <v>700000</v>
      </c>
      <c r="F257" s="173">
        <f t="shared" ref="F257" si="82">C257*E257</f>
        <v>5600000</v>
      </c>
      <c r="I257" s="341"/>
      <c r="J257" s="230">
        <v>2</v>
      </c>
      <c r="K257" s="172" t="s">
        <v>347</v>
      </c>
      <c r="L257" s="173">
        <v>700000</v>
      </c>
      <c r="M257" s="173">
        <f t="shared" ref="M257" si="83">J257*L257</f>
        <v>1400000</v>
      </c>
    </row>
    <row r="258" spans="1:15" x14ac:dyDescent="0.25">
      <c r="A258" s="166" t="s">
        <v>28</v>
      </c>
      <c r="B258" s="166" t="s">
        <v>29</v>
      </c>
      <c r="C258" s="168"/>
      <c r="D258" s="168"/>
      <c r="E258" s="169"/>
      <c r="F258" s="167">
        <f>SUM(F259:F261)</f>
        <v>73190000</v>
      </c>
      <c r="H258" s="183">
        <f>F258</f>
        <v>73190000</v>
      </c>
      <c r="I258" s="341"/>
      <c r="J258" s="168"/>
      <c r="K258" s="168"/>
      <c r="L258" s="169"/>
      <c r="M258" s="167">
        <f>SUM(M259:M261)</f>
        <v>0</v>
      </c>
      <c r="O258" s="183">
        <f>M258</f>
        <v>0</v>
      </c>
    </row>
    <row r="259" spans="1:15" ht="30" x14ac:dyDescent="0.25">
      <c r="A259" s="170"/>
      <c r="B259" s="171" t="s">
        <v>562</v>
      </c>
      <c r="C259" s="172">
        <v>75</v>
      </c>
      <c r="D259" s="172" t="s">
        <v>301</v>
      </c>
      <c r="E259" s="173">
        <v>430000</v>
      </c>
      <c r="F259" s="173">
        <f>C259*E259</f>
        <v>32250000</v>
      </c>
      <c r="I259" s="341"/>
      <c r="J259" s="230">
        <v>0</v>
      </c>
      <c r="K259" s="172" t="s">
        <v>301</v>
      </c>
      <c r="L259" s="173">
        <v>430000</v>
      </c>
      <c r="M259" s="173">
        <f>J259*L259</f>
        <v>0</v>
      </c>
    </row>
    <row r="260" spans="1:15" ht="30" x14ac:dyDescent="0.25">
      <c r="A260" s="170"/>
      <c r="B260" s="171" t="s">
        <v>563</v>
      </c>
      <c r="C260" s="172">
        <v>120</v>
      </c>
      <c r="D260" s="172" t="s">
        <v>296</v>
      </c>
      <c r="E260" s="173">
        <v>284000</v>
      </c>
      <c r="F260" s="173">
        <f t="shared" ref="F260" si="84">C260*E260</f>
        <v>34080000</v>
      </c>
      <c r="I260" s="341"/>
      <c r="J260" s="230">
        <v>0</v>
      </c>
      <c r="K260" s="172" t="s">
        <v>296</v>
      </c>
      <c r="L260" s="173">
        <v>284000</v>
      </c>
      <c r="M260" s="173">
        <f t="shared" ref="M260" si="85">J260*L260</f>
        <v>0</v>
      </c>
    </row>
    <row r="261" spans="1:15" x14ac:dyDescent="0.25">
      <c r="A261" s="170"/>
      <c r="B261" s="171" t="s">
        <v>561</v>
      </c>
      <c r="C261" s="172">
        <v>10</v>
      </c>
      <c r="D261" s="172" t="s">
        <v>296</v>
      </c>
      <c r="E261" s="173">
        <v>686000</v>
      </c>
      <c r="F261" s="173">
        <f>C261*E261</f>
        <v>6860000</v>
      </c>
      <c r="I261" s="341"/>
      <c r="J261" s="230">
        <v>0</v>
      </c>
      <c r="K261" s="172" t="s">
        <v>296</v>
      </c>
      <c r="L261" s="173">
        <v>686000</v>
      </c>
      <c r="M261" s="173">
        <f>J261*L261</f>
        <v>0</v>
      </c>
    </row>
    <row r="262" spans="1:15" x14ac:dyDescent="0.25">
      <c r="A262" s="166" t="s">
        <v>18</v>
      </c>
      <c r="B262" s="166" t="s">
        <v>19</v>
      </c>
      <c r="C262" s="168"/>
      <c r="D262" s="168"/>
      <c r="E262" s="169"/>
      <c r="F262" s="167">
        <f>SUM(F263:F265)</f>
        <v>64700000</v>
      </c>
      <c r="H262" s="183">
        <f>F262</f>
        <v>64700000</v>
      </c>
      <c r="I262" s="341"/>
      <c r="J262" s="168"/>
      <c r="K262" s="168"/>
      <c r="L262" s="169"/>
      <c r="M262" s="167">
        <f>SUM(M263:M265)</f>
        <v>49800000</v>
      </c>
      <c r="O262" s="183">
        <f>M262</f>
        <v>49800000</v>
      </c>
    </row>
    <row r="263" spans="1:15" ht="30" x14ac:dyDescent="0.25">
      <c r="A263" s="170"/>
      <c r="B263" s="171" t="s">
        <v>703</v>
      </c>
      <c r="C263" s="172">
        <v>140</v>
      </c>
      <c r="D263" s="172" t="s">
        <v>301</v>
      </c>
      <c r="E263" s="173">
        <v>210000</v>
      </c>
      <c r="F263" s="173">
        <f>C263*E263</f>
        <v>29400000</v>
      </c>
      <c r="I263" s="341"/>
      <c r="J263" s="172">
        <v>140</v>
      </c>
      <c r="K263" s="172" t="s">
        <v>301</v>
      </c>
      <c r="L263" s="173">
        <v>210000</v>
      </c>
      <c r="M263" s="173">
        <f>J263*L263</f>
        <v>29400000</v>
      </c>
    </row>
    <row r="264" spans="1:15" ht="30" x14ac:dyDescent="0.25">
      <c r="A264" s="170"/>
      <c r="B264" s="171" t="s">
        <v>571</v>
      </c>
      <c r="C264" s="172">
        <v>120</v>
      </c>
      <c r="D264" s="172" t="s">
        <v>296</v>
      </c>
      <c r="E264" s="173">
        <v>170000</v>
      </c>
      <c r="F264" s="173">
        <f>C264*E264</f>
        <v>20400000</v>
      </c>
      <c r="I264" s="341"/>
      <c r="J264" s="172">
        <v>120</v>
      </c>
      <c r="K264" s="172" t="s">
        <v>296</v>
      </c>
      <c r="L264" s="173">
        <v>170000</v>
      </c>
      <c r="M264" s="173">
        <f>J264*L264</f>
        <v>20400000</v>
      </c>
    </row>
    <row r="265" spans="1:15" x14ac:dyDescent="0.25">
      <c r="A265" s="170"/>
      <c r="B265" s="171" t="s">
        <v>566</v>
      </c>
      <c r="C265" s="172">
        <v>20</v>
      </c>
      <c r="D265" s="172" t="s">
        <v>296</v>
      </c>
      <c r="E265" s="173">
        <f>730000+15000</f>
        <v>745000</v>
      </c>
      <c r="F265" s="173">
        <f>C265*E265</f>
        <v>14900000</v>
      </c>
      <c r="I265" s="341"/>
      <c r="J265" s="230">
        <v>0</v>
      </c>
      <c r="K265" s="172" t="s">
        <v>296</v>
      </c>
      <c r="L265" s="173">
        <f>730000+15000</f>
        <v>745000</v>
      </c>
      <c r="M265" s="173">
        <f>J265*L265</f>
        <v>0</v>
      </c>
    </row>
    <row r="266" spans="1:15" x14ac:dyDescent="0.25">
      <c r="A266" s="162" t="s">
        <v>32</v>
      </c>
      <c r="B266" s="162" t="s">
        <v>64</v>
      </c>
      <c r="C266" s="163"/>
      <c r="D266" s="163"/>
      <c r="E266" s="164"/>
      <c r="F266" s="165">
        <f>F267+F271+F274</f>
        <v>88620000</v>
      </c>
      <c r="I266" s="342">
        <f>F266-M266</f>
        <v>0</v>
      </c>
      <c r="J266" s="163"/>
      <c r="K266" s="163"/>
      <c r="L266" s="164"/>
      <c r="M266" s="165">
        <f>M267+M271+M274</f>
        <v>88620000</v>
      </c>
    </row>
    <row r="267" spans="1:15" x14ac:dyDescent="0.25">
      <c r="A267" s="166" t="s">
        <v>22</v>
      </c>
      <c r="B267" s="166" t="s">
        <v>23</v>
      </c>
      <c r="C267" s="168"/>
      <c r="D267" s="168"/>
      <c r="E267" s="169"/>
      <c r="F267" s="167">
        <f>SUM(F268:F270)</f>
        <v>22980000</v>
      </c>
      <c r="G267" s="183">
        <f>F267</f>
        <v>22980000</v>
      </c>
      <c r="I267" s="341"/>
      <c r="J267" s="168"/>
      <c r="K267" s="168"/>
      <c r="L267" s="169"/>
      <c r="M267" s="167">
        <f>SUM(M268:M270)</f>
        <v>22980000</v>
      </c>
      <c r="N267" s="183">
        <f>M267</f>
        <v>22980000</v>
      </c>
    </row>
    <row r="268" spans="1:15" x14ac:dyDescent="0.25">
      <c r="A268" s="170"/>
      <c r="B268" s="171" t="s">
        <v>727</v>
      </c>
      <c r="C268" s="172">
        <v>280</v>
      </c>
      <c r="D268" s="172" t="s">
        <v>296</v>
      </c>
      <c r="E268" s="173">
        <v>57000</v>
      </c>
      <c r="F268" s="173">
        <f>C268*E268</f>
        <v>15960000</v>
      </c>
      <c r="I268" s="341"/>
      <c r="J268" s="172">
        <v>280</v>
      </c>
      <c r="K268" s="172" t="s">
        <v>296</v>
      </c>
      <c r="L268" s="173">
        <v>57000</v>
      </c>
      <c r="M268" s="173">
        <f>J268*L268</f>
        <v>15960000</v>
      </c>
    </row>
    <row r="269" spans="1:15" x14ac:dyDescent="0.25">
      <c r="A269" s="170"/>
      <c r="B269" s="171" t="s">
        <v>728</v>
      </c>
      <c r="C269" s="172">
        <v>280</v>
      </c>
      <c r="D269" s="172" t="s">
        <v>296</v>
      </c>
      <c r="E269" s="173">
        <v>24000</v>
      </c>
      <c r="F269" s="173">
        <f>C269*E269</f>
        <v>6720000</v>
      </c>
      <c r="I269" s="341"/>
      <c r="J269" s="172">
        <v>280</v>
      </c>
      <c r="K269" s="172" t="s">
        <v>296</v>
      </c>
      <c r="L269" s="173">
        <v>24000</v>
      </c>
      <c r="M269" s="173">
        <f>J269*L269</f>
        <v>6720000</v>
      </c>
    </row>
    <row r="270" spans="1:15" x14ac:dyDescent="0.25">
      <c r="A270" s="170"/>
      <c r="B270" s="178" t="s">
        <v>394</v>
      </c>
      <c r="C270" s="172">
        <v>1</v>
      </c>
      <c r="D270" s="172" t="s">
        <v>303</v>
      </c>
      <c r="E270" s="173">
        <v>300000</v>
      </c>
      <c r="F270" s="173">
        <f>C270*E270</f>
        <v>300000</v>
      </c>
      <c r="I270" s="341"/>
      <c r="J270" s="172">
        <v>1</v>
      </c>
      <c r="K270" s="172" t="s">
        <v>303</v>
      </c>
      <c r="L270" s="173">
        <v>300000</v>
      </c>
      <c r="M270" s="173">
        <f>J270*L270</f>
        <v>300000</v>
      </c>
    </row>
    <row r="271" spans="1:15" x14ac:dyDescent="0.25">
      <c r="A271" s="166" t="s">
        <v>28</v>
      </c>
      <c r="B271" s="166" t="s">
        <v>29</v>
      </c>
      <c r="C271" s="168"/>
      <c r="D271" s="168"/>
      <c r="E271" s="169"/>
      <c r="F271" s="167">
        <f>SUM(F272:F273)</f>
        <v>42840000</v>
      </c>
      <c r="H271" s="183">
        <f>F271</f>
        <v>42840000</v>
      </c>
      <c r="I271" s="341"/>
      <c r="J271" s="168"/>
      <c r="K271" s="168"/>
      <c r="L271" s="169"/>
      <c r="M271" s="167">
        <f>SUM(M272:M273)</f>
        <v>42840000</v>
      </c>
      <c r="O271" s="183">
        <f>M271</f>
        <v>42840000</v>
      </c>
    </row>
    <row r="272" spans="1:15" ht="30" x14ac:dyDescent="0.25">
      <c r="A272" s="170"/>
      <c r="B272" s="171" t="s">
        <v>704</v>
      </c>
      <c r="C272" s="172">
        <v>60</v>
      </c>
      <c r="D272" s="172" t="s">
        <v>301</v>
      </c>
      <c r="E272" s="173">
        <v>430000</v>
      </c>
      <c r="F272" s="173">
        <f>C272*E272</f>
        <v>25800000</v>
      </c>
      <c r="I272" s="341"/>
      <c r="J272" s="172">
        <v>60</v>
      </c>
      <c r="K272" s="172" t="s">
        <v>301</v>
      </c>
      <c r="L272" s="173">
        <v>430000</v>
      </c>
      <c r="M272" s="173">
        <f>J272*L272</f>
        <v>25800000</v>
      </c>
    </row>
    <row r="273" spans="1:15" ht="30" x14ac:dyDescent="0.25">
      <c r="A273" s="170"/>
      <c r="B273" s="171" t="s">
        <v>556</v>
      </c>
      <c r="C273" s="172">
        <v>60</v>
      </c>
      <c r="D273" s="172" t="s">
        <v>296</v>
      </c>
      <c r="E273" s="173">
        <v>284000</v>
      </c>
      <c r="F273" s="173">
        <f t="shared" ref="F273" si="86">C273*E273</f>
        <v>17040000</v>
      </c>
      <c r="I273" s="341"/>
      <c r="J273" s="172">
        <v>60</v>
      </c>
      <c r="K273" s="172" t="s">
        <v>296</v>
      </c>
      <c r="L273" s="173">
        <v>284000</v>
      </c>
      <c r="M273" s="173">
        <f t="shared" ref="M273" si="87">J273*L273</f>
        <v>17040000</v>
      </c>
    </row>
    <row r="274" spans="1:15" x14ac:dyDescent="0.25">
      <c r="A274" s="166" t="s">
        <v>18</v>
      </c>
      <c r="B274" s="166" t="s">
        <v>19</v>
      </c>
      <c r="C274" s="168"/>
      <c r="D274" s="168"/>
      <c r="E274" s="169"/>
      <c r="F274" s="167">
        <f>SUM(F275:F276)</f>
        <v>22800000</v>
      </c>
      <c r="H274" s="183">
        <f>F274</f>
        <v>22800000</v>
      </c>
      <c r="I274" s="341"/>
      <c r="J274" s="168"/>
      <c r="K274" s="168"/>
      <c r="L274" s="169"/>
      <c r="M274" s="167">
        <f>SUM(M275:M276)</f>
        <v>22800000</v>
      </c>
      <c r="O274" s="183">
        <f>M274</f>
        <v>22800000</v>
      </c>
    </row>
    <row r="275" spans="1:15" ht="30" x14ac:dyDescent="0.25">
      <c r="A275" s="170"/>
      <c r="B275" s="171" t="s">
        <v>409</v>
      </c>
      <c r="C275" s="172">
        <v>60</v>
      </c>
      <c r="D275" s="172" t="s">
        <v>301</v>
      </c>
      <c r="E275" s="173">
        <v>210000</v>
      </c>
      <c r="F275" s="173">
        <f>C275*E275</f>
        <v>12600000</v>
      </c>
      <c r="I275" s="341"/>
      <c r="J275" s="172">
        <v>60</v>
      </c>
      <c r="K275" s="172" t="s">
        <v>301</v>
      </c>
      <c r="L275" s="173">
        <v>210000</v>
      </c>
      <c r="M275" s="173">
        <f>J275*L275</f>
        <v>12600000</v>
      </c>
    </row>
    <row r="276" spans="1:15" ht="30" x14ac:dyDescent="0.25">
      <c r="A276" s="170"/>
      <c r="B276" s="171" t="s">
        <v>410</v>
      </c>
      <c r="C276" s="172">
        <v>60</v>
      </c>
      <c r="D276" s="172" t="s">
        <v>296</v>
      </c>
      <c r="E276" s="173">
        <v>170000</v>
      </c>
      <c r="F276" s="173">
        <f>C276*E276</f>
        <v>10200000</v>
      </c>
      <c r="I276" s="341"/>
      <c r="J276" s="172">
        <v>60</v>
      </c>
      <c r="K276" s="172" t="s">
        <v>296</v>
      </c>
      <c r="L276" s="173">
        <v>170000</v>
      </c>
      <c r="M276" s="173">
        <f>J276*L276</f>
        <v>10200000</v>
      </c>
    </row>
    <row r="277" spans="1:15" x14ac:dyDescent="0.25">
      <c r="A277" s="179" t="s">
        <v>661</v>
      </c>
      <c r="B277" s="179" t="s">
        <v>66</v>
      </c>
      <c r="C277" s="151" t="s">
        <v>708</v>
      </c>
      <c r="D277" s="151" t="s">
        <v>306</v>
      </c>
      <c r="E277" s="152"/>
      <c r="F277" s="153">
        <f>F279</f>
        <v>407858073000</v>
      </c>
      <c r="I277" s="341"/>
      <c r="J277" s="151" t="s">
        <v>708</v>
      </c>
      <c r="K277" s="151" t="s">
        <v>306</v>
      </c>
      <c r="L277" s="152"/>
      <c r="M277" s="153">
        <f>M279</f>
        <v>407858073000</v>
      </c>
    </row>
    <row r="278" spans="1:15" x14ac:dyDescent="0.25">
      <c r="A278" s="170"/>
      <c r="B278" s="180" t="s">
        <v>68</v>
      </c>
      <c r="C278" s="172"/>
      <c r="D278" s="172"/>
      <c r="E278" s="170"/>
      <c r="F278" s="170"/>
      <c r="I278" s="341"/>
      <c r="J278" s="172"/>
      <c r="K278" s="172"/>
      <c r="L278" s="170"/>
      <c r="M278" s="170"/>
    </row>
    <row r="279" spans="1:15" x14ac:dyDescent="0.25">
      <c r="A279" s="154" t="s">
        <v>662</v>
      </c>
      <c r="B279" s="154" t="s">
        <v>70</v>
      </c>
      <c r="C279" s="155" t="s">
        <v>708</v>
      </c>
      <c r="D279" s="155" t="s">
        <v>306</v>
      </c>
      <c r="E279" s="156"/>
      <c r="F279" s="157">
        <f t="shared" ref="F279:F281" si="88">F280</f>
        <v>407858073000</v>
      </c>
      <c r="I279" s="341"/>
      <c r="J279" s="155" t="s">
        <v>708</v>
      </c>
      <c r="K279" s="155" t="s">
        <v>306</v>
      </c>
      <c r="L279" s="156"/>
      <c r="M279" s="157">
        <f t="shared" ref="M279:M281" si="89">M280</f>
        <v>407858073000</v>
      </c>
    </row>
    <row r="280" spans="1:15" x14ac:dyDescent="0.25">
      <c r="A280" s="158" t="s">
        <v>71</v>
      </c>
      <c r="B280" s="158" t="s">
        <v>72</v>
      </c>
      <c r="C280" s="159" t="s">
        <v>11</v>
      </c>
      <c r="D280" s="159"/>
      <c r="E280" s="160"/>
      <c r="F280" s="161">
        <f t="shared" si="88"/>
        <v>407858073000</v>
      </c>
      <c r="I280" s="341"/>
      <c r="J280" s="159" t="s">
        <v>11</v>
      </c>
      <c r="K280" s="159"/>
      <c r="L280" s="160"/>
      <c r="M280" s="161">
        <f t="shared" si="89"/>
        <v>407858073000</v>
      </c>
    </row>
    <row r="281" spans="1:15" x14ac:dyDescent="0.25">
      <c r="A281" s="162" t="s">
        <v>12</v>
      </c>
      <c r="B281" s="162" t="s">
        <v>73</v>
      </c>
      <c r="C281" s="163"/>
      <c r="D281" s="163"/>
      <c r="E281" s="164"/>
      <c r="F281" s="165">
        <f t="shared" si="88"/>
        <v>407858073000</v>
      </c>
      <c r="I281" s="342">
        <f>F281-M281</f>
        <v>0</v>
      </c>
      <c r="J281" s="163"/>
      <c r="K281" s="163"/>
      <c r="L281" s="164"/>
      <c r="M281" s="165">
        <f t="shared" si="89"/>
        <v>407858073000</v>
      </c>
    </row>
    <row r="282" spans="1:15" x14ac:dyDescent="0.25">
      <c r="A282" s="166" t="s">
        <v>74</v>
      </c>
      <c r="B282" s="166" t="s">
        <v>75</v>
      </c>
      <c r="C282" s="168"/>
      <c r="D282" s="168"/>
      <c r="E282" s="169"/>
      <c r="F282" s="167">
        <f>SUM(F283:F319)</f>
        <v>407858073000</v>
      </c>
      <c r="I282" s="341"/>
      <c r="J282" s="168"/>
      <c r="K282" s="168"/>
      <c r="L282" s="169"/>
      <c r="M282" s="167">
        <f>SUM(M283:M319)</f>
        <v>407858073000</v>
      </c>
    </row>
    <row r="283" spans="1:15" x14ac:dyDescent="0.25">
      <c r="A283" s="170"/>
      <c r="B283" s="171" t="s">
        <v>573</v>
      </c>
      <c r="C283" s="172">
        <v>4200</v>
      </c>
      <c r="D283" s="172" t="s">
        <v>299</v>
      </c>
      <c r="E283" s="173">
        <v>3200000</v>
      </c>
      <c r="F283" s="173">
        <f t="shared" ref="F283:F319" si="90">C283*E283</f>
        <v>13440000000</v>
      </c>
      <c r="I283" s="341"/>
      <c r="J283" s="172">
        <v>4200</v>
      </c>
      <c r="K283" s="172" t="s">
        <v>299</v>
      </c>
      <c r="L283" s="173">
        <v>3200000</v>
      </c>
      <c r="M283" s="173">
        <f t="shared" ref="M283:M319" si="91">J283*L283</f>
        <v>13440000000</v>
      </c>
    </row>
    <row r="284" spans="1:15" x14ac:dyDescent="0.25">
      <c r="A284" s="170"/>
      <c r="B284" s="177" t="s">
        <v>174</v>
      </c>
      <c r="C284" s="172">
        <v>4488</v>
      </c>
      <c r="D284" s="172" t="s">
        <v>299</v>
      </c>
      <c r="E284" s="173">
        <v>3200000</v>
      </c>
      <c r="F284" s="173">
        <f t="shared" si="90"/>
        <v>14361600000</v>
      </c>
      <c r="I284" s="341"/>
      <c r="J284" s="172">
        <v>4488</v>
      </c>
      <c r="K284" s="172" t="s">
        <v>299</v>
      </c>
      <c r="L284" s="173">
        <v>3200000</v>
      </c>
      <c r="M284" s="173">
        <f t="shared" si="91"/>
        <v>14361600000</v>
      </c>
    </row>
    <row r="285" spans="1:15" x14ac:dyDescent="0.25">
      <c r="A285" s="170"/>
      <c r="B285" s="171" t="s">
        <v>635</v>
      </c>
      <c r="C285" s="172">
        <v>8964</v>
      </c>
      <c r="D285" s="172" t="s">
        <v>299</v>
      </c>
      <c r="E285" s="173">
        <v>3100000</v>
      </c>
      <c r="F285" s="173">
        <f t="shared" si="90"/>
        <v>27788400000</v>
      </c>
      <c r="I285" s="341"/>
      <c r="J285" s="172">
        <v>8964</v>
      </c>
      <c r="K285" s="172" t="s">
        <v>299</v>
      </c>
      <c r="L285" s="173">
        <v>3100000</v>
      </c>
      <c r="M285" s="173">
        <f t="shared" si="91"/>
        <v>27788400000</v>
      </c>
    </row>
    <row r="286" spans="1:15" x14ac:dyDescent="0.25">
      <c r="A286" s="170"/>
      <c r="B286" s="177" t="s">
        <v>176</v>
      </c>
      <c r="C286" s="172">
        <v>8964</v>
      </c>
      <c r="D286" s="172" t="s">
        <v>299</v>
      </c>
      <c r="E286" s="173">
        <v>3200000</v>
      </c>
      <c r="F286" s="173">
        <f t="shared" si="90"/>
        <v>28684800000</v>
      </c>
      <c r="I286" s="341"/>
      <c r="J286" s="172">
        <v>8964</v>
      </c>
      <c r="K286" s="172" t="s">
        <v>299</v>
      </c>
      <c r="L286" s="173">
        <v>3200000</v>
      </c>
      <c r="M286" s="173">
        <f t="shared" si="91"/>
        <v>28684800000</v>
      </c>
    </row>
    <row r="287" spans="1:15" x14ac:dyDescent="0.25">
      <c r="A287" s="170"/>
      <c r="B287" s="171" t="s">
        <v>574</v>
      </c>
      <c r="C287" s="172">
        <v>6600</v>
      </c>
      <c r="D287" s="172" t="s">
        <v>299</v>
      </c>
      <c r="E287" s="173">
        <v>3400000</v>
      </c>
      <c r="F287" s="173">
        <f t="shared" si="90"/>
        <v>22440000000</v>
      </c>
      <c r="I287" s="341"/>
      <c r="J287" s="172">
        <v>6600</v>
      </c>
      <c r="K287" s="172" t="s">
        <v>299</v>
      </c>
      <c r="L287" s="173">
        <v>3400000</v>
      </c>
      <c r="M287" s="173">
        <f t="shared" si="91"/>
        <v>22440000000</v>
      </c>
    </row>
    <row r="288" spans="1:15" x14ac:dyDescent="0.25">
      <c r="A288" s="170"/>
      <c r="B288" s="177" t="s">
        <v>178</v>
      </c>
      <c r="C288" s="172">
        <v>6048</v>
      </c>
      <c r="D288" s="172" t="s">
        <v>299</v>
      </c>
      <c r="E288" s="173">
        <v>3500000</v>
      </c>
      <c r="F288" s="173">
        <f t="shared" si="90"/>
        <v>21168000000</v>
      </c>
      <c r="I288" s="341"/>
      <c r="J288" s="172">
        <v>6048</v>
      </c>
      <c r="K288" s="172" t="s">
        <v>299</v>
      </c>
      <c r="L288" s="173">
        <v>3500000</v>
      </c>
      <c r="M288" s="173">
        <f t="shared" si="91"/>
        <v>21168000000</v>
      </c>
    </row>
    <row r="289" spans="1:13" x14ac:dyDescent="0.25">
      <c r="A289" s="170"/>
      <c r="B289" s="171" t="s">
        <v>636</v>
      </c>
      <c r="C289" s="172">
        <v>7404</v>
      </c>
      <c r="D289" s="172" t="s">
        <v>299</v>
      </c>
      <c r="E289" s="173">
        <v>3500000</v>
      </c>
      <c r="F289" s="173">
        <f t="shared" si="90"/>
        <v>25914000000</v>
      </c>
      <c r="I289" s="341"/>
      <c r="J289" s="172">
        <v>7404</v>
      </c>
      <c r="K289" s="172" t="s">
        <v>299</v>
      </c>
      <c r="L289" s="173">
        <v>3500000</v>
      </c>
      <c r="M289" s="173">
        <f t="shared" si="91"/>
        <v>25914000000</v>
      </c>
    </row>
    <row r="290" spans="1:13" x14ac:dyDescent="0.25">
      <c r="A290" s="170"/>
      <c r="B290" s="177" t="s">
        <v>180</v>
      </c>
      <c r="C290" s="172">
        <v>7404</v>
      </c>
      <c r="D290" s="172" t="s">
        <v>299</v>
      </c>
      <c r="E290" s="173">
        <v>3500000</v>
      </c>
      <c r="F290" s="173">
        <f t="shared" si="90"/>
        <v>25914000000</v>
      </c>
      <c r="I290" s="341"/>
      <c r="J290" s="172">
        <v>7404</v>
      </c>
      <c r="K290" s="172" t="s">
        <v>299</v>
      </c>
      <c r="L290" s="173">
        <v>3500000</v>
      </c>
      <c r="M290" s="173">
        <f t="shared" si="91"/>
        <v>25914000000</v>
      </c>
    </row>
    <row r="291" spans="1:13" x14ac:dyDescent="0.25">
      <c r="A291" s="170"/>
      <c r="B291" s="177" t="s">
        <v>181</v>
      </c>
      <c r="C291" s="172">
        <v>6420</v>
      </c>
      <c r="D291" s="172" t="s">
        <v>299</v>
      </c>
      <c r="E291" s="173">
        <v>3500000</v>
      </c>
      <c r="F291" s="173">
        <f t="shared" si="90"/>
        <v>22470000000</v>
      </c>
      <c r="I291" s="341"/>
      <c r="J291" s="172">
        <v>6420</v>
      </c>
      <c r="K291" s="172" t="s">
        <v>299</v>
      </c>
      <c r="L291" s="173">
        <v>3500000</v>
      </c>
      <c r="M291" s="173">
        <f t="shared" si="91"/>
        <v>22470000000</v>
      </c>
    </row>
    <row r="292" spans="1:13" x14ac:dyDescent="0.25">
      <c r="A292" s="170"/>
      <c r="B292" s="171" t="s">
        <v>575</v>
      </c>
      <c r="C292" s="172">
        <v>9972</v>
      </c>
      <c r="D292" s="172" t="s">
        <v>299</v>
      </c>
      <c r="E292" s="173">
        <v>3500000</v>
      </c>
      <c r="F292" s="173">
        <f t="shared" si="90"/>
        <v>34902000000</v>
      </c>
      <c r="I292" s="341"/>
      <c r="J292" s="172">
        <v>9972</v>
      </c>
      <c r="K292" s="172" t="s">
        <v>299</v>
      </c>
      <c r="L292" s="173">
        <v>3500000</v>
      </c>
      <c r="M292" s="173">
        <f t="shared" si="91"/>
        <v>34902000000</v>
      </c>
    </row>
    <row r="293" spans="1:13" x14ac:dyDescent="0.25">
      <c r="A293" s="170"/>
      <c r="B293" s="171" t="s">
        <v>637</v>
      </c>
      <c r="C293" s="172">
        <v>11064</v>
      </c>
      <c r="D293" s="172" t="s">
        <v>299</v>
      </c>
      <c r="E293" s="173">
        <v>3500000</v>
      </c>
      <c r="F293" s="173">
        <f t="shared" si="90"/>
        <v>38724000000</v>
      </c>
      <c r="I293" s="341"/>
      <c r="J293" s="172">
        <v>11064</v>
      </c>
      <c r="K293" s="172" t="s">
        <v>299</v>
      </c>
      <c r="L293" s="173">
        <v>3500000</v>
      </c>
      <c r="M293" s="173">
        <f t="shared" si="91"/>
        <v>38724000000</v>
      </c>
    </row>
    <row r="294" spans="1:13" x14ac:dyDescent="0.25">
      <c r="A294" s="170"/>
      <c r="B294" s="177" t="s">
        <v>184</v>
      </c>
      <c r="C294" s="172">
        <v>11064</v>
      </c>
      <c r="D294" s="172" t="s">
        <v>299</v>
      </c>
      <c r="E294" s="173">
        <v>3500000</v>
      </c>
      <c r="F294" s="173">
        <f t="shared" si="90"/>
        <v>38724000000</v>
      </c>
      <c r="I294" s="341"/>
      <c r="J294" s="172">
        <v>11064</v>
      </c>
      <c r="K294" s="172" t="s">
        <v>299</v>
      </c>
      <c r="L294" s="173">
        <v>3500000</v>
      </c>
      <c r="M294" s="173">
        <f t="shared" si="91"/>
        <v>38724000000</v>
      </c>
    </row>
    <row r="295" spans="1:13" x14ac:dyDescent="0.25">
      <c r="A295" s="170"/>
      <c r="B295" s="177" t="s">
        <v>185</v>
      </c>
      <c r="C295" s="172">
        <v>8544</v>
      </c>
      <c r="D295" s="172" t="s">
        <v>299</v>
      </c>
      <c r="E295" s="173">
        <v>3350000</v>
      </c>
      <c r="F295" s="173">
        <f t="shared" si="90"/>
        <v>28622400000</v>
      </c>
      <c r="I295" s="341"/>
      <c r="J295" s="172">
        <v>8544</v>
      </c>
      <c r="K295" s="172" t="s">
        <v>299</v>
      </c>
      <c r="L295" s="173">
        <v>3350000</v>
      </c>
      <c r="M295" s="173">
        <f t="shared" si="91"/>
        <v>28622400000</v>
      </c>
    </row>
    <row r="296" spans="1:13" x14ac:dyDescent="0.25">
      <c r="A296" s="170"/>
      <c r="B296" s="171" t="s">
        <v>186</v>
      </c>
      <c r="C296" s="172">
        <v>5796</v>
      </c>
      <c r="D296" s="172" t="s">
        <v>299</v>
      </c>
      <c r="E296" s="173">
        <v>3200000</v>
      </c>
      <c r="F296" s="173">
        <f t="shared" si="90"/>
        <v>18547200000</v>
      </c>
      <c r="I296" s="341"/>
      <c r="J296" s="172">
        <v>5796</v>
      </c>
      <c r="K296" s="172" t="s">
        <v>299</v>
      </c>
      <c r="L296" s="173">
        <v>3200000</v>
      </c>
      <c r="M296" s="173">
        <f t="shared" si="91"/>
        <v>18547200000</v>
      </c>
    </row>
    <row r="297" spans="1:13" x14ac:dyDescent="0.25">
      <c r="A297" s="170"/>
      <c r="B297" s="171" t="s">
        <v>187</v>
      </c>
      <c r="C297" s="172">
        <v>2088</v>
      </c>
      <c r="D297" s="172" t="s">
        <v>299</v>
      </c>
      <c r="E297" s="173">
        <v>4078000</v>
      </c>
      <c r="F297" s="173">
        <f t="shared" si="90"/>
        <v>8514864000</v>
      </c>
      <c r="I297" s="341"/>
      <c r="J297" s="172">
        <v>2088</v>
      </c>
      <c r="K297" s="172" t="s">
        <v>299</v>
      </c>
      <c r="L297" s="173">
        <v>4078000</v>
      </c>
      <c r="M297" s="173">
        <f t="shared" si="91"/>
        <v>8514864000</v>
      </c>
    </row>
    <row r="298" spans="1:13" x14ac:dyDescent="0.25">
      <c r="A298" s="170"/>
      <c r="B298" s="171" t="s">
        <v>188</v>
      </c>
      <c r="C298" s="172">
        <v>2088</v>
      </c>
      <c r="D298" s="172" t="s">
        <v>299</v>
      </c>
      <c r="E298" s="173">
        <v>4150000</v>
      </c>
      <c r="F298" s="173">
        <f t="shared" si="90"/>
        <v>8665200000</v>
      </c>
      <c r="I298" s="341"/>
      <c r="J298" s="172">
        <v>2088</v>
      </c>
      <c r="K298" s="172" t="s">
        <v>299</v>
      </c>
      <c r="L298" s="173">
        <v>4150000</v>
      </c>
      <c r="M298" s="173">
        <f t="shared" si="91"/>
        <v>8665200000</v>
      </c>
    </row>
    <row r="299" spans="1:13" x14ac:dyDescent="0.25">
      <c r="A299" s="170"/>
      <c r="B299" s="171" t="s">
        <v>634</v>
      </c>
      <c r="C299" s="172">
        <v>2088</v>
      </c>
      <c r="D299" s="172" t="s">
        <v>299</v>
      </c>
      <c r="E299" s="173">
        <v>4150000</v>
      </c>
      <c r="F299" s="173">
        <f t="shared" si="90"/>
        <v>8665200000</v>
      </c>
      <c r="I299" s="341"/>
      <c r="J299" s="172">
        <v>2088</v>
      </c>
      <c r="K299" s="172" t="s">
        <v>299</v>
      </c>
      <c r="L299" s="173">
        <v>4150000</v>
      </c>
      <c r="M299" s="173">
        <f t="shared" si="91"/>
        <v>8665200000</v>
      </c>
    </row>
    <row r="300" spans="1:13" ht="30" x14ac:dyDescent="0.25">
      <c r="A300" s="170"/>
      <c r="B300" s="171" t="s">
        <v>189</v>
      </c>
      <c r="C300" s="172">
        <v>1020</v>
      </c>
      <c r="D300" s="172" t="s">
        <v>299</v>
      </c>
      <c r="E300" s="173">
        <v>3902000</v>
      </c>
      <c r="F300" s="173">
        <f t="shared" si="90"/>
        <v>3980040000</v>
      </c>
      <c r="I300" s="341"/>
      <c r="J300" s="172">
        <v>1020</v>
      </c>
      <c r="K300" s="172" t="s">
        <v>299</v>
      </c>
      <c r="L300" s="173">
        <v>3902000</v>
      </c>
      <c r="M300" s="173">
        <f t="shared" si="91"/>
        <v>3980040000</v>
      </c>
    </row>
    <row r="301" spans="1:13" ht="30" x14ac:dyDescent="0.25">
      <c r="A301" s="170"/>
      <c r="B301" s="177" t="s">
        <v>190</v>
      </c>
      <c r="C301" s="172">
        <v>156</v>
      </c>
      <c r="D301" s="172" t="s">
        <v>299</v>
      </c>
      <c r="E301" s="173">
        <v>4200000</v>
      </c>
      <c r="F301" s="173">
        <f t="shared" si="90"/>
        <v>655200000</v>
      </c>
      <c r="I301" s="341"/>
      <c r="J301" s="172">
        <v>156</v>
      </c>
      <c r="K301" s="172" t="s">
        <v>299</v>
      </c>
      <c r="L301" s="173">
        <v>4200000</v>
      </c>
      <c r="M301" s="173">
        <f t="shared" si="91"/>
        <v>655200000</v>
      </c>
    </row>
    <row r="302" spans="1:13" ht="30" x14ac:dyDescent="0.25">
      <c r="A302" s="170"/>
      <c r="B302" s="177" t="s">
        <v>191</v>
      </c>
      <c r="C302" s="172">
        <v>144</v>
      </c>
      <c r="D302" s="172" t="s">
        <v>299</v>
      </c>
      <c r="E302" s="173">
        <v>3860000</v>
      </c>
      <c r="F302" s="173">
        <f t="shared" si="90"/>
        <v>555840000</v>
      </c>
      <c r="I302" s="341"/>
      <c r="J302" s="172">
        <v>144</v>
      </c>
      <c r="K302" s="172" t="s">
        <v>299</v>
      </c>
      <c r="L302" s="173">
        <v>3860000</v>
      </c>
      <c r="M302" s="173">
        <f t="shared" si="91"/>
        <v>555840000</v>
      </c>
    </row>
    <row r="303" spans="1:13" ht="30" x14ac:dyDescent="0.25">
      <c r="A303" s="170"/>
      <c r="B303" s="177" t="s">
        <v>192</v>
      </c>
      <c r="C303" s="172">
        <v>216</v>
      </c>
      <c r="D303" s="172" t="s">
        <v>299</v>
      </c>
      <c r="E303" s="173">
        <v>3800000</v>
      </c>
      <c r="F303" s="173">
        <f t="shared" si="90"/>
        <v>820800000</v>
      </c>
      <c r="I303" s="341"/>
      <c r="J303" s="172">
        <v>216</v>
      </c>
      <c r="K303" s="172" t="s">
        <v>299</v>
      </c>
      <c r="L303" s="173">
        <v>3800000</v>
      </c>
      <c r="M303" s="173">
        <f t="shared" si="91"/>
        <v>820800000</v>
      </c>
    </row>
    <row r="304" spans="1:13" ht="30" x14ac:dyDescent="0.25">
      <c r="A304" s="170"/>
      <c r="B304" s="177" t="s">
        <v>193</v>
      </c>
      <c r="C304" s="172">
        <v>24</v>
      </c>
      <c r="D304" s="172" t="s">
        <v>299</v>
      </c>
      <c r="E304" s="173">
        <v>3450000</v>
      </c>
      <c r="F304" s="173">
        <f t="shared" si="90"/>
        <v>82800000</v>
      </c>
      <c r="I304" s="341"/>
      <c r="J304" s="172">
        <v>24</v>
      </c>
      <c r="K304" s="172" t="s">
        <v>299</v>
      </c>
      <c r="L304" s="173">
        <v>3450000</v>
      </c>
      <c r="M304" s="173">
        <f t="shared" si="91"/>
        <v>82800000</v>
      </c>
    </row>
    <row r="305" spans="1:13" ht="30" x14ac:dyDescent="0.25">
      <c r="A305" s="170"/>
      <c r="B305" s="177" t="s">
        <v>194</v>
      </c>
      <c r="C305" s="172">
        <v>36</v>
      </c>
      <c r="D305" s="172" t="s">
        <v>299</v>
      </c>
      <c r="E305" s="173">
        <v>3400000</v>
      </c>
      <c r="F305" s="173">
        <f t="shared" si="90"/>
        <v>122400000</v>
      </c>
      <c r="I305" s="341"/>
      <c r="J305" s="172">
        <v>36</v>
      </c>
      <c r="K305" s="172" t="s">
        <v>299</v>
      </c>
      <c r="L305" s="173">
        <v>3400000</v>
      </c>
      <c r="M305" s="173">
        <f t="shared" si="91"/>
        <v>122400000</v>
      </c>
    </row>
    <row r="306" spans="1:13" ht="30" x14ac:dyDescent="0.25">
      <c r="A306" s="170"/>
      <c r="B306" s="177" t="s">
        <v>195</v>
      </c>
      <c r="C306" s="172">
        <v>48</v>
      </c>
      <c r="D306" s="172" t="s">
        <v>299</v>
      </c>
      <c r="E306" s="173">
        <v>4300000</v>
      </c>
      <c r="F306" s="173">
        <f t="shared" si="90"/>
        <v>206400000</v>
      </c>
      <c r="I306" s="341"/>
      <c r="J306" s="172">
        <v>48</v>
      </c>
      <c r="K306" s="172" t="s">
        <v>299</v>
      </c>
      <c r="L306" s="173">
        <v>4300000</v>
      </c>
      <c r="M306" s="173">
        <f t="shared" si="91"/>
        <v>206400000</v>
      </c>
    </row>
    <row r="307" spans="1:13" ht="30" x14ac:dyDescent="0.25">
      <c r="A307" s="170"/>
      <c r="B307" s="177" t="s">
        <v>196</v>
      </c>
      <c r="C307" s="172">
        <v>48</v>
      </c>
      <c r="D307" s="172" t="s">
        <v>299</v>
      </c>
      <c r="E307" s="173">
        <v>3921000</v>
      </c>
      <c r="F307" s="173">
        <f t="shared" si="90"/>
        <v>188208000</v>
      </c>
      <c r="I307" s="341"/>
      <c r="J307" s="172">
        <v>48</v>
      </c>
      <c r="K307" s="172" t="s">
        <v>299</v>
      </c>
      <c r="L307" s="173">
        <v>3921000</v>
      </c>
      <c r="M307" s="173">
        <f t="shared" si="91"/>
        <v>188208000</v>
      </c>
    </row>
    <row r="308" spans="1:13" ht="30" x14ac:dyDescent="0.25">
      <c r="A308" s="170"/>
      <c r="B308" s="177" t="s">
        <v>197</v>
      </c>
      <c r="C308" s="172">
        <v>36</v>
      </c>
      <c r="D308" s="172" t="s">
        <v>299</v>
      </c>
      <c r="E308" s="173">
        <v>3500000</v>
      </c>
      <c r="F308" s="173">
        <f t="shared" si="90"/>
        <v>126000000</v>
      </c>
      <c r="I308" s="341"/>
      <c r="J308" s="172">
        <v>36</v>
      </c>
      <c r="K308" s="172" t="s">
        <v>299</v>
      </c>
      <c r="L308" s="173">
        <v>3500000</v>
      </c>
      <c r="M308" s="173">
        <f t="shared" si="91"/>
        <v>126000000</v>
      </c>
    </row>
    <row r="309" spans="1:13" ht="30" x14ac:dyDescent="0.25">
      <c r="A309" s="170"/>
      <c r="B309" s="177" t="s">
        <v>198</v>
      </c>
      <c r="C309" s="172">
        <v>24</v>
      </c>
      <c r="D309" s="172" t="s">
        <v>299</v>
      </c>
      <c r="E309" s="173">
        <v>3992000</v>
      </c>
      <c r="F309" s="173">
        <f t="shared" si="90"/>
        <v>95808000</v>
      </c>
      <c r="I309" s="341"/>
      <c r="J309" s="172">
        <v>24</v>
      </c>
      <c r="K309" s="172" t="s">
        <v>299</v>
      </c>
      <c r="L309" s="173">
        <v>3992000</v>
      </c>
      <c r="M309" s="173">
        <f t="shared" si="91"/>
        <v>95808000</v>
      </c>
    </row>
    <row r="310" spans="1:13" ht="30" x14ac:dyDescent="0.25">
      <c r="A310" s="170"/>
      <c r="B310" s="171" t="s">
        <v>572</v>
      </c>
      <c r="C310" s="172">
        <v>960</v>
      </c>
      <c r="D310" s="172" t="s">
        <v>299</v>
      </c>
      <c r="E310" s="173">
        <v>8205000</v>
      </c>
      <c r="F310" s="173">
        <f t="shared" si="90"/>
        <v>7876800000</v>
      </c>
      <c r="I310" s="341"/>
      <c r="J310" s="172">
        <v>960</v>
      </c>
      <c r="K310" s="172" t="s">
        <v>299</v>
      </c>
      <c r="L310" s="173">
        <v>8205000</v>
      </c>
      <c r="M310" s="173">
        <f t="shared" si="91"/>
        <v>7876800000</v>
      </c>
    </row>
    <row r="311" spans="1:13" ht="30" x14ac:dyDescent="0.25">
      <c r="A311" s="170"/>
      <c r="B311" s="177" t="s">
        <v>200</v>
      </c>
      <c r="C311" s="172">
        <v>156</v>
      </c>
      <c r="D311" s="172" t="s">
        <v>299</v>
      </c>
      <c r="E311" s="173">
        <v>8220000</v>
      </c>
      <c r="F311" s="173">
        <f t="shared" si="90"/>
        <v>1282320000</v>
      </c>
      <c r="I311" s="341"/>
      <c r="J311" s="172">
        <v>156</v>
      </c>
      <c r="K311" s="172" t="s">
        <v>299</v>
      </c>
      <c r="L311" s="173">
        <v>8220000</v>
      </c>
      <c r="M311" s="173">
        <f t="shared" si="91"/>
        <v>1282320000</v>
      </c>
    </row>
    <row r="312" spans="1:13" ht="30" x14ac:dyDescent="0.25">
      <c r="A312" s="170"/>
      <c r="B312" s="177" t="s">
        <v>201</v>
      </c>
      <c r="C312" s="172">
        <v>144</v>
      </c>
      <c r="D312" s="172" t="s">
        <v>299</v>
      </c>
      <c r="E312" s="173">
        <v>7648000</v>
      </c>
      <c r="F312" s="173">
        <f t="shared" si="90"/>
        <v>1101312000</v>
      </c>
      <c r="I312" s="341"/>
      <c r="J312" s="172">
        <v>144</v>
      </c>
      <c r="K312" s="172" t="s">
        <v>299</v>
      </c>
      <c r="L312" s="173">
        <v>7648000</v>
      </c>
      <c r="M312" s="173">
        <f t="shared" si="91"/>
        <v>1101312000</v>
      </c>
    </row>
    <row r="313" spans="1:13" ht="30" x14ac:dyDescent="0.25">
      <c r="A313" s="170"/>
      <c r="B313" s="177" t="s">
        <v>202</v>
      </c>
      <c r="C313" s="172">
        <v>216</v>
      </c>
      <c r="D313" s="172" t="s">
        <v>299</v>
      </c>
      <c r="E313" s="173">
        <v>7528000</v>
      </c>
      <c r="F313" s="173">
        <f t="shared" si="90"/>
        <v>1626048000</v>
      </c>
      <c r="I313" s="341"/>
      <c r="J313" s="172">
        <v>216</v>
      </c>
      <c r="K313" s="172" t="s">
        <v>299</v>
      </c>
      <c r="L313" s="173">
        <v>7528000</v>
      </c>
      <c r="M313" s="173">
        <f t="shared" si="91"/>
        <v>1626048000</v>
      </c>
    </row>
    <row r="314" spans="1:13" ht="30" x14ac:dyDescent="0.25">
      <c r="A314" s="170"/>
      <c r="B314" s="177" t="s">
        <v>203</v>
      </c>
      <c r="C314" s="172">
        <v>24</v>
      </c>
      <c r="D314" s="172" t="s">
        <v>299</v>
      </c>
      <c r="E314" s="173">
        <v>6929000</v>
      </c>
      <c r="F314" s="173">
        <f t="shared" si="90"/>
        <v>166296000</v>
      </c>
      <c r="I314" s="341"/>
      <c r="J314" s="172">
        <v>24</v>
      </c>
      <c r="K314" s="172" t="s">
        <v>299</v>
      </c>
      <c r="L314" s="173">
        <v>6929000</v>
      </c>
      <c r="M314" s="173">
        <f t="shared" si="91"/>
        <v>166296000</v>
      </c>
    </row>
    <row r="315" spans="1:13" ht="30" x14ac:dyDescent="0.25">
      <c r="A315" s="170"/>
      <c r="B315" s="177" t="s">
        <v>204</v>
      </c>
      <c r="C315" s="172">
        <v>36</v>
      </c>
      <c r="D315" s="172" t="s">
        <v>299</v>
      </c>
      <c r="E315" s="173">
        <v>6985000</v>
      </c>
      <c r="F315" s="173">
        <f t="shared" si="90"/>
        <v>251460000</v>
      </c>
      <c r="I315" s="341"/>
      <c r="J315" s="172">
        <v>36</v>
      </c>
      <c r="K315" s="172" t="s">
        <v>299</v>
      </c>
      <c r="L315" s="173">
        <v>6985000</v>
      </c>
      <c r="M315" s="173">
        <f t="shared" si="91"/>
        <v>251460000</v>
      </c>
    </row>
    <row r="316" spans="1:13" ht="30" x14ac:dyDescent="0.25">
      <c r="A316" s="170"/>
      <c r="B316" s="177" t="s">
        <v>205</v>
      </c>
      <c r="C316" s="172">
        <v>48</v>
      </c>
      <c r="D316" s="172" t="s">
        <v>299</v>
      </c>
      <c r="E316" s="173">
        <v>9817000</v>
      </c>
      <c r="F316" s="173">
        <f t="shared" si="90"/>
        <v>471216000</v>
      </c>
      <c r="I316" s="341"/>
      <c r="J316" s="172">
        <v>48</v>
      </c>
      <c r="K316" s="172" t="s">
        <v>299</v>
      </c>
      <c r="L316" s="173">
        <v>9817000</v>
      </c>
      <c r="M316" s="173">
        <f t="shared" si="91"/>
        <v>471216000</v>
      </c>
    </row>
    <row r="317" spans="1:13" ht="30" x14ac:dyDescent="0.25">
      <c r="A317" s="170"/>
      <c r="B317" s="177" t="s">
        <v>206</v>
      </c>
      <c r="C317" s="172">
        <v>48</v>
      </c>
      <c r="D317" s="172" t="s">
        <v>299</v>
      </c>
      <c r="E317" s="173">
        <v>8850000</v>
      </c>
      <c r="F317" s="173">
        <f t="shared" si="90"/>
        <v>424800000</v>
      </c>
      <c r="I317" s="341"/>
      <c r="J317" s="172">
        <v>48</v>
      </c>
      <c r="K317" s="172" t="s">
        <v>299</v>
      </c>
      <c r="L317" s="173">
        <v>8850000</v>
      </c>
      <c r="M317" s="173">
        <f t="shared" si="91"/>
        <v>424800000</v>
      </c>
    </row>
    <row r="318" spans="1:13" ht="30" x14ac:dyDescent="0.25">
      <c r="A318" s="170"/>
      <c r="B318" s="177" t="s">
        <v>207</v>
      </c>
      <c r="C318" s="172">
        <v>36</v>
      </c>
      <c r="D318" s="172" t="s">
        <v>299</v>
      </c>
      <c r="E318" s="173">
        <v>7528000</v>
      </c>
      <c r="F318" s="173">
        <f t="shared" si="90"/>
        <v>271008000</v>
      </c>
      <c r="I318" s="341"/>
      <c r="J318" s="172">
        <v>36</v>
      </c>
      <c r="K318" s="172" t="s">
        <v>299</v>
      </c>
      <c r="L318" s="173">
        <v>7528000</v>
      </c>
      <c r="M318" s="173">
        <f t="shared" si="91"/>
        <v>271008000</v>
      </c>
    </row>
    <row r="319" spans="1:13" ht="30" x14ac:dyDescent="0.25">
      <c r="A319" s="170"/>
      <c r="B319" s="171" t="s">
        <v>208</v>
      </c>
      <c r="C319" s="172">
        <v>1</v>
      </c>
      <c r="D319" s="172" t="s">
        <v>299</v>
      </c>
      <c r="E319" s="173">
        <f>7469000+184000</f>
        <v>7653000</v>
      </c>
      <c r="F319" s="173">
        <f t="shared" si="90"/>
        <v>7653000</v>
      </c>
      <c r="I319" s="341"/>
      <c r="J319" s="172">
        <v>1</v>
      </c>
      <c r="K319" s="172" t="s">
        <v>299</v>
      </c>
      <c r="L319" s="173">
        <f>7469000+184000</f>
        <v>7653000</v>
      </c>
      <c r="M319" s="173">
        <f t="shared" si="91"/>
        <v>7653000</v>
      </c>
    </row>
    <row r="320" spans="1:13" x14ac:dyDescent="0.25">
      <c r="A320" s="181" t="s">
        <v>696</v>
      </c>
      <c r="B320" s="181" t="s">
        <v>77</v>
      </c>
      <c r="C320" s="143"/>
      <c r="D320" s="143"/>
      <c r="E320" s="144"/>
      <c r="F320" s="145">
        <f>F321</f>
        <v>121365088000</v>
      </c>
      <c r="I320" s="341"/>
      <c r="J320" s="143"/>
      <c r="K320" s="143"/>
      <c r="L320" s="144"/>
      <c r="M320" s="145">
        <f>M321</f>
        <v>120883440000</v>
      </c>
    </row>
    <row r="321" spans="1:13" x14ac:dyDescent="0.25">
      <c r="A321" s="246" t="s">
        <v>663</v>
      </c>
      <c r="B321" s="182" t="s">
        <v>79</v>
      </c>
      <c r="C321" s="147"/>
      <c r="D321" s="147"/>
      <c r="E321" s="148"/>
      <c r="F321" s="149">
        <f>F322+F534</f>
        <v>121365088000</v>
      </c>
      <c r="I321" s="341"/>
      <c r="J321" s="147"/>
      <c r="K321" s="147"/>
      <c r="L321" s="148"/>
      <c r="M321" s="149">
        <f>M322+M534</f>
        <v>120883440000</v>
      </c>
    </row>
    <row r="322" spans="1:13" ht="75" x14ac:dyDescent="0.25">
      <c r="A322" s="179" t="s">
        <v>664</v>
      </c>
      <c r="B322" s="179" t="s">
        <v>81</v>
      </c>
      <c r="C322" s="151" t="s">
        <v>82</v>
      </c>
      <c r="D322" s="151" t="s">
        <v>307</v>
      </c>
      <c r="E322" s="152"/>
      <c r="F322" s="153">
        <f>F522+F324+F370</f>
        <v>121166488000</v>
      </c>
      <c r="I322" s="341"/>
      <c r="J322" s="151" t="s">
        <v>82</v>
      </c>
      <c r="K322" s="151" t="s">
        <v>307</v>
      </c>
      <c r="L322" s="152"/>
      <c r="M322" s="153">
        <f>M522+M324+M370</f>
        <v>120684840000</v>
      </c>
    </row>
    <row r="323" spans="1:13" x14ac:dyDescent="0.25">
      <c r="A323" s="170"/>
      <c r="B323" s="180" t="s">
        <v>6</v>
      </c>
      <c r="C323" s="172"/>
      <c r="D323" s="172"/>
      <c r="E323" s="170"/>
      <c r="F323" s="170"/>
      <c r="I323" s="341"/>
      <c r="J323" s="172"/>
      <c r="K323" s="172"/>
      <c r="L323" s="170"/>
      <c r="M323" s="170"/>
    </row>
    <row r="324" spans="1:13" x14ac:dyDescent="0.25">
      <c r="A324" s="154" t="s">
        <v>660</v>
      </c>
      <c r="B324" s="154" t="s">
        <v>84</v>
      </c>
      <c r="C324" s="155" t="s">
        <v>85</v>
      </c>
      <c r="D324" s="155" t="s">
        <v>308</v>
      </c>
      <c r="E324" s="156"/>
      <c r="F324" s="157">
        <f>F325</f>
        <v>193288000</v>
      </c>
      <c r="I324" s="341"/>
      <c r="J324" s="155" t="s">
        <v>85</v>
      </c>
      <c r="K324" s="155" t="s">
        <v>308</v>
      </c>
      <c r="L324" s="156"/>
      <c r="M324" s="157">
        <f>M325</f>
        <v>193288000</v>
      </c>
    </row>
    <row r="325" spans="1:13" x14ac:dyDescent="0.25">
      <c r="A325" s="158" t="s">
        <v>9</v>
      </c>
      <c r="B325" s="158" t="s">
        <v>86</v>
      </c>
      <c r="C325" s="159" t="s">
        <v>11</v>
      </c>
      <c r="D325" s="159"/>
      <c r="E325" s="160"/>
      <c r="F325" s="161">
        <f>F326+F338+F355</f>
        <v>193288000</v>
      </c>
      <c r="I325" s="341"/>
      <c r="J325" s="159" t="s">
        <v>11</v>
      </c>
      <c r="K325" s="159"/>
      <c r="L325" s="160"/>
      <c r="M325" s="161">
        <f>M326+M338+M355</f>
        <v>193288000</v>
      </c>
    </row>
    <row r="326" spans="1:13" x14ac:dyDescent="0.25">
      <c r="A326" s="162" t="s">
        <v>12</v>
      </c>
      <c r="B326" s="162" t="s">
        <v>87</v>
      </c>
      <c r="C326" s="163"/>
      <c r="D326" s="163"/>
      <c r="E326" s="164"/>
      <c r="F326" s="165">
        <f>F327+F330+F335+F332</f>
        <v>48920000</v>
      </c>
      <c r="I326" s="342">
        <f>F326-M326</f>
        <v>0</v>
      </c>
      <c r="J326" s="163"/>
      <c r="K326" s="163"/>
      <c r="L326" s="164"/>
      <c r="M326" s="165">
        <f>M327+M330+M335+M332</f>
        <v>48920000</v>
      </c>
    </row>
    <row r="327" spans="1:13" x14ac:dyDescent="0.25">
      <c r="A327" s="166" t="s">
        <v>22</v>
      </c>
      <c r="B327" s="166" t="s">
        <v>23</v>
      </c>
      <c r="C327" s="168"/>
      <c r="D327" s="168"/>
      <c r="E327" s="169"/>
      <c r="F327" s="167">
        <f>SUM(F328:F329)</f>
        <v>8100000</v>
      </c>
      <c r="I327" s="341"/>
      <c r="J327" s="168"/>
      <c r="K327" s="168"/>
      <c r="L327" s="169"/>
      <c r="M327" s="167">
        <f>SUM(M328:M329)</f>
        <v>8100000</v>
      </c>
    </row>
    <row r="328" spans="1:13" x14ac:dyDescent="0.25">
      <c r="A328" s="170"/>
      <c r="B328" s="171" t="s">
        <v>355</v>
      </c>
      <c r="C328" s="172">
        <v>100</v>
      </c>
      <c r="D328" s="172" t="s">
        <v>296</v>
      </c>
      <c r="E328" s="173">
        <v>57000</v>
      </c>
      <c r="F328" s="173">
        <f>C328*E328</f>
        <v>5700000</v>
      </c>
      <c r="I328" s="341"/>
      <c r="J328" s="172">
        <v>100</v>
      </c>
      <c r="K328" s="172" t="s">
        <v>296</v>
      </c>
      <c r="L328" s="173">
        <v>57000</v>
      </c>
      <c r="M328" s="173">
        <f>J328*L328</f>
        <v>5700000</v>
      </c>
    </row>
    <row r="329" spans="1:13" x14ac:dyDescent="0.25">
      <c r="A329" s="170"/>
      <c r="B329" s="171" t="s">
        <v>356</v>
      </c>
      <c r="C329" s="172">
        <v>100</v>
      </c>
      <c r="D329" s="172" t="s">
        <v>296</v>
      </c>
      <c r="E329" s="173">
        <v>24000</v>
      </c>
      <c r="F329" s="173">
        <f>C329*E329</f>
        <v>2400000</v>
      </c>
      <c r="I329" s="341"/>
      <c r="J329" s="172">
        <v>100</v>
      </c>
      <c r="K329" s="172" t="s">
        <v>296</v>
      </c>
      <c r="L329" s="173">
        <v>24000</v>
      </c>
      <c r="M329" s="173">
        <f>J329*L329</f>
        <v>2400000</v>
      </c>
    </row>
    <row r="330" spans="1:13" x14ac:dyDescent="0.25">
      <c r="A330" s="166" t="s">
        <v>16</v>
      </c>
      <c r="B330" s="166" t="s">
        <v>17</v>
      </c>
      <c r="C330" s="168"/>
      <c r="D330" s="168"/>
      <c r="E330" s="169"/>
      <c r="F330" s="167">
        <f>SUM(F331:F331)</f>
        <v>12000000</v>
      </c>
      <c r="I330" s="341"/>
      <c r="J330" s="168"/>
      <c r="K330" s="168"/>
      <c r="L330" s="169"/>
      <c r="M330" s="167">
        <f>SUM(M331:M331)</f>
        <v>12000000</v>
      </c>
    </row>
    <row r="331" spans="1:13" ht="30" x14ac:dyDescent="0.25">
      <c r="A331" s="170"/>
      <c r="B331" s="171" t="s">
        <v>782</v>
      </c>
      <c r="C331" s="172">
        <v>12</v>
      </c>
      <c r="D331" s="172" t="s">
        <v>297</v>
      </c>
      <c r="E331" s="173">
        <v>1000000</v>
      </c>
      <c r="F331" s="173">
        <f>C331*E331</f>
        <v>12000000</v>
      </c>
      <c r="I331" s="341"/>
      <c r="J331" s="172">
        <v>12</v>
      </c>
      <c r="K331" s="172" t="s">
        <v>297</v>
      </c>
      <c r="L331" s="173">
        <v>1000000</v>
      </c>
      <c r="M331" s="173">
        <f>J331*L331</f>
        <v>12000000</v>
      </c>
    </row>
    <row r="332" spans="1:13" x14ac:dyDescent="0.25">
      <c r="A332" s="166" t="s">
        <v>28</v>
      </c>
      <c r="B332" s="166" t="s">
        <v>29</v>
      </c>
      <c r="C332" s="168"/>
      <c r="D332" s="168"/>
      <c r="E332" s="169"/>
      <c r="F332" s="167">
        <f>SUM(F333:F334)</f>
        <v>8300000</v>
      </c>
      <c r="I332" s="341"/>
      <c r="J332" s="168"/>
      <c r="K332" s="168"/>
      <c r="L332" s="169"/>
      <c r="M332" s="167">
        <f>SUM(M333:M334)</f>
        <v>8300000</v>
      </c>
    </row>
    <row r="333" spans="1:13" ht="30" x14ac:dyDescent="0.25">
      <c r="A333" s="170"/>
      <c r="B333" s="171" t="s">
        <v>656</v>
      </c>
      <c r="C333" s="172">
        <v>10</v>
      </c>
      <c r="D333" s="172" t="s">
        <v>301</v>
      </c>
      <c r="E333" s="173">
        <v>430000</v>
      </c>
      <c r="F333" s="173">
        <f>C333*E333</f>
        <v>4300000</v>
      </c>
      <c r="I333" s="341"/>
      <c r="J333" s="172">
        <v>10</v>
      </c>
      <c r="K333" s="172" t="s">
        <v>301</v>
      </c>
      <c r="L333" s="173">
        <v>430000</v>
      </c>
      <c r="M333" s="173">
        <f>J333*L333</f>
        <v>4300000</v>
      </c>
    </row>
    <row r="334" spans="1:13" ht="30" x14ac:dyDescent="0.25">
      <c r="A334" s="170"/>
      <c r="B334" s="171" t="s">
        <v>657</v>
      </c>
      <c r="C334" s="172">
        <v>20</v>
      </c>
      <c r="D334" s="172" t="s">
        <v>296</v>
      </c>
      <c r="E334" s="173">
        <v>200000</v>
      </c>
      <c r="F334" s="173">
        <f t="shared" ref="F334" si="92">C334*E334</f>
        <v>4000000</v>
      </c>
      <c r="I334" s="341"/>
      <c r="J334" s="172">
        <v>20</v>
      </c>
      <c r="K334" s="172" t="s">
        <v>296</v>
      </c>
      <c r="L334" s="173">
        <v>200000</v>
      </c>
      <c r="M334" s="173">
        <f t="shared" ref="M334" si="93">J334*L334</f>
        <v>4000000</v>
      </c>
    </row>
    <row r="335" spans="1:13" x14ac:dyDescent="0.25">
      <c r="A335" s="166" t="s">
        <v>18</v>
      </c>
      <c r="B335" s="166" t="s">
        <v>19</v>
      </c>
      <c r="C335" s="168"/>
      <c r="D335" s="168"/>
      <c r="E335" s="169"/>
      <c r="F335" s="167">
        <f>SUM(F336:F337)</f>
        <v>20520000</v>
      </c>
      <c r="I335" s="341"/>
      <c r="J335" s="168"/>
      <c r="K335" s="168"/>
      <c r="L335" s="169"/>
      <c r="M335" s="167">
        <f>SUM(M336:M337)</f>
        <v>20520000</v>
      </c>
    </row>
    <row r="336" spans="1:13" ht="30" x14ac:dyDescent="0.25">
      <c r="A336" s="170"/>
      <c r="B336" s="171" t="s">
        <v>658</v>
      </c>
      <c r="C336" s="172">
        <v>54</v>
      </c>
      <c r="D336" s="172" t="s">
        <v>301</v>
      </c>
      <c r="E336" s="173">
        <v>210000</v>
      </c>
      <c r="F336" s="173">
        <f>C336*E336</f>
        <v>11340000</v>
      </c>
      <c r="I336" s="341"/>
      <c r="J336" s="172">
        <v>54</v>
      </c>
      <c r="K336" s="172" t="s">
        <v>301</v>
      </c>
      <c r="L336" s="173">
        <v>210000</v>
      </c>
      <c r="M336" s="173">
        <f>J336*L336</f>
        <v>11340000</v>
      </c>
    </row>
    <row r="337" spans="1:13" ht="30" x14ac:dyDescent="0.25">
      <c r="A337" s="170"/>
      <c r="B337" s="171" t="s">
        <v>659</v>
      </c>
      <c r="C337" s="172">
        <v>54</v>
      </c>
      <c r="D337" s="172" t="s">
        <v>296</v>
      </c>
      <c r="E337" s="173">
        <v>170000</v>
      </c>
      <c r="F337" s="173">
        <f>C337*E337</f>
        <v>9180000</v>
      </c>
      <c r="I337" s="341"/>
      <c r="J337" s="172">
        <v>54</v>
      </c>
      <c r="K337" s="172" t="s">
        <v>296</v>
      </c>
      <c r="L337" s="173">
        <v>170000</v>
      </c>
      <c r="M337" s="173">
        <f>J337*L337</f>
        <v>9180000</v>
      </c>
    </row>
    <row r="338" spans="1:13" x14ac:dyDescent="0.25">
      <c r="A338" s="162" t="s">
        <v>26</v>
      </c>
      <c r="B338" s="162" t="s">
        <v>88</v>
      </c>
      <c r="C338" s="163"/>
      <c r="D338" s="163"/>
      <c r="E338" s="164"/>
      <c r="F338" s="165">
        <f>F339+F342+F347+F352+F349</f>
        <v>51570000</v>
      </c>
      <c r="I338" s="342">
        <f>F338-M338</f>
        <v>0</v>
      </c>
      <c r="J338" s="163"/>
      <c r="K338" s="163"/>
      <c r="L338" s="164"/>
      <c r="M338" s="165">
        <f>M339+M342+M347+M352+M349</f>
        <v>51570000</v>
      </c>
    </row>
    <row r="339" spans="1:13" x14ac:dyDescent="0.25">
      <c r="A339" s="166" t="s">
        <v>22</v>
      </c>
      <c r="B339" s="166" t="s">
        <v>23</v>
      </c>
      <c r="C339" s="168"/>
      <c r="D339" s="168"/>
      <c r="E339" s="169"/>
      <c r="F339" s="167">
        <f>SUM(F340:F341)</f>
        <v>8100000</v>
      </c>
      <c r="I339" s="341"/>
      <c r="J339" s="168"/>
      <c r="K339" s="168"/>
      <c r="L339" s="169"/>
      <c r="M339" s="167">
        <f>SUM(M340:M341)</f>
        <v>8100000</v>
      </c>
    </row>
    <row r="340" spans="1:13" x14ac:dyDescent="0.25">
      <c r="A340" s="170"/>
      <c r="B340" s="171" t="s">
        <v>355</v>
      </c>
      <c r="C340" s="172">
        <v>100</v>
      </c>
      <c r="D340" s="172" t="s">
        <v>296</v>
      </c>
      <c r="E340" s="173">
        <v>57000</v>
      </c>
      <c r="F340" s="173">
        <f>C340*E340</f>
        <v>5700000</v>
      </c>
      <c r="I340" s="341"/>
      <c r="J340" s="172">
        <v>100</v>
      </c>
      <c r="K340" s="172" t="s">
        <v>296</v>
      </c>
      <c r="L340" s="173">
        <v>57000</v>
      </c>
      <c r="M340" s="173">
        <f>J340*L340</f>
        <v>5700000</v>
      </c>
    </row>
    <row r="341" spans="1:13" x14ac:dyDescent="0.25">
      <c r="A341" s="170"/>
      <c r="B341" s="171" t="s">
        <v>356</v>
      </c>
      <c r="C341" s="172">
        <v>100</v>
      </c>
      <c r="D341" s="172" t="s">
        <v>296</v>
      </c>
      <c r="E341" s="173">
        <v>24000</v>
      </c>
      <c r="F341" s="173">
        <f>C341*E341</f>
        <v>2400000</v>
      </c>
      <c r="I341" s="341"/>
      <c r="J341" s="172">
        <v>100</v>
      </c>
      <c r="K341" s="172" t="s">
        <v>296</v>
      </c>
      <c r="L341" s="173">
        <v>24000</v>
      </c>
      <c r="M341" s="173">
        <f>J341*L341</f>
        <v>2400000</v>
      </c>
    </row>
    <row r="342" spans="1:13" x14ac:dyDescent="0.25">
      <c r="A342" s="166" t="s">
        <v>14</v>
      </c>
      <c r="B342" s="166" t="s">
        <v>15</v>
      </c>
      <c r="C342" s="168"/>
      <c r="D342" s="168"/>
      <c r="E342" s="169"/>
      <c r="F342" s="167">
        <f>SUM(F343:F346)</f>
        <v>2650000</v>
      </c>
      <c r="I342" s="341"/>
      <c r="J342" s="168"/>
      <c r="K342" s="168"/>
      <c r="L342" s="169"/>
      <c r="M342" s="167">
        <f>SUM(M343:M346)</f>
        <v>2650000</v>
      </c>
    </row>
    <row r="343" spans="1:13" ht="30" x14ac:dyDescent="0.25">
      <c r="A343" s="170"/>
      <c r="B343" s="176" t="s">
        <v>360</v>
      </c>
      <c r="C343" s="172">
        <v>1</v>
      </c>
      <c r="D343" s="172" t="s">
        <v>296</v>
      </c>
      <c r="E343" s="173">
        <v>450000</v>
      </c>
      <c r="F343" s="173">
        <f>C343*E343</f>
        <v>450000</v>
      </c>
      <c r="I343" s="341"/>
      <c r="J343" s="172">
        <v>1</v>
      </c>
      <c r="K343" s="172" t="s">
        <v>296</v>
      </c>
      <c r="L343" s="173">
        <v>450000</v>
      </c>
      <c r="M343" s="173">
        <f>J343*L343</f>
        <v>450000</v>
      </c>
    </row>
    <row r="344" spans="1:13" ht="30" x14ac:dyDescent="0.25">
      <c r="A344" s="170"/>
      <c r="B344" s="176" t="s">
        <v>361</v>
      </c>
      <c r="C344" s="172">
        <v>1</v>
      </c>
      <c r="D344" s="172" t="s">
        <v>296</v>
      </c>
      <c r="E344" s="173">
        <v>400000</v>
      </c>
      <c r="F344" s="173">
        <f t="shared" ref="F344:F346" si="94">C344*E344</f>
        <v>400000</v>
      </c>
      <c r="I344" s="341"/>
      <c r="J344" s="172">
        <v>1</v>
      </c>
      <c r="K344" s="172" t="s">
        <v>296</v>
      </c>
      <c r="L344" s="173">
        <v>400000</v>
      </c>
      <c r="M344" s="173">
        <f t="shared" ref="M344:M346" si="95">J344*L344</f>
        <v>400000</v>
      </c>
    </row>
    <row r="345" spans="1:13" ht="30" x14ac:dyDescent="0.25">
      <c r="A345" s="170"/>
      <c r="B345" s="176" t="s">
        <v>362</v>
      </c>
      <c r="C345" s="172">
        <v>1</v>
      </c>
      <c r="D345" s="172" t="s">
        <v>296</v>
      </c>
      <c r="E345" s="173">
        <v>300000</v>
      </c>
      <c r="F345" s="173">
        <f t="shared" si="94"/>
        <v>300000</v>
      </c>
      <c r="I345" s="341"/>
      <c r="J345" s="172">
        <v>1</v>
      </c>
      <c r="K345" s="172" t="s">
        <v>296</v>
      </c>
      <c r="L345" s="173">
        <v>300000</v>
      </c>
      <c r="M345" s="173">
        <f t="shared" si="95"/>
        <v>300000</v>
      </c>
    </row>
    <row r="346" spans="1:13" ht="30" x14ac:dyDescent="0.25">
      <c r="A346" s="170"/>
      <c r="B346" s="176" t="s">
        <v>363</v>
      </c>
      <c r="C346" s="172">
        <v>5</v>
      </c>
      <c r="D346" s="172" t="s">
        <v>296</v>
      </c>
      <c r="E346" s="173">
        <v>300000</v>
      </c>
      <c r="F346" s="173">
        <f t="shared" si="94"/>
        <v>1500000</v>
      </c>
      <c r="I346" s="341"/>
      <c r="J346" s="172">
        <v>5</v>
      </c>
      <c r="K346" s="172" t="s">
        <v>296</v>
      </c>
      <c r="L346" s="173">
        <v>300000</v>
      </c>
      <c r="M346" s="173">
        <f t="shared" si="95"/>
        <v>1500000</v>
      </c>
    </row>
    <row r="347" spans="1:13" x14ac:dyDescent="0.25">
      <c r="A347" s="166" t="s">
        <v>16</v>
      </c>
      <c r="B347" s="166" t="s">
        <v>17</v>
      </c>
      <c r="C347" s="168"/>
      <c r="D347" s="168"/>
      <c r="E347" s="169"/>
      <c r="F347" s="167">
        <f>SUM(F348:F348)</f>
        <v>12000000</v>
      </c>
      <c r="I347" s="341"/>
      <c r="J347" s="168"/>
      <c r="K347" s="168"/>
      <c r="L347" s="169"/>
      <c r="M347" s="167">
        <f>SUM(M348:M348)</f>
        <v>12000000</v>
      </c>
    </row>
    <row r="348" spans="1:13" ht="30" x14ac:dyDescent="0.25">
      <c r="A348" s="170"/>
      <c r="B348" s="171" t="s">
        <v>782</v>
      </c>
      <c r="C348" s="172">
        <v>12</v>
      </c>
      <c r="D348" s="172" t="s">
        <v>297</v>
      </c>
      <c r="E348" s="173">
        <v>1000000</v>
      </c>
      <c r="F348" s="173">
        <f>C348*E348</f>
        <v>12000000</v>
      </c>
      <c r="I348" s="341"/>
      <c r="J348" s="172">
        <v>12</v>
      </c>
      <c r="K348" s="172" t="s">
        <v>297</v>
      </c>
      <c r="L348" s="173">
        <v>1000000</v>
      </c>
      <c r="M348" s="173">
        <f>J348*L348</f>
        <v>12000000</v>
      </c>
    </row>
    <row r="349" spans="1:13" x14ac:dyDescent="0.25">
      <c r="A349" s="166" t="s">
        <v>28</v>
      </c>
      <c r="B349" s="166" t="s">
        <v>29</v>
      </c>
      <c r="C349" s="168"/>
      <c r="D349" s="168"/>
      <c r="E349" s="169"/>
      <c r="F349" s="167">
        <f>SUM(F350:F351)</f>
        <v>8300000</v>
      </c>
      <c r="I349" s="341"/>
      <c r="J349" s="168"/>
      <c r="K349" s="168"/>
      <c r="L349" s="169"/>
      <c r="M349" s="167">
        <f>SUM(M350:M351)</f>
        <v>8300000</v>
      </c>
    </row>
    <row r="350" spans="1:13" ht="30" x14ac:dyDescent="0.25">
      <c r="A350" s="170"/>
      <c r="B350" s="171" t="s">
        <v>656</v>
      </c>
      <c r="C350" s="172">
        <v>10</v>
      </c>
      <c r="D350" s="172" t="s">
        <v>301</v>
      </c>
      <c r="E350" s="173">
        <v>430000</v>
      </c>
      <c r="F350" s="173">
        <f>C350*E350</f>
        <v>4300000</v>
      </c>
      <c r="I350" s="341"/>
      <c r="J350" s="172">
        <v>10</v>
      </c>
      <c r="K350" s="172" t="s">
        <v>301</v>
      </c>
      <c r="L350" s="173">
        <v>430000</v>
      </c>
      <c r="M350" s="173">
        <f>J350*L350</f>
        <v>4300000</v>
      </c>
    </row>
    <row r="351" spans="1:13" ht="30" x14ac:dyDescent="0.25">
      <c r="A351" s="170"/>
      <c r="B351" s="171" t="s">
        <v>657</v>
      </c>
      <c r="C351" s="172">
        <v>20</v>
      </c>
      <c r="D351" s="172" t="s">
        <v>296</v>
      </c>
      <c r="E351" s="173">
        <v>200000</v>
      </c>
      <c r="F351" s="173">
        <f t="shared" ref="F351" si="96">C351*E351</f>
        <v>4000000</v>
      </c>
      <c r="I351" s="341"/>
      <c r="J351" s="172">
        <v>20</v>
      </c>
      <c r="K351" s="172" t="s">
        <v>296</v>
      </c>
      <c r="L351" s="173">
        <v>200000</v>
      </c>
      <c r="M351" s="173">
        <f t="shared" ref="M351" si="97">J351*L351</f>
        <v>4000000</v>
      </c>
    </row>
    <row r="352" spans="1:13" x14ac:dyDescent="0.25">
      <c r="A352" s="166" t="s">
        <v>18</v>
      </c>
      <c r="B352" s="166" t="s">
        <v>19</v>
      </c>
      <c r="C352" s="168"/>
      <c r="D352" s="168"/>
      <c r="E352" s="169"/>
      <c r="F352" s="167">
        <f>SUM(F353:F354)</f>
        <v>20520000</v>
      </c>
      <c r="I352" s="341"/>
      <c r="J352" s="168"/>
      <c r="K352" s="168"/>
      <c r="L352" s="169"/>
      <c r="M352" s="167">
        <f>SUM(M353:M354)</f>
        <v>20520000</v>
      </c>
    </row>
    <row r="353" spans="1:13" ht="30" x14ac:dyDescent="0.25">
      <c r="A353" s="170"/>
      <c r="B353" s="171" t="s">
        <v>658</v>
      </c>
      <c r="C353" s="172">
        <v>54</v>
      </c>
      <c r="D353" s="172" t="s">
        <v>301</v>
      </c>
      <c r="E353" s="173">
        <v>210000</v>
      </c>
      <c r="F353" s="173">
        <f>C353*E353</f>
        <v>11340000</v>
      </c>
      <c r="I353" s="341"/>
      <c r="J353" s="172">
        <v>54</v>
      </c>
      <c r="K353" s="172" t="s">
        <v>301</v>
      </c>
      <c r="L353" s="173">
        <v>210000</v>
      </c>
      <c r="M353" s="173">
        <f>J353*L353</f>
        <v>11340000</v>
      </c>
    </row>
    <row r="354" spans="1:13" ht="30" x14ac:dyDescent="0.25">
      <c r="A354" s="170"/>
      <c r="B354" s="171" t="s">
        <v>659</v>
      </c>
      <c r="C354" s="172">
        <v>54</v>
      </c>
      <c r="D354" s="172" t="s">
        <v>296</v>
      </c>
      <c r="E354" s="173">
        <v>170000</v>
      </c>
      <c r="F354" s="173">
        <f>C354*E354</f>
        <v>9180000</v>
      </c>
      <c r="I354" s="341"/>
      <c r="J354" s="172">
        <v>54</v>
      </c>
      <c r="K354" s="172" t="s">
        <v>296</v>
      </c>
      <c r="L354" s="173">
        <v>170000</v>
      </c>
      <c r="M354" s="173">
        <f>J354*L354</f>
        <v>9180000</v>
      </c>
    </row>
    <row r="355" spans="1:13" x14ac:dyDescent="0.25">
      <c r="A355" s="162" t="s">
        <v>32</v>
      </c>
      <c r="B355" s="162" t="s">
        <v>89</v>
      </c>
      <c r="C355" s="163"/>
      <c r="D355" s="163"/>
      <c r="E355" s="164"/>
      <c r="F355" s="165">
        <f>F356+F360+F367+F363</f>
        <v>92798000</v>
      </c>
      <c r="I355" s="342">
        <f>F355-M355</f>
        <v>0</v>
      </c>
      <c r="J355" s="163"/>
      <c r="K355" s="163"/>
      <c r="L355" s="164"/>
      <c r="M355" s="165">
        <f>M356+M360+M367+M363</f>
        <v>92798000</v>
      </c>
    </row>
    <row r="356" spans="1:13" x14ac:dyDescent="0.25">
      <c r="A356" s="166" t="s">
        <v>22</v>
      </c>
      <c r="B356" s="166" t="s">
        <v>23</v>
      </c>
      <c r="C356" s="168"/>
      <c r="D356" s="168"/>
      <c r="E356" s="169"/>
      <c r="F356" s="167">
        <f>SUM(F357:F359)</f>
        <v>12238000</v>
      </c>
      <c r="I356" s="341"/>
      <c r="J356" s="168"/>
      <c r="K356" s="168"/>
      <c r="L356" s="169"/>
      <c r="M356" s="167">
        <f>SUM(M357:M359)</f>
        <v>12238000</v>
      </c>
    </row>
    <row r="357" spans="1:13" x14ac:dyDescent="0.25">
      <c r="A357" s="170"/>
      <c r="B357" s="171" t="s">
        <v>653</v>
      </c>
      <c r="C357" s="172">
        <v>150</v>
      </c>
      <c r="D357" s="172" t="s">
        <v>296</v>
      </c>
      <c r="E357" s="173">
        <v>57000</v>
      </c>
      <c r="F357" s="173">
        <f>C357*E357</f>
        <v>8550000</v>
      </c>
      <c r="I357" s="341"/>
      <c r="J357" s="172">
        <v>150</v>
      </c>
      <c r="K357" s="172" t="s">
        <v>296</v>
      </c>
      <c r="L357" s="173">
        <v>57000</v>
      </c>
      <c r="M357" s="173">
        <f>J357*L357</f>
        <v>8550000</v>
      </c>
    </row>
    <row r="358" spans="1:13" x14ac:dyDescent="0.25">
      <c r="A358" s="170"/>
      <c r="B358" s="171" t="s">
        <v>654</v>
      </c>
      <c r="C358" s="172">
        <v>150</v>
      </c>
      <c r="D358" s="172" t="s">
        <v>296</v>
      </c>
      <c r="E358" s="173">
        <v>24000</v>
      </c>
      <c r="F358" s="173">
        <f>C358*E358</f>
        <v>3600000</v>
      </c>
      <c r="I358" s="341"/>
      <c r="J358" s="172">
        <v>150</v>
      </c>
      <c r="K358" s="172" t="s">
        <v>296</v>
      </c>
      <c r="L358" s="173">
        <v>24000</v>
      </c>
      <c r="M358" s="173">
        <f>J358*L358</f>
        <v>3600000</v>
      </c>
    </row>
    <row r="359" spans="1:13" x14ac:dyDescent="0.25">
      <c r="A359" s="170"/>
      <c r="B359" s="178" t="s">
        <v>344</v>
      </c>
      <c r="C359" s="172">
        <v>1</v>
      </c>
      <c r="D359" s="172" t="s">
        <v>298</v>
      </c>
      <c r="E359" s="173">
        <f>1179000-654000-100000-337000</f>
        <v>88000</v>
      </c>
      <c r="F359" s="173">
        <f>C359*E359</f>
        <v>88000</v>
      </c>
      <c r="I359" s="341"/>
      <c r="J359" s="172">
        <v>1</v>
      </c>
      <c r="K359" s="172" t="s">
        <v>298</v>
      </c>
      <c r="L359" s="173">
        <f>1179000-654000-100000-337000</f>
        <v>88000</v>
      </c>
      <c r="M359" s="173">
        <f>J359*L359</f>
        <v>88000</v>
      </c>
    </row>
    <row r="360" spans="1:13" x14ac:dyDescent="0.25">
      <c r="A360" s="166" t="s">
        <v>16</v>
      </c>
      <c r="B360" s="166" t="s">
        <v>17</v>
      </c>
      <c r="C360" s="168"/>
      <c r="D360" s="168"/>
      <c r="E360" s="169"/>
      <c r="F360" s="167">
        <f>SUM(F361:F362)</f>
        <v>10800000</v>
      </c>
      <c r="I360" s="341"/>
      <c r="J360" s="168"/>
      <c r="K360" s="168"/>
      <c r="L360" s="169"/>
      <c r="M360" s="167">
        <f>SUM(M361:M362)</f>
        <v>10800000</v>
      </c>
    </row>
    <row r="361" spans="1:13" ht="30" x14ac:dyDescent="0.25">
      <c r="A361" s="170"/>
      <c r="B361" s="171" t="s">
        <v>655</v>
      </c>
      <c r="C361" s="172">
        <v>8</v>
      </c>
      <c r="D361" s="172" t="s">
        <v>297</v>
      </c>
      <c r="E361" s="173">
        <v>1000000</v>
      </c>
      <c r="F361" s="173">
        <f>C361*E361</f>
        <v>8000000</v>
      </c>
      <c r="I361" s="341"/>
      <c r="J361" s="172">
        <v>8</v>
      </c>
      <c r="K361" s="172" t="s">
        <v>297</v>
      </c>
      <c r="L361" s="173">
        <v>1000000</v>
      </c>
      <c r="M361" s="173">
        <f>J361*L361</f>
        <v>8000000</v>
      </c>
    </row>
    <row r="362" spans="1:13" x14ac:dyDescent="0.25">
      <c r="A362" s="170"/>
      <c r="B362" s="171" t="s">
        <v>577</v>
      </c>
      <c r="C362" s="172">
        <v>4</v>
      </c>
      <c r="D362" s="172" t="s">
        <v>347</v>
      </c>
      <c r="E362" s="173">
        <v>700000</v>
      </c>
      <c r="F362" s="173">
        <f t="shared" ref="F362" si="98">C362*E362</f>
        <v>2800000</v>
      </c>
      <c r="I362" s="341"/>
      <c r="J362" s="172">
        <v>4</v>
      </c>
      <c r="K362" s="172" t="s">
        <v>347</v>
      </c>
      <c r="L362" s="173">
        <v>700000</v>
      </c>
      <c r="M362" s="173">
        <f t="shared" ref="M362" si="99">J362*L362</f>
        <v>2800000</v>
      </c>
    </row>
    <row r="363" spans="1:13" x14ac:dyDescent="0.25">
      <c r="A363" s="166" t="s">
        <v>28</v>
      </c>
      <c r="B363" s="166" t="s">
        <v>29</v>
      </c>
      <c r="C363" s="168"/>
      <c r="D363" s="168"/>
      <c r="E363" s="169"/>
      <c r="F363" s="167">
        <f>SUM(F364:F366)</f>
        <v>33280000</v>
      </c>
      <c r="I363" s="341"/>
      <c r="J363" s="168"/>
      <c r="K363" s="168"/>
      <c r="L363" s="169"/>
      <c r="M363" s="167">
        <f>SUM(M364:M366)</f>
        <v>33280000</v>
      </c>
    </row>
    <row r="364" spans="1:13" ht="30" x14ac:dyDescent="0.25">
      <c r="A364" s="170"/>
      <c r="B364" s="171" t="s">
        <v>650</v>
      </c>
      <c r="C364" s="172">
        <v>30</v>
      </c>
      <c r="D364" s="172" t="s">
        <v>301</v>
      </c>
      <c r="E364" s="173">
        <v>430000</v>
      </c>
      <c r="F364" s="173">
        <f>C364*E364</f>
        <v>12900000</v>
      </c>
      <c r="I364" s="341"/>
      <c r="J364" s="172">
        <v>30</v>
      </c>
      <c r="K364" s="172" t="s">
        <v>301</v>
      </c>
      <c r="L364" s="173">
        <v>430000</v>
      </c>
      <c r="M364" s="173">
        <f>J364*L364</f>
        <v>12900000</v>
      </c>
    </row>
    <row r="365" spans="1:13" ht="30" x14ac:dyDescent="0.25">
      <c r="A365" s="170"/>
      <c r="B365" s="171" t="s">
        <v>651</v>
      </c>
      <c r="C365" s="172">
        <v>20</v>
      </c>
      <c r="D365" s="172" t="s">
        <v>296</v>
      </c>
      <c r="E365" s="173">
        <v>284000</v>
      </c>
      <c r="F365" s="173">
        <f t="shared" ref="F365" si="100">C365*E365</f>
        <v>5680000</v>
      </c>
      <c r="I365" s="341"/>
      <c r="J365" s="172">
        <v>20</v>
      </c>
      <c r="K365" s="172" t="s">
        <v>296</v>
      </c>
      <c r="L365" s="173">
        <v>284000</v>
      </c>
      <c r="M365" s="173">
        <f t="shared" ref="M365" si="101">J365*L365</f>
        <v>5680000</v>
      </c>
    </row>
    <row r="366" spans="1:13" x14ac:dyDescent="0.25">
      <c r="A366" s="170"/>
      <c r="B366" s="171" t="s">
        <v>652</v>
      </c>
      <c r="C366" s="172">
        <v>20</v>
      </c>
      <c r="D366" s="172" t="s">
        <v>296</v>
      </c>
      <c r="E366" s="173">
        <v>735000</v>
      </c>
      <c r="F366" s="173">
        <f>C366*E366</f>
        <v>14700000</v>
      </c>
      <c r="I366" s="341"/>
      <c r="J366" s="172">
        <v>20</v>
      </c>
      <c r="K366" s="172" t="s">
        <v>296</v>
      </c>
      <c r="L366" s="173">
        <v>735000</v>
      </c>
      <c r="M366" s="173">
        <f>J366*L366</f>
        <v>14700000</v>
      </c>
    </row>
    <row r="367" spans="1:13" x14ac:dyDescent="0.25">
      <c r="A367" s="166" t="s">
        <v>18</v>
      </c>
      <c r="B367" s="166" t="s">
        <v>19</v>
      </c>
      <c r="C367" s="168"/>
      <c r="D367" s="168"/>
      <c r="E367" s="169"/>
      <c r="F367" s="167">
        <f>SUM(F368:F369)</f>
        <v>36480000</v>
      </c>
      <c r="I367" s="341"/>
      <c r="J367" s="168"/>
      <c r="K367" s="168"/>
      <c r="L367" s="169"/>
      <c r="M367" s="167">
        <f>SUM(M368:M369)</f>
        <v>36480000</v>
      </c>
    </row>
    <row r="368" spans="1:13" ht="30" x14ac:dyDescent="0.25">
      <c r="A368" s="170"/>
      <c r="B368" s="171" t="s">
        <v>581</v>
      </c>
      <c r="C368" s="172">
        <v>96</v>
      </c>
      <c r="D368" s="172" t="s">
        <v>301</v>
      </c>
      <c r="E368" s="173">
        <v>210000</v>
      </c>
      <c r="F368" s="173">
        <f>C368*E368</f>
        <v>20160000</v>
      </c>
      <c r="I368" s="341"/>
      <c r="J368" s="172">
        <v>96</v>
      </c>
      <c r="K368" s="172" t="s">
        <v>301</v>
      </c>
      <c r="L368" s="173">
        <v>210000</v>
      </c>
      <c r="M368" s="173">
        <f>J368*L368</f>
        <v>20160000</v>
      </c>
    </row>
    <row r="369" spans="1:14" ht="30" x14ac:dyDescent="0.25">
      <c r="A369" s="170"/>
      <c r="B369" s="171" t="s">
        <v>582</v>
      </c>
      <c r="C369" s="172">
        <v>96</v>
      </c>
      <c r="D369" s="172" t="s">
        <v>296</v>
      </c>
      <c r="E369" s="173">
        <v>170000</v>
      </c>
      <c r="F369" s="173">
        <f>C369*E369</f>
        <v>16320000</v>
      </c>
      <c r="I369" s="341"/>
      <c r="J369" s="172">
        <v>96</v>
      </c>
      <c r="K369" s="172" t="s">
        <v>296</v>
      </c>
      <c r="L369" s="173">
        <v>170000</v>
      </c>
      <c r="M369" s="173">
        <f>J369*L369</f>
        <v>16320000</v>
      </c>
    </row>
    <row r="370" spans="1:14" x14ac:dyDescent="0.25">
      <c r="A370" s="154" t="s">
        <v>666</v>
      </c>
      <c r="B370" s="154" t="s">
        <v>93</v>
      </c>
      <c r="C370" s="155" t="s">
        <v>85</v>
      </c>
      <c r="D370" s="155" t="s">
        <v>308</v>
      </c>
      <c r="E370" s="156"/>
      <c r="F370" s="157">
        <f>F371+F477</f>
        <v>120963200000</v>
      </c>
      <c r="I370" s="341"/>
      <c r="J370" s="155" t="s">
        <v>85</v>
      </c>
      <c r="K370" s="155" t="s">
        <v>308</v>
      </c>
      <c r="L370" s="156"/>
      <c r="M370" s="157">
        <f>M371+M477</f>
        <v>120481552000</v>
      </c>
    </row>
    <row r="371" spans="1:14" x14ac:dyDescent="0.25">
      <c r="A371" s="158" t="s">
        <v>94</v>
      </c>
      <c r="B371" s="158" t="s">
        <v>95</v>
      </c>
      <c r="C371" s="159" t="s">
        <v>11</v>
      </c>
      <c r="D371" s="159"/>
      <c r="E371" s="160"/>
      <c r="F371" s="161">
        <f>F372+F474</f>
        <v>114082512000</v>
      </c>
      <c r="G371" s="224"/>
      <c r="I371" s="341"/>
      <c r="J371" s="159" t="s">
        <v>11</v>
      </c>
      <c r="K371" s="159"/>
      <c r="L371" s="160"/>
      <c r="M371" s="161">
        <f>M372+M474</f>
        <v>114082512000</v>
      </c>
      <c r="N371" s="224"/>
    </row>
    <row r="372" spans="1:14" x14ac:dyDescent="0.25">
      <c r="A372" s="162" t="s">
        <v>12</v>
      </c>
      <c r="B372" s="162" t="s">
        <v>96</v>
      </c>
      <c r="C372" s="163"/>
      <c r="D372" s="163"/>
      <c r="E372" s="164"/>
      <c r="F372" s="165">
        <f>F373+F377+F381+F385+F389+F393+F397+F401+F403+F407+F411+F436+F446+F448+F450+F452+F454+F456+F458+F460+F467+F470+F472</f>
        <v>79468504000</v>
      </c>
      <c r="G372" s="220"/>
      <c r="I372" s="342">
        <f>F372-M372</f>
        <v>0</v>
      </c>
      <c r="J372" s="163"/>
      <c r="K372" s="163"/>
      <c r="L372" s="164"/>
      <c r="M372" s="165">
        <f>M373+M377+M381+M385+M389+M393+M397+M401+M403+M407+M411+M436+M446+M448+M450+M452+M454+M456+M458+M460+M467+M470+M472</f>
        <v>79468504000</v>
      </c>
      <c r="N372" s="220"/>
    </row>
    <row r="373" spans="1:14" x14ac:dyDescent="0.25">
      <c r="A373" s="166" t="s">
        <v>97</v>
      </c>
      <c r="B373" s="215" t="s">
        <v>98</v>
      </c>
      <c r="C373" s="168"/>
      <c r="D373" s="168"/>
      <c r="E373" s="169"/>
      <c r="F373" s="167">
        <f>SUM(F374:F376)</f>
        <v>29400000000</v>
      </c>
      <c r="G373" s="221"/>
      <c r="I373" s="341"/>
      <c r="J373" s="168"/>
      <c r="K373" s="168"/>
      <c r="L373" s="169"/>
      <c r="M373" s="167">
        <f>SUM(M374:M376)</f>
        <v>29400000000</v>
      </c>
      <c r="N373" s="221"/>
    </row>
    <row r="374" spans="1:14" x14ac:dyDescent="0.25">
      <c r="A374" s="170"/>
      <c r="B374" s="217" t="s">
        <v>211</v>
      </c>
      <c r="C374" s="172">
        <v>1</v>
      </c>
      <c r="D374" s="172" t="s">
        <v>309</v>
      </c>
      <c r="E374" s="173">
        <v>20580000000</v>
      </c>
      <c r="F374" s="173">
        <f>C374*E374</f>
        <v>20580000000</v>
      </c>
      <c r="G374" s="198"/>
      <c r="I374" s="341"/>
      <c r="J374" s="172">
        <v>1</v>
      </c>
      <c r="K374" s="172" t="s">
        <v>309</v>
      </c>
      <c r="L374" s="173">
        <v>20580000000</v>
      </c>
      <c r="M374" s="173">
        <f>J374*L374</f>
        <v>20580000000</v>
      </c>
      <c r="N374" s="198"/>
    </row>
    <row r="375" spans="1:14" x14ac:dyDescent="0.25">
      <c r="A375" s="170"/>
      <c r="B375" s="217" t="s">
        <v>212</v>
      </c>
      <c r="C375" s="172">
        <v>1</v>
      </c>
      <c r="D375" s="172" t="s">
        <v>310</v>
      </c>
      <c r="E375" s="173">
        <v>4410000000</v>
      </c>
      <c r="F375" s="173">
        <f>C375*E375</f>
        <v>4410000000</v>
      </c>
      <c r="G375" s="198"/>
      <c r="I375" s="341"/>
      <c r="J375" s="172">
        <v>1</v>
      </c>
      <c r="K375" s="172" t="s">
        <v>310</v>
      </c>
      <c r="L375" s="173">
        <v>4410000000</v>
      </c>
      <c r="M375" s="173">
        <f>J375*L375</f>
        <v>4410000000</v>
      </c>
      <c r="N375" s="198"/>
    </row>
    <row r="376" spans="1:14" x14ac:dyDescent="0.25">
      <c r="A376" s="170"/>
      <c r="B376" s="217" t="s">
        <v>213</v>
      </c>
      <c r="C376" s="172">
        <v>1</v>
      </c>
      <c r="D376" s="172" t="s">
        <v>310</v>
      </c>
      <c r="E376" s="173">
        <v>4410000000</v>
      </c>
      <c r="F376" s="173">
        <f>C376*E376</f>
        <v>4410000000</v>
      </c>
      <c r="G376" s="198"/>
      <c r="I376" s="341"/>
      <c r="J376" s="172">
        <v>1</v>
      </c>
      <c r="K376" s="172" t="s">
        <v>310</v>
      </c>
      <c r="L376" s="173">
        <v>4410000000</v>
      </c>
      <c r="M376" s="173">
        <f>J376*L376</f>
        <v>4410000000</v>
      </c>
      <c r="N376" s="198"/>
    </row>
    <row r="377" spans="1:14" x14ac:dyDescent="0.25">
      <c r="A377" s="166" t="s">
        <v>99</v>
      </c>
      <c r="B377" s="215" t="s">
        <v>100</v>
      </c>
      <c r="C377" s="168"/>
      <c r="D377" s="168"/>
      <c r="E377" s="169"/>
      <c r="F377" s="167">
        <f>SUM(F378:F380)</f>
        <v>433000</v>
      </c>
      <c r="G377" s="221"/>
      <c r="I377" s="341"/>
      <c r="J377" s="168"/>
      <c r="K377" s="168"/>
      <c r="L377" s="169"/>
      <c r="M377" s="167">
        <f>SUM(M378:M380)</f>
        <v>433000</v>
      </c>
      <c r="N377" s="221"/>
    </row>
    <row r="378" spans="1:14" x14ac:dyDescent="0.25">
      <c r="A378" s="170"/>
      <c r="B378" s="217" t="s">
        <v>214</v>
      </c>
      <c r="C378" s="172">
        <v>1</v>
      </c>
      <c r="D378" s="172" t="s">
        <v>309</v>
      </c>
      <c r="E378" s="173">
        <v>349000</v>
      </c>
      <c r="F378" s="173">
        <f>C378*E378</f>
        <v>349000</v>
      </c>
      <c r="G378" s="198"/>
      <c r="I378" s="341"/>
      <c r="J378" s="172">
        <v>1</v>
      </c>
      <c r="K378" s="172" t="s">
        <v>309</v>
      </c>
      <c r="L378" s="173">
        <v>349000</v>
      </c>
      <c r="M378" s="173">
        <f>J378*L378</f>
        <v>349000</v>
      </c>
      <c r="N378" s="198"/>
    </row>
    <row r="379" spans="1:14" x14ac:dyDescent="0.25">
      <c r="A379" s="170"/>
      <c r="B379" s="217" t="s">
        <v>215</v>
      </c>
      <c r="C379" s="172">
        <v>1</v>
      </c>
      <c r="D379" s="172" t="s">
        <v>310</v>
      </c>
      <c r="E379" s="173">
        <v>42000</v>
      </c>
      <c r="F379" s="173">
        <f>C379*E379</f>
        <v>42000</v>
      </c>
      <c r="G379" s="198"/>
      <c r="I379" s="341"/>
      <c r="J379" s="172">
        <v>1</v>
      </c>
      <c r="K379" s="172" t="s">
        <v>310</v>
      </c>
      <c r="L379" s="173">
        <v>42000</v>
      </c>
      <c r="M379" s="173">
        <f>J379*L379</f>
        <v>42000</v>
      </c>
      <c r="N379" s="198"/>
    </row>
    <row r="380" spans="1:14" x14ac:dyDescent="0.25">
      <c r="A380" s="170"/>
      <c r="B380" s="217" t="s">
        <v>216</v>
      </c>
      <c r="C380" s="172">
        <v>1</v>
      </c>
      <c r="D380" s="172" t="s">
        <v>310</v>
      </c>
      <c r="E380" s="173">
        <v>42000</v>
      </c>
      <c r="F380" s="173">
        <f>C380*E380</f>
        <v>42000</v>
      </c>
      <c r="G380" s="198"/>
      <c r="I380" s="341"/>
      <c r="J380" s="172">
        <v>1</v>
      </c>
      <c r="K380" s="172" t="s">
        <v>310</v>
      </c>
      <c r="L380" s="173">
        <v>42000</v>
      </c>
      <c r="M380" s="173">
        <f>J380*L380</f>
        <v>42000</v>
      </c>
      <c r="N380" s="198"/>
    </row>
    <row r="381" spans="1:14" x14ac:dyDescent="0.25">
      <c r="A381" s="166" t="s">
        <v>101</v>
      </c>
      <c r="B381" s="215" t="s">
        <v>102</v>
      </c>
      <c r="C381" s="168"/>
      <c r="D381" s="168"/>
      <c r="E381" s="169"/>
      <c r="F381" s="167">
        <f>SUM(F382:F384)</f>
        <v>2240000000</v>
      </c>
      <c r="G381" s="221"/>
      <c r="I381" s="341"/>
      <c r="J381" s="168"/>
      <c r="K381" s="168"/>
      <c r="L381" s="169"/>
      <c r="M381" s="167">
        <f>SUM(M382:M384)</f>
        <v>2240000000</v>
      </c>
      <c r="N381" s="221"/>
    </row>
    <row r="382" spans="1:14" x14ac:dyDescent="0.25">
      <c r="A382" s="170"/>
      <c r="B382" s="217" t="s">
        <v>217</v>
      </c>
      <c r="C382" s="172">
        <v>1</v>
      </c>
      <c r="D382" s="172" t="s">
        <v>309</v>
      </c>
      <c r="E382" s="173">
        <v>1836800000</v>
      </c>
      <c r="F382" s="173">
        <f>C382*E382</f>
        <v>1836800000</v>
      </c>
      <c r="G382" s="198"/>
      <c r="I382" s="341"/>
      <c r="J382" s="172">
        <v>1</v>
      </c>
      <c r="K382" s="172" t="s">
        <v>309</v>
      </c>
      <c r="L382" s="173">
        <v>1836800000</v>
      </c>
      <c r="M382" s="173">
        <f>J382*L382</f>
        <v>1836800000</v>
      </c>
      <c r="N382" s="198"/>
    </row>
    <row r="383" spans="1:14" x14ac:dyDescent="0.25">
      <c r="A383" s="170"/>
      <c r="B383" s="217" t="s">
        <v>218</v>
      </c>
      <c r="C383" s="172">
        <v>1</v>
      </c>
      <c r="D383" s="172" t="s">
        <v>310</v>
      </c>
      <c r="E383" s="173">
        <v>201600000</v>
      </c>
      <c r="F383" s="173">
        <f>C383*E383</f>
        <v>201600000</v>
      </c>
      <c r="G383" s="198"/>
      <c r="I383" s="341"/>
      <c r="J383" s="172">
        <v>1</v>
      </c>
      <c r="K383" s="172" t="s">
        <v>310</v>
      </c>
      <c r="L383" s="173">
        <v>201600000</v>
      </c>
      <c r="M383" s="173">
        <f>J383*L383</f>
        <v>201600000</v>
      </c>
      <c r="N383" s="198"/>
    </row>
    <row r="384" spans="1:14" x14ac:dyDescent="0.25">
      <c r="A384" s="170"/>
      <c r="B384" s="217" t="s">
        <v>219</v>
      </c>
      <c r="C384" s="172">
        <v>1</v>
      </c>
      <c r="D384" s="172" t="s">
        <v>310</v>
      </c>
      <c r="E384" s="173">
        <v>201600000</v>
      </c>
      <c r="F384" s="173">
        <f>C384*E384</f>
        <v>201600000</v>
      </c>
      <c r="G384" s="198"/>
      <c r="I384" s="341"/>
      <c r="J384" s="172">
        <v>1</v>
      </c>
      <c r="K384" s="172" t="s">
        <v>310</v>
      </c>
      <c r="L384" s="173">
        <v>201600000</v>
      </c>
      <c r="M384" s="173">
        <f>J384*L384</f>
        <v>201600000</v>
      </c>
      <c r="N384" s="198"/>
    </row>
    <row r="385" spans="1:14" x14ac:dyDescent="0.25">
      <c r="A385" s="166" t="s">
        <v>103</v>
      </c>
      <c r="B385" s="215" t="s">
        <v>104</v>
      </c>
      <c r="C385" s="168"/>
      <c r="D385" s="168"/>
      <c r="E385" s="169"/>
      <c r="F385" s="167">
        <f>SUM(F386:F388)</f>
        <v>308000000</v>
      </c>
      <c r="G385" s="221"/>
      <c r="I385" s="341"/>
      <c r="J385" s="168"/>
      <c r="K385" s="168"/>
      <c r="L385" s="169"/>
      <c r="M385" s="167">
        <f>SUM(M386:M388)</f>
        <v>308000000</v>
      </c>
      <c r="N385" s="221"/>
    </row>
    <row r="386" spans="1:14" x14ac:dyDescent="0.25">
      <c r="A386" s="170"/>
      <c r="B386" s="217" t="s">
        <v>220</v>
      </c>
      <c r="C386" s="172">
        <v>1</v>
      </c>
      <c r="D386" s="172" t="s">
        <v>309</v>
      </c>
      <c r="E386" s="173">
        <v>264000000</v>
      </c>
      <c r="F386" s="173">
        <f>C386*E386</f>
        <v>264000000</v>
      </c>
      <c r="G386" s="198"/>
      <c r="I386" s="341"/>
      <c r="J386" s="172">
        <v>1</v>
      </c>
      <c r="K386" s="172" t="s">
        <v>309</v>
      </c>
      <c r="L386" s="173">
        <v>264000000</v>
      </c>
      <c r="M386" s="173">
        <f>J386*L386</f>
        <v>264000000</v>
      </c>
      <c r="N386" s="198"/>
    </row>
    <row r="387" spans="1:14" x14ac:dyDescent="0.25">
      <c r="A387" s="170"/>
      <c r="B387" s="217" t="s">
        <v>221</v>
      </c>
      <c r="C387" s="172">
        <v>1</v>
      </c>
      <c r="D387" s="172" t="s">
        <v>310</v>
      </c>
      <c r="E387" s="173">
        <v>22000000</v>
      </c>
      <c r="F387" s="173">
        <f>C387*E387</f>
        <v>22000000</v>
      </c>
      <c r="G387" s="198"/>
      <c r="I387" s="341"/>
      <c r="J387" s="172">
        <v>1</v>
      </c>
      <c r="K387" s="172" t="s">
        <v>310</v>
      </c>
      <c r="L387" s="173">
        <v>22000000</v>
      </c>
      <c r="M387" s="173">
        <f>J387*L387</f>
        <v>22000000</v>
      </c>
      <c r="N387" s="198"/>
    </row>
    <row r="388" spans="1:14" x14ac:dyDescent="0.25">
      <c r="A388" s="170"/>
      <c r="B388" s="217" t="s">
        <v>222</v>
      </c>
      <c r="C388" s="172">
        <v>1</v>
      </c>
      <c r="D388" s="172" t="s">
        <v>310</v>
      </c>
      <c r="E388" s="173">
        <v>22000000</v>
      </c>
      <c r="F388" s="173">
        <f>C388*E388</f>
        <v>22000000</v>
      </c>
      <c r="G388" s="198"/>
      <c r="I388" s="341"/>
      <c r="J388" s="172">
        <v>1</v>
      </c>
      <c r="K388" s="172" t="s">
        <v>310</v>
      </c>
      <c r="L388" s="173">
        <v>22000000</v>
      </c>
      <c r="M388" s="173">
        <f>J388*L388</f>
        <v>22000000</v>
      </c>
      <c r="N388" s="198"/>
    </row>
    <row r="389" spans="1:14" x14ac:dyDescent="0.25">
      <c r="A389" s="166" t="s">
        <v>105</v>
      </c>
      <c r="B389" s="215" t="s">
        <v>106</v>
      </c>
      <c r="C389" s="168"/>
      <c r="D389" s="168"/>
      <c r="E389" s="169"/>
      <c r="F389" s="167">
        <f>SUM(F390:F392)</f>
        <v>70000000</v>
      </c>
      <c r="G389" s="221"/>
      <c r="I389" s="341"/>
      <c r="J389" s="168"/>
      <c r="K389" s="168"/>
      <c r="L389" s="169"/>
      <c r="M389" s="167">
        <f>SUM(M390:M392)</f>
        <v>70000000</v>
      </c>
      <c r="N389" s="221"/>
    </row>
    <row r="390" spans="1:14" x14ac:dyDescent="0.25">
      <c r="A390" s="170"/>
      <c r="B390" s="217" t="s">
        <v>223</v>
      </c>
      <c r="C390" s="172">
        <v>1</v>
      </c>
      <c r="D390" s="172" t="s">
        <v>309</v>
      </c>
      <c r="E390" s="173">
        <v>60000000</v>
      </c>
      <c r="F390" s="173">
        <f>C390*E390</f>
        <v>60000000</v>
      </c>
      <c r="G390" s="198"/>
      <c r="I390" s="341"/>
      <c r="J390" s="172">
        <v>1</v>
      </c>
      <c r="K390" s="172" t="s">
        <v>309</v>
      </c>
      <c r="L390" s="173">
        <v>60000000</v>
      </c>
      <c r="M390" s="173">
        <f>J390*L390</f>
        <v>60000000</v>
      </c>
      <c r="N390" s="198"/>
    </row>
    <row r="391" spans="1:14" x14ac:dyDescent="0.25">
      <c r="A391" s="170"/>
      <c r="B391" s="217" t="s">
        <v>224</v>
      </c>
      <c r="C391" s="172">
        <v>1</v>
      </c>
      <c r="D391" s="172" t="s">
        <v>310</v>
      </c>
      <c r="E391" s="173">
        <v>5000000</v>
      </c>
      <c r="F391" s="173">
        <f>C391*E391</f>
        <v>5000000</v>
      </c>
      <c r="G391" s="198"/>
      <c r="I391" s="341"/>
      <c r="J391" s="172">
        <v>1</v>
      </c>
      <c r="K391" s="172" t="s">
        <v>310</v>
      </c>
      <c r="L391" s="173">
        <v>5000000</v>
      </c>
      <c r="M391" s="173">
        <f>J391*L391</f>
        <v>5000000</v>
      </c>
      <c r="N391" s="198"/>
    </row>
    <row r="392" spans="1:14" x14ac:dyDescent="0.25">
      <c r="A392" s="170"/>
      <c r="B392" s="217" t="s">
        <v>225</v>
      </c>
      <c r="C392" s="172">
        <v>1</v>
      </c>
      <c r="D392" s="172" t="s">
        <v>310</v>
      </c>
      <c r="E392" s="173">
        <v>5000000</v>
      </c>
      <c r="F392" s="173">
        <f>C392*E392</f>
        <v>5000000</v>
      </c>
      <c r="G392" s="198"/>
      <c r="I392" s="341"/>
      <c r="J392" s="172">
        <v>1</v>
      </c>
      <c r="K392" s="172" t="s">
        <v>310</v>
      </c>
      <c r="L392" s="173">
        <v>5000000</v>
      </c>
      <c r="M392" s="173">
        <f>J392*L392</f>
        <v>5000000</v>
      </c>
      <c r="N392" s="198"/>
    </row>
    <row r="393" spans="1:14" x14ac:dyDescent="0.25">
      <c r="A393" s="166" t="s">
        <v>107</v>
      </c>
      <c r="B393" s="215" t="s">
        <v>108</v>
      </c>
      <c r="C393" s="168"/>
      <c r="D393" s="168"/>
      <c r="E393" s="169"/>
      <c r="F393" s="167">
        <f>SUM(F394:F396)</f>
        <v>4200000000</v>
      </c>
      <c r="G393" s="221"/>
      <c r="I393" s="341"/>
      <c r="J393" s="168"/>
      <c r="K393" s="168"/>
      <c r="L393" s="169"/>
      <c r="M393" s="167">
        <f>SUM(M394:M396)</f>
        <v>4200000000</v>
      </c>
      <c r="N393" s="221"/>
    </row>
    <row r="394" spans="1:14" x14ac:dyDescent="0.25">
      <c r="A394" s="170"/>
      <c r="B394" s="217" t="s">
        <v>226</v>
      </c>
      <c r="C394" s="172">
        <v>1</v>
      </c>
      <c r="D394" s="172" t="s">
        <v>309</v>
      </c>
      <c r="E394" s="173">
        <v>3600000000</v>
      </c>
      <c r="F394" s="173">
        <f>C394*E394</f>
        <v>3600000000</v>
      </c>
      <c r="G394" s="198"/>
      <c r="I394" s="341"/>
      <c r="J394" s="172">
        <v>1</v>
      </c>
      <c r="K394" s="172" t="s">
        <v>309</v>
      </c>
      <c r="L394" s="173">
        <v>3600000000</v>
      </c>
      <c r="M394" s="173">
        <f>J394*L394</f>
        <v>3600000000</v>
      </c>
      <c r="N394" s="198"/>
    </row>
    <row r="395" spans="1:14" x14ac:dyDescent="0.25">
      <c r="A395" s="170"/>
      <c r="B395" s="217" t="s">
        <v>227</v>
      </c>
      <c r="C395" s="172">
        <v>1</v>
      </c>
      <c r="D395" s="172" t="s">
        <v>310</v>
      </c>
      <c r="E395" s="173">
        <v>300000000</v>
      </c>
      <c r="F395" s="173">
        <f>C395*E395</f>
        <v>300000000</v>
      </c>
      <c r="G395" s="198"/>
      <c r="I395" s="341"/>
      <c r="J395" s="172">
        <v>1</v>
      </c>
      <c r="K395" s="172" t="s">
        <v>310</v>
      </c>
      <c r="L395" s="173">
        <v>300000000</v>
      </c>
      <c r="M395" s="173">
        <f>J395*L395</f>
        <v>300000000</v>
      </c>
      <c r="N395" s="198"/>
    </row>
    <row r="396" spans="1:14" x14ac:dyDescent="0.25">
      <c r="A396" s="170"/>
      <c r="B396" s="217" t="s">
        <v>228</v>
      </c>
      <c r="C396" s="172">
        <v>1</v>
      </c>
      <c r="D396" s="172" t="s">
        <v>310</v>
      </c>
      <c r="E396" s="173">
        <v>300000000</v>
      </c>
      <c r="F396" s="173">
        <f>C396*E396</f>
        <v>300000000</v>
      </c>
      <c r="G396" s="198"/>
      <c r="I396" s="341"/>
      <c r="J396" s="172">
        <v>1</v>
      </c>
      <c r="K396" s="172" t="s">
        <v>310</v>
      </c>
      <c r="L396" s="173">
        <v>300000000</v>
      </c>
      <c r="M396" s="173">
        <f>J396*L396</f>
        <v>300000000</v>
      </c>
      <c r="N396" s="198"/>
    </row>
    <row r="397" spans="1:14" x14ac:dyDescent="0.25">
      <c r="A397" s="166" t="s">
        <v>109</v>
      </c>
      <c r="B397" s="215" t="s">
        <v>110</v>
      </c>
      <c r="C397" s="168"/>
      <c r="D397" s="168"/>
      <c r="E397" s="169"/>
      <c r="F397" s="167">
        <f>SUM(F398:F400)</f>
        <v>399991000</v>
      </c>
      <c r="G397" s="221"/>
      <c r="I397" s="341"/>
      <c r="J397" s="168"/>
      <c r="K397" s="168"/>
      <c r="L397" s="169"/>
      <c r="M397" s="167">
        <f>SUM(M398:M400)</f>
        <v>399991000</v>
      </c>
      <c r="N397" s="221"/>
    </row>
    <row r="398" spans="1:14" x14ac:dyDescent="0.25">
      <c r="A398" s="170"/>
      <c r="B398" s="217" t="s">
        <v>229</v>
      </c>
      <c r="C398" s="172">
        <v>1</v>
      </c>
      <c r="D398" s="172" t="s">
        <v>309</v>
      </c>
      <c r="E398" s="173">
        <v>354763000</v>
      </c>
      <c r="F398" s="173">
        <f>C398*E398</f>
        <v>354763000</v>
      </c>
      <c r="G398" s="198"/>
      <c r="I398" s="341"/>
      <c r="J398" s="172">
        <v>1</v>
      </c>
      <c r="K398" s="172" t="s">
        <v>309</v>
      </c>
      <c r="L398" s="173">
        <v>354763000</v>
      </c>
      <c r="M398" s="173">
        <f>J398*L398</f>
        <v>354763000</v>
      </c>
      <c r="N398" s="198"/>
    </row>
    <row r="399" spans="1:14" x14ac:dyDescent="0.25">
      <c r="A399" s="170"/>
      <c r="B399" s="217" t="s">
        <v>230</v>
      </c>
      <c r="C399" s="172">
        <v>1</v>
      </c>
      <c r="D399" s="172" t="s">
        <v>310</v>
      </c>
      <c r="E399" s="173">
        <v>22614000</v>
      </c>
      <c r="F399" s="173">
        <f>C399*E399</f>
        <v>22614000</v>
      </c>
      <c r="G399" s="198"/>
      <c r="I399" s="341"/>
      <c r="J399" s="172">
        <v>1</v>
      </c>
      <c r="K399" s="172" t="s">
        <v>310</v>
      </c>
      <c r="L399" s="173">
        <v>22614000</v>
      </c>
      <c r="M399" s="173">
        <f>J399*L399</f>
        <v>22614000</v>
      </c>
      <c r="N399" s="198"/>
    </row>
    <row r="400" spans="1:14" x14ac:dyDescent="0.25">
      <c r="A400" s="170"/>
      <c r="B400" s="217" t="s">
        <v>231</v>
      </c>
      <c r="C400" s="172">
        <v>1</v>
      </c>
      <c r="D400" s="172" t="s">
        <v>310</v>
      </c>
      <c r="E400" s="173">
        <v>22614000</v>
      </c>
      <c r="F400" s="173">
        <f>C400*E400</f>
        <v>22614000</v>
      </c>
      <c r="G400" s="198"/>
      <c r="I400" s="341"/>
      <c r="J400" s="172">
        <v>1</v>
      </c>
      <c r="K400" s="172" t="s">
        <v>310</v>
      </c>
      <c r="L400" s="173">
        <v>22614000</v>
      </c>
      <c r="M400" s="173">
        <f>J400*L400</f>
        <v>22614000</v>
      </c>
      <c r="N400" s="198"/>
    </row>
    <row r="401" spans="1:14" x14ac:dyDescent="0.25">
      <c r="A401" s="166" t="s">
        <v>111</v>
      </c>
      <c r="B401" s="215" t="s">
        <v>112</v>
      </c>
      <c r="C401" s="168"/>
      <c r="D401" s="168"/>
      <c r="E401" s="169"/>
      <c r="F401" s="167">
        <f>F402</f>
        <v>1050000000</v>
      </c>
      <c r="G401" s="221"/>
      <c r="I401" s="341"/>
      <c r="J401" s="168"/>
      <c r="K401" s="168"/>
      <c r="L401" s="169"/>
      <c r="M401" s="167">
        <f>M402</f>
        <v>1050000000</v>
      </c>
      <c r="N401" s="221"/>
    </row>
    <row r="402" spans="1:14" x14ac:dyDescent="0.25">
      <c r="A402" s="170"/>
      <c r="B402" s="217" t="s">
        <v>232</v>
      </c>
      <c r="C402" s="172">
        <v>1</v>
      </c>
      <c r="D402" s="172" t="s">
        <v>309</v>
      </c>
      <c r="E402" s="173">
        <v>1050000000</v>
      </c>
      <c r="F402" s="173">
        <f>C402*E402</f>
        <v>1050000000</v>
      </c>
      <c r="G402" s="198"/>
      <c r="I402" s="341"/>
      <c r="J402" s="172">
        <v>1</v>
      </c>
      <c r="K402" s="172" t="s">
        <v>309</v>
      </c>
      <c r="L402" s="173">
        <v>1050000000</v>
      </c>
      <c r="M402" s="173">
        <f>J402*L402</f>
        <v>1050000000</v>
      </c>
      <c r="N402" s="198"/>
    </row>
    <row r="403" spans="1:14" x14ac:dyDescent="0.25">
      <c r="A403" s="166" t="s">
        <v>113</v>
      </c>
      <c r="B403" s="215" t="s">
        <v>114</v>
      </c>
      <c r="C403" s="168"/>
      <c r="D403" s="168"/>
      <c r="E403" s="169"/>
      <c r="F403" s="167">
        <f>SUM(F404:F406)</f>
        <v>3839997000</v>
      </c>
      <c r="G403" s="221"/>
      <c r="I403" s="341"/>
      <c r="J403" s="168"/>
      <c r="K403" s="168"/>
      <c r="L403" s="169"/>
      <c r="M403" s="167">
        <f>SUM(M404:M406)</f>
        <v>3839997000</v>
      </c>
      <c r="N403" s="221"/>
    </row>
    <row r="404" spans="1:14" x14ac:dyDescent="0.25">
      <c r="A404" s="170"/>
      <c r="B404" s="217" t="s">
        <v>233</v>
      </c>
      <c r="C404" s="172">
        <v>42519</v>
      </c>
      <c r="D404" s="172" t="s">
        <v>301</v>
      </c>
      <c r="E404" s="173">
        <v>41000</v>
      </c>
      <c r="F404" s="173">
        <f>C404*E404</f>
        <v>1743279000</v>
      </c>
      <c r="G404" s="198"/>
      <c r="I404" s="341"/>
      <c r="J404" s="172">
        <v>42519</v>
      </c>
      <c r="K404" s="172" t="s">
        <v>301</v>
      </c>
      <c r="L404" s="173">
        <v>41000</v>
      </c>
      <c r="M404" s="173">
        <f>J404*L404</f>
        <v>1743279000</v>
      </c>
      <c r="N404" s="198"/>
    </row>
    <row r="405" spans="1:14" x14ac:dyDescent="0.25">
      <c r="A405" s="170"/>
      <c r="B405" s="217" t="s">
        <v>234</v>
      </c>
      <c r="C405" s="172">
        <v>54254</v>
      </c>
      <c r="D405" s="172" t="s">
        <v>301</v>
      </c>
      <c r="E405" s="173">
        <v>37000</v>
      </c>
      <c r="F405" s="173">
        <f>C405*E405</f>
        <v>2007398000</v>
      </c>
      <c r="G405" s="198"/>
      <c r="I405" s="341"/>
      <c r="J405" s="172">
        <v>54254</v>
      </c>
      <c r="K405" s="172" t="s">
        <v>301</v>
      </c>
      <c r="L405" s="173">
        <v>37000</v>
      </c>
      <c r="M405" s="173">
        <f>J405*L405</f>
        <v>2007398000</v>
      </c>
      <c r="N405" s="198"/>
    </row>
    <row r="406" spans="1:14" x14ac:dyDescent="0.25">
      <c r="A406" s="170"/>
      <c r="B406" s="217" t="s">
        <v>235</v>
      </c>
      <c r="C406" s="172">
        <v>2552</v>
      </c>
      <c r="D406" s="172" t="s">
        <v>301</v>
      </c>
      <c r="E406" s="173">
        <v>35000</v>
      </c>
      <c r="F406" s="173">
        <f>C406*E406</f>
        <v>89320000</v>
      </c>
      <c r="G406" s="198"/>
      <c r="I406" s="341"/>
      <c r="J406" s="172">
        <v>2552</v>
      </c>
      <c r="K406" s="172" t="s">
        <v>301</v>
      </c>
      <c r="L406" s="173">
        <v>35000</v>
      </c>
      <c r="M406" s="173">
        <f>J406*L406</f>
        <v>89320000</v>
      </c>
      <c r="N406" s="198"/>
    </row>
    <row r="407" spans="1:14" x14ac:dyDescent="0.25">
      <c r="A407" s="166" t="s">
        <v>115</v>
      </c>
      <c r="B407" s="215" t="s">
        <v>116</v>
      </c>
      <c r="C407" s="168"/>
      <c r="D407" s="168"/>
      <c r="E407" s="169"/>
      <c r="F407" s="167">
        <f>SUM(F408:F410)</f>
        <v>116060000</v>
      </c>
      <c r="G407" s="221"/>
      <c r="I407" s="341"/>
      <c r="J407" s="168"/>
      <c r="K407" s="168"/>
      <c r="L407" s="169"/>
      <c r="M407" s="167">
        <f>SUM(M408:M410)</f>
        <v>116060000</v>
      </c>
      <c r="N407" s="221"/>
    </row>
    <row r="408" spans="1:14" x14ac:dyDescent="0.25">
      <c r="A408" s="170"/>
      <c r="B408" s="217" t="s">
        <v>236</v>
      </c>
      <c r="C408" s="172">
        <v>1</v>
      </c>
      <c r="D408" s="172" t="s">
        <v>309</v>
      </c>
      <c r="E408" s="173">
        <v>99480000</v>
      </c>
      <c r="F408" s="173">
        <f>C408*E408</f>
        <v>99480000</v>
      </c>
      <c r="G408" s="198"/>
      <c r="I408" s="341"/>
      <c r="J408" s="172">
        <v>1</v>
      </c>
      <c r="K408" s="172" t="s">
        <v>309</v>
      </c>
      <c r="L408" s="173">
        <v>99480000</v>
      </c>
      <c r="M408" s="173">
        <f>J408*L408</f>
        <v>99480000</v>
      </c>
      <c r="N408" s="198"/>
    </row>
    <row r="409" spans="1:14" x14ac:dyDescent="0.25">
      <c r="A409" s="170"/>
      <c r="B409" s="217" t="s">
        <v>237</v>
      </c>
      <c r="C409" s="172">
        <v>1</v>
      </c>
      <c r="D409" s="172" t="s">
        <v>310</v>
      </c>
      <c r="E409" s="173">
        <v>8290000</v>
      </c>
      <c r="F409" s="173">
        <f>C409*E409</f>
        <v>8290000</v>
      </c>
      <c r="G409" s="198"/>
      <c r="I409" s="341"/>
      <c r="J409" s="172">
        <v>1</v>
      </c>
      <c r="K409" s="172" t="s">
        <v>310</v>
      </c>
      <c r="L409" s="173">
        <v>8290000</v>
      </c>
      <c r="M409" s="173">
        <f>J409*L409</f>
        <v>8290000</v>
      </c>
      <c r="N409" s="198"/>
    </row>
    <row r="410" spans="1:14" x14ac:dyDescent="0.25">
      <c r="A410" s="170"/>
      <c r="B410" s="217" t="s">
        <v>238</v>
      </c>
      <c r="C410" s="172">
        <v>1</v>
      </c>
      <c r="D410" s="172" t="s">
        <v>310</v>
      </c>
      <c r="E410" s="173">
        <v>8290000</v>
      </c>
      <c r="F410" s="173">
        <f>C410*E410</f>
        <v>8290000</v>
      </c>
      <c r="G410" s="198"/>
      <c r="I410" s="341"/>
      <c r="J410" s="172">
        <v>1</v>
      </c>
      <c r="K410" s="172" t="s">
        <v>310</v>
      </c>
      <c r="L410" s="173">
        <v>8290000</v>
      </c>
      <c r="M410" s="173">
        <f>J410*L410</f>
        <v>8290000</v>
      </c>
      <c r="N410" s="198"/>
    </row>
    <row r="411" spans="1:14" x14ac:dyDescent="0.25">
      <c r="A411" s="166" t="s">
        <v>117</v>
      </c>
      <c r="B411" s="215" t="s">
        <v>118</v>
      </c>
      <c r="C411" s="168"/>
      <c r="D411" s="168"/>
      <c r="E411" s="169"/>
      <c r="F411" s="167">
        <f>SUM(F412:F435)</f>
        <v>22800000000</v>
      </c>
      <c r="G411" s="221"/>
      <c r="I411" s="341"/>
      <c r="J411" s="168"/>
      <c r="K411" s="168"/>
      <c r="L411" s="169"/>
      <c r="M411" s="167">
        <f>SUM(M412:M435)</f>
        <v>22800000000</v>
      </c>
      <c r="N411" s="221"/>
    </row>
    <row r="412" spans="1:14" x14ac:dyDescent="0.25">
      <c r="A412" s="170"/>
      <c r="B412" s="217" t="s">
        <v>239</v>
      </c>
      <c r="C412" s="172">
        <v>312</v>
      </c>
      <c r="D412" s="172" t="s">
        <v>299</v>
      </c>
      <c r="E412" s="173">
        <v>3500000</v>
      </c>
      <c r="F412" s="173">
        <f t="shared" ref="F412:F435" si="102">C412*E412</f>
        <v>1092000000</v>
      </c>
      <c r="G412" s="198"/>
      <c r="I412" s="341"/>
      <c r="J412" s="172">
        <v>312</v>
      </c>
      <c r="K412" s="172" t="s">
        <v>299</v>
      </c>
      <c r="L412" s="173">
        <v>3500000</v>
      </c>
      <c r="M412" s="173">
        <f t="shared" ref="M412:M435" si="103">J412*L412</f>
        <v>1092000000</v>
      </c>
      <c r="N412" s="198"/>
    </row>
    <row r="413" spans="1:14" x14ac:dyDescent="0.25">
      <c r="A413" s="170"/>
      <c r="B413" s="217" t="s">
        <v>240</v>
      </c>
      <c r="C413" s="172">
        <v>612</v>
      </c>
      <c r="D413" s="172" t="s">
        <v>299</v>
      </c>
      <c r="E413" s="173">
        <v>3500000</v>
      </c>
      <c r="F413" s="173">
        <f t="shared" si="102"/>
        <v>2142000000</v>
      </c>
      <c r="G413" s="198"/>
      <c r="I413" s="341"/>
      <c r="J413" s="172">
        <v>612</v>
      </c>
      <c r="K413" s="172" t="s">
        <v>299</v>
      </c>
      <c r="L413" s="173">
        <v>3500000</v>
      </c>
      <c r="M413" s="173">
        <f t="shared" si="103"/>
        <v>2142000000</v>
      </c>
      <c r="N413" s="198"/>
    </row>
    <row r="414" spans="1:14" x14ac:dyDescent="0.25">
      <c r="A414" s="170"/>
      <c r="B414" s="217" t="s">
        <v>241</v>
      </c>
      <c r="C414" s="172">
        <v>348</v>
      </c>
      <c r="D414" s="172" t="s">
        <v>299</v>
      </c>
      <c r="E414" s="173">
        <v>3500000</v>
      </c>
      <c r="F414" s="173">
        <f t="shared" si="102"/>
        <v>1218000000</v>
      </c>
      <c r="G414" s="198"/>
      <c r="I414" s="341"/>
      <c r="J414" s="172">
        <v>348</v>
      </c>
      <c r="K414" s="172" t="s">
        <v>299</v>
      </c>
      <c r="L414" s="173">
        <v>3500000</v>
      </c>
      <c r="M414" s="173">
        <f t="shared" si="103"/>
        <v>1218000000</v>
      </c>
      <c r="N414" s="198"/>
    </row>
    <row r="415" spans="1:14" x14ac:dyDescent="0.25">
      <c r="A415" s="170"/>
      <c r="B415" s="217" t="s">
        <v>242</v>
      </c>
      <c r="C415" s="172">
        <v>864</v>
      </c>
      <c r="D415" s="172" t="s">
        <v>299</v>
      </c>
      <c r="E415" s="173">
        <v>3500000</v>
      </c>
      <c r="F415" s="173">
        <f t="shared" si="102"/>
        <v>3024000000</v>
      </c>
      <c r="G415" s="198"/>
      <c r="I415" s="341"/>
      <c r="J415" s="172">
        <v>864</v>
      </c>
      <c r="K415" s="172" t="s">
        <v>299</v>
      </c>
      <c r="L415" s="173">
        <v>3500000</v>
      </c>
      <c r="M415" s="173">
        <f t="shared" si="103"/>
        <v>3024000000</v>
      </c>
      <c r="N415" s="198"/>
    </row>
    <row r="416" spans="1:14" x14ac:dyDescent="0.25">
      <c r="A416" s="170"/>
      <c r="B416" s="217" t="s">
        <v>243</v>
      </c>
      <c r="C416" s="172">
        <v>516</v>
      </c>
      <c r="D416" s="172" t="s">
        <v>299</v>
      </c>
      <c r="E416" s="173">
        <v>4000000</v>
      </c>
      <c r="F416" s="173">
        <f t="shared" si="102"/>
        <v>2064000000</v>
      </c>
      <c r="G416" s="198"/>
      <c r="I416" s="341"/>
      <c r="J416" s="172">
        <v>516</v>
      </c>
      <c r="K416" s="172" t="s">
        <v>299</v>
      </c>
      <c r="L416" s="173">
        <v>4000000</v>
      </c>
      <c r="M416" s="173">
        <f t="shared" si="103"/>
        <v>2064000000</v>
      </c>
      <c r="N416" s="198"/>
    </row>
    <row r="417" spans="1:14" x14ac:dyDescent="0.25">
      <c r="A417" s="170"/>
      <c r="B417" s="217" t="s">
        <v>244</v>
      </c>
      <c r="C417" s="172">
        <v>288</v>
      </c>
      <c r="D417" s="172" t="s">
        <v>299</v>
      </c>
      <c r="E417" s="173">
        <v>4000000</v>
      </c>
      <c r="F417" s="173">
        <f t="shared" si="102"/>
        <v>1152000000</v>
      </c>
      <c r="G417" s="198"/>
      <c r="I417" s="341"/>
      <c r="J417" s="172">
        <v>288</v>
      </c>
      <c r="K417" s="172" t="s">
        <v>299</v>
      </c>
      <c r="L417" s="173">
        <v>4000000</v>
      </c>
      <c r="M417" s="173">
        <f t="shared" si="103"/>
        <v>1152000000</v>
      </c>
      <c r="N417" s="198"/>
    </row>
    <row r="418" spans="1:14" x14ac:dyDescent="0.25">
      <c r="A418" s="170"/>
      <c r="B418" s="217" t="s">
        <v>245</v>
      </c>
      <c r="C418" s="172">
        <v>144</v>
      </c>
      <c r="D418" s="172" t="s">
        <v>299</v>
      </c>
      <c r="E418" s="173">
        <v>4100000</v>
      </c>
      <c r="F418" s="173">
        <f t="shared" si="102"/>
        <v>590400000</v>
      </c>
      <c r="G418" s="198"/>
      <c r="I418" s="341"/>
      <c r="J418" s="172">
        <v>144</v>
      </c>
      <c r="K418" s="172" t="s">
        <v>299</v>
      </c>
      <c r="L418" s="173">
        <v>4100000</v>
      </c>
      <c r="M418" s="173">
        <f t="shared" si="103"/>
        <v>590400000</v>
      </c>
      <c r="N418" s="198"/>
    </row>
    <row r="419" spans="1:14" x14ac:dyDescent="0.25">
      <c r="A419" s="170"/>
      <c r="B419" s="217" t="s">
        <v>246</v>
      </c>
      <c r="C419" s="172">
        <v>396</v>
      </c>
      <c r="D419" s="172" t="s">
        <v>299</v>
      </c>
      <c r="E419" s="173">
        <v>4500000</v>
      </c>
      <c r="F419" s="173">
        <f t="shared" si="102"/>
        <v>1782000000</v>
      </c>
      <c r="G419" s="198"/>
      <c r="I419" s="341"/>
      <c r="J419" s="172">
        <v>396</v>
      </c>
      <c r="K419" s="172" t="s">
        <v>299</v>
      </c>
      <c r="L419" s="173">
        <v>4500000</v>
      </c>
      <c r="M419" s="173">
        <f t="shared" si="103"/>
        <v>1782000000</v>
      </c>
      <c r="N419" s="198"/>
    </row>
    <row r="420" spans="1:14" x14ac:dyDescent="0.25">
      <c r="A420" s="170"/>
      <c r="B420" s="217" t="s">
        <v>247</v>
      </c>
      <c r="C420" s="172">
        <v>144</v>
      </c>
      <c r="D420" s="172" t="s">
        <v>299</v>
      </c>
      <c r="E420" s="173">
        <v>4500000</v>
      </c>
      <c r="F420" s="173">
        <f t="shared" si="102"/>
        <v>648000000</v>
      </c>
      <c r="G420" s="198"/>
      <c r="I420" s="341"/>
      <c r="J420" s="172">
        <v>144</v>
      </c>
      <c r="K420" s="172" t="s">
        <v>299</v>
      </c>
      <c r="L420" s="173">
        <v>4500000</v>
      </c>
      <c r="M420" s="173">
        <f t="shared" si="103"/>
        <v>648000000</v>
      </c>
      <c r="N420" s="198"/>
    </row>
    <row r="421" spans="1:14" x14ac:dyDescent="0.25">
      <c r="A421" s="170"/>
      <c r="B421" s="216" t="s">
        <v>734</v>
      </c>
      <c r="C421" s="172">
        <v>276</v>
      </c>
      <c r="D421" s="172" t="s">
        <v>299</v>
      </c>
      <c r="E421" s="173">
        <v>4500000</v>
      </c>
      <c r="F421" s="173">
        <f t="shared" si="102"/>
        <v>1242000000</v>
      </c>
      <c r="G421" s="198"/>
      <c r="I421" s="341"/>
      <c r="J421" s="172">
        <v>276</v>
      </c>
      <c r="K421" s="172" t="s">
        <v>299</v>
      </c>
      <c r="L421" s="173">
        <v>4500000</v>
      </c>
      <c r="M421" s="173">
        <f t="shared" si="103"/>
        <v>1242000000</v>
      </c>
      <c r="N421" s="198"/>
    </row>
    <row r="422" spans="1:14" x14ac:dyDescent="0.25">
      <c r="A422" s="170"/>
      <c r="B422" s="217" t="s">
        <v>340</v>
      </c>
      <c r="C422" s="172">
        <v>299</v>
      </c>
      <c r="D422" s="172" t="s">
        <v>299</v>
      </c>
      <c r="E422" s="173">
        <v>4200000</v>
      </c>
      <c r="F422" s="173">
        <f t="shared" si="102"/>
        <v>1255800000</v>
      </c>
      <c r="G422" s="198"/>
      <c r="I422" s="341"/>
      <c r="J422" s="172">
        <v>299</v>
      </c>
      <c r="K422" s="172" t="s">
        <v>299</v>
      </c>
      <c r="L422" s="173">
        <v>4200000</v>
      </c>
      <c r="M422" s="173">
        <f t="shared" si="103"/>
        <v>1255800000</v>
      </c>
      <c r="N422" s="198"/>
    </row>
    <row r="423" spans="1:14" x14ac:dyDescent="0.25">
      <c r="A423" s="170"/>
      <c r="B423" s="217" t="s">
        <v>249</v>
      </c>
      <c r="C423" s="172">
        <v>120</v>
      </c>
      <c r="D423" s="172" t="s">
        <v>299</v>
      </c>
      <c r="E423" s="173">
        <v>4200000</v>
      </c>
      <c r="F423" s="173">
        <f t="shared" si="102"/>
        <v>504000000</v>
      </c>
      <c r="G423" s="198"/>
      <c r="I423" s="341"/>
      <c r="J423" s="172">
        <v>120</v>
      </c>
      <c r="K423" s="172" t="s">
        <v>299</v>
      </c>
      <c r="L423" s="173">
        <v>4200000</v>
      </c>
      <c r="M423" s="173">
        <f t="shared" si="103"/>
        <v>504000000</v>
      </c>
      <c r="N423" s="198"/>
    </row>
    <row r="424" spans="1:14" x14ac:dyDescent="0.25">
      <c r="A424" s="170"/>
      <c r="B424" s="217" t="s">
        <v>250</v>
      </c>
      <c r="C424" s="172">
        <v>144</v>
      </c>
      <c r="D424" s="172" t="s">
        <v>299</v>
      </c>
      <c r="E424" s="173">
        <v>4500000</v>
      </c>
      <c r="F424" s="173">
        <f t="shared" si="102"/>
        <v>648000000</v>
      </c>
      <c r="G424" s="198"/>
      <c r="I424" s="341"/>
      <c r="J424" s="172">
        <v>144</v>
      </c>
      <c r="K424" s="172" t="s">
        <v>299</v>
      </c>
      <c r="L424" s="173">
        <v>4500000</v>
      </c>
      <c r="M424" s="173">
        <f t="shared" si="103"/>
        <v>648000000</v>
      </c>
      <c r="N424" s="198"/>
    </row>
    <row r="425" spans="1:14" x14ac:dyDescent="0.25">
      <c r="A425" s="170"/>
      <c r="B425" s="216" t="s">
        <v>730</v>
      </c>
      <c r="C425" s="172">
        <v>144</v>
      </c>
      <c r="D425" s="172" t="s">
        <v>299</v>
      </c>
      <c r="E425" s="173">
        <v>4500000</v>
      </c>
      <c r="F425" s="173">
        <f t="shared" si="102"/>
        <v>648000000</v>
      </c>
      <c r="G425" s="198"/>
      <c r="I425" s="341"/>
      <c r="J425" s="172">
        <v>144</v>
      </c>
      <c r="K425" s="172" t="s">
        <v>299</v>
      </c>
      <c r="L425" s="173">
        <v>4500000</v>
      </c>
      <c r="M425" s="173">
        <f t="shared" si="103"/>
        <v>648000000</v>
      </c>
      <c r="N425" s="198"/>
    </row>
    <row r="426" spans="1:14" x14ac:dyDescent="0.25">
      <c r="A426" s="170"/>
      <c r="B426" s="216" t="s">
        <v>731</v>
      </c>
      <c r="C426" s="172">
        <v>144</v>
      </c>
      <c r="D426" s="172" t="s">
        <v>299</v>
      </c>
      <c r="E426" s="173">
        <v>4500000</v>
      </c>
      <c r="F426" s="173">
        <f t="shared" si="102"/>
        <v>648000000</v>
      </c>
      <c r="G426" s="198"/>
      <c r="I426" s="341"/>
      <c r="J426" s="172">
        <v>144</v>
      </c>
      <c r="K426" s="172" t="s">
        <v>299</v>
      </c>
      <c r="L426" s="173">
        <v>4500000</v>
      </c>
      <c r="M426" s="173">
        <f t="shared" si="103"/>
        <v>648000000</v>
      </c>
      <c r="N426" s="198"/>
    </row>
    <row r="427" spans="1:14" x14ac:dyDescent="0.25">
      <c r="A427" s="170"/>
      <c r="B427" s="216" t="s">
        <v>729</v>
      </c>
      <c r="C427" s="172">
        <v>144</v>
      </c>
      <c r="D427" s="172" t="s">
        <v>299</v>
      </c>
      <c r="E427" s="173">
        <v>4500000</v>
      </c>
      <c r="F427" s="173">
        <f t="shared" si="102"/>
        <v>648000000</v>
      </c>
      <c r="G427" s="198"/>
      <c r="I427" s="341"/>
      <c r="J427" s="172">
        <v>144</v>
      </c>
      <c r="K427" s="172" t="s">
        <v>299</v>
      </c>
      <c r="L427" s="173">
        <v>4500000</v>
      </c>
      <c r="M427" s="173">
        <f t="shared" si="103"/>
        <v>648000000</v>
      </c>
      <c r="N427" s="198"/>
    </row>
    <row r="428" spans="1:14" x14ac:dyDescent="0.25">
      <c r="A428" s="170"/>
      <c r="B428" s="216" t="s">
        <v>732</v>
      </c>
      <c r="C428" s="172">
        <v>144</v>
      </c>
      <c r="D428" s="172" t="s">
        <v>299</v>
      </c>
      <c r="E428" s="173">
        <v>4500000</v>
      </c>
      <c r="F428" s="173">
        <f t="shared" si="102"/>
        <v>648000000</v>
      </c>
      <c r="G428" s="198"/>
      <c r="I428" s="341"/>
      <c r="J428" s="172">
        <v>144</v>
      </c>
      <c r="K428" s="172" t="s">
        <v>299</v>
      </c>
      <c r="L428" s="173">
        <v>4500000</v>
      </c>
      <c r="M428" s="173">
        <f t="shared" si="103"/>
        <v>648000000</v>
      </c>
      <c r="N428" s="198"/>
    </row>
    <row r="429" spans="1:14" ht="30" x14ac:dyDescent="0.25">
      <c r="A429" s="170"/>
      <c r="B429" s="217" t="s">
        <v>252</v>
      </c>
      <c r="C429" s="172">
        <v>408</v>
      </c>
      <c r="D429" s="172" t="s">
        <v>299</v>
      </c>
      <c r="E429" s="173">
        <v>4500000</v>
      </c>
      <c r="F429" s="173">
        <f t="shared" si="102"/>
        <v>1836000000</v>
      </c>
      <c r="G429" s="198"/>
      <c r="I429" s="341"/>
      <c r="J429" s="172">
        <v>408</v>
      </c>
      <c r="K429" s="172" t="s">
        <v>299</v>
      </c>
      <c r="L429" s="173">
        <v>4500000</v>
      </c>
      <c r="M429" s="173">
        <f t="shared" si="103"/>
        <v>1836000000</v>
      </c>
      <c r="N429" s="198"/>
    </row>
    <row r="430" spans="1:14" ht="30" x14ac:dyDescent="0.25">
      <c r="A430" s="170"/>
      <c r="B430" s="217" t="s">
        <v>253</v>
      </c>
      <c r="C430" s="172">
        <v>84</v>
      </c>
      <c r="D430" s="172" t="s">
        <v>299</v>
      </c>
      <c r="E430" s="173">
        <v>4200000</v>
      </c>
      <c r="F430" s="173">
        <f t="shared" si="102"/>
        <v>352800000</v>
      </c>
      <c r="G430" s="198"/>
      <c r="I430" s="341"/>
      <c r="J430" s="172">
        <v>84</v>
      </c>
      <c r="K430" s="172" t="s">
        <v>299</v>
      </c>
      <c r="L430" s="173">
        <v>4200000</v>
      </c>
      <c r="M430" s="173">
        <f t="shared" si="103"/>
        <v>352800000</v>
      </c>
      <c r="N430" s="198"/>
    </row>
    <row r="431" spans="1:14" ht="30" x14ac:dyDescent="0.25">
      <c r="A431" s="170"/>
      <c r="B431" s="217" t="s">
        <v>254</v>
      </c>
      <c r="C431" s="172">
        <v>60</v>
      </c>
      <c r="D431" s="172" t="s">
        <v>299</v>
      </c>
      <c r="E431" s="173">
        <v>4200000</v>
      </c>
      <c r="F431" s="173">
        <f t="shared" si="102"/>
        <v>252000000</v>
      </c>
      <c r="G431" s="198"/>
      <c r="I431" s="341"/>
      <c r="J431" s="172">
        <v>60</v>
      </c>
      <c r="K431" s="172" t="s">
        <v>299</v>
      </c>
      <c r="L431" s="173">
        <v>4200000</v>
      </c>
      <c r="M431" s="173">
        <f t="shared" si="103"/>
        <v>252000000</v>
      </c>
      <c r="N431" s="198"/>
    </row>
    <row r="432" spans="1:14" ht="30" x14ac:dyDescent="0.25">
      <c r="A432" s="170"/>
      <c r="B432" s="217" t="s">
        <v>255</v>
      </c>
      <c r="C432" s="172">
        <v>60</v>
      </c>
      <c r="D432" s="172" t="s">
        <v>299</v>
      </c>
      <c r="E432" s="173">
        <v>4200000</v>
      </c>
      <c r="F432" s="173">
        <f t="shared" si="102"/>
        <v>252000000</v>
      </c>
      <c r="G432" s="198"/>
      <c r="I432" s="341"/>
      <c r="J432" s="172">
        <v>60</v>
      </c>
      <c r="K432" s="172" t="s">
        <v>299</v>
      </c>
      <c r="L432" s="173">
        <v>4200000</v>
      </c>
      <c r="M432" s="173">
        <f t="shared" si="103"/>
        <v>252000000</v>
      </c>
      <c r="N432" s="198"/>
    </row>
    <row r="433" spans="1:14" ht="30" x14ac:dyDescent="0.25">
      <c r="A433" s="170"/>
      <c r="B433" s="217" t="s">
        <v>256</v>
      </c>
      <c r="C433" s="172">
        <v>12</v>
      </c>
      <c r="D433" s="172" t="s">
        <v>299</v>
      </c>
      <c r="E433" s="173">
        <v>4200000</v>
      </c>
      <c r="F433" s="173">
        <f t="shared" si="102"/>
        <v>50400000</v>
      </c>
      <c r="G433" s="198"/>
      <c r="I433" s="341"/>
      <c r="J433" s="172">
        <v>12</v>
      </c>
      <c r="K433" s="172" t="s">
        <v>299</v>
      </c>
      <c r="L433" s="173">
        <v>4200000</v>
      </c>
      <c r="M433" s="173">
        <f t="shared" si="103"/>
        <v>50400000</v>
      </c>
      <c r="N433" s="198"/>
    </row>
    <row r="434" spans="1:14" ht="30" x14ac:dyDescent="0.25">
      <c r="A434" s="170"/>
      <c r="B434" s="217" t="s">
        <v>257</v>
      </c>
      <c r="C434" s="172">
        <v>24</v>
      </c>
      <c r="D434" s="172" t="s">
        <v>299</v>
      </c>
      <c r="E434" s="173">
        <v>4100000</v>
      </c>
      <c r="F434" s="173">
        <f t="shared" si="102"/>
        <v>98400000</v>
      </c>
      <c r="G434" s="198"/>
      <c r="I434" s="341"/>
      <c r="J434" s="172">
        <v>24</v>
      </c>
      <c r="K434" s="172" t="s">
        <v>299</v>
      </c>
      <c r="L434" s="173">
        <v>4100000</v>
      </c>
      <c r="M434" s="173">
        <f t="shared" si="103"/>
        <v>98400000</v>
      </c>
      <c r="N434" s="198"/>
    </row>
    <row r="435" spans="1:14" x14ac:dyDescent="0.25">
      <c r="A435" s="170"/>
      <c r="B435" s="216" t="s">
        <v>733</v>
      </c>
      <c r="C435" s="172">
        <v>1</v>
      </c>
      <c r="D435" s="172" t="s">
        <v>299</v>
      </c>
      <c r="E435" s="173">
        <v>4200000</v>
      </c>
      <c r="F435" s="173">
        <f t="shared" si="102"/>
        <v>4200000</v>
      </c>
      <c r="G435" s="198"/>
      <c r="I435" s="341"/>
      <c r="J435" s="172">
        <v>1</v>
      </c>
      <c r="K435" s="172" t="s">
        <v>299</v>
      </c>
      <c r="L435" s="173">
        <v>4200000</v>
      </c>
      <c r="M435" s="173">
        <f t="shared" si="103"/>
        <v>4200000</v>
      </c>
      <c r="N435" s="198"/>
    </row>
    <row r="436" spans="1:14" x14ac:dyDescent="0.25">
      <c r="A436" s="166" t="s">
        <v>119</v>
      </c>
      <c r="B436" s="215" t="s">
        <v>120</v>
      </c>
      <c r="C436" s="168"/>
      <c r="D436" s="168"/>
      <c r="E436" s="169"/>
      <c r="F436" s="167">
        <f>SUM(F437:F445)</f>
        <v>10200000000</v>
      </c>
      <c r="G436" s="221"/>
      <c r="I436" s="341"/>
      <c r="J436" s="168"/>
      <c r="K436" s="168"/>
      <c r="L436" s="169"/>
      <c r="M436" s="167">
        <f>SUM(M437:M445)</f>
        <v>10200000000</v>
      </c>
      <c r="N436" s="221"/>
    </row>
    <row r="437" spans="1:14" ht="30" x14ac:dyDescent="0.25">
      <c r="A437" s="170"/>
      <c r="B437" s="217" t="s">
        <v>259</v>
      </c>
      <c r="C437" s="172">
        <v>242</v>
      </c>
      <c r="D437" s="172" t="s">
        <v>299</v>
      </c>
      <c r="E437" s="173">
        <v>17450000</v>
      </c>
      <c r="F437" s="173">
        <f t="shared" ref="F437:F445" si="104">C437*E437</f>
        <v>4222900000</v>
      </c>
      <c r="G437" s="198"/>
      <c r="I437" s="341"/>
      <c r="J437" s="172">
        <v>242</v>
      </c>
      <c r="K437" s="172" t="s">
        <v>299</v>
      </c>
      <c r="L437" s="173">
        <v>17450000</v>
      </c>
      <c r="M437" s="173">
        <f t="shared" ref="M437:M445" si="105">J437*L437</f>
        <v>4222900000</v>
      </c>
      <c r="N437" s="198"/>
    </row>
    <row r="438" spans="1:14" x14ac:dyDescent="0.25">
      <c r="A438" s="170"/>
      <c r="B438" s="217" t="s">
        <v>260</v>
      </c>
      <c r="C438" s="172">
        <v>84</v>
      </c>
      <c r="D438" s="172" t="s">
        <v>299</v>
      </c>
      <c r="E438" s="173">
        <v>17500000</v>
      </c>
      <c r="F438" s="173">
        <f t="shared" si="104"/>
        <v>1470000000</v>
      </c>
      <c r="G438" s="198"/>
      <c r="I438" s="341"/>
      <c r="J438" s="172">
        <v>84</v>
      </c>
      <c r="K438" s="172" t="s">
        <v>299</v>
      </c>
      <c r="L438" s="173">
        <v>17500000</v>
      </c>
      <c r="M438" s="173">
        <f t="shared" si="105"/>
        <v>1470000000</v>
      </c>
      <c r="N438" s="198"/>
    </row>
    <row r="439" spans="1:14" x14ac:dyDescent="0.25">
      <c r="A439" s="170"/>
      <c r="B439" s="217" t="s">
        <v>261</v>
      </c>
      <c r="C439" s="172">
        <v>60</v>
      </c>
      <c r="D439" s="172" t="s">
        <v>299</v>
      </c>
      <c r="E439" s="173">
        <v>17500000</v>
      </c>
      <c r="F439" s="173">
        <f t="shared" si="104"/>
        <v>1050000000</v>
      </c>
      <c r="G439" s="198"/>
      <c r="I439" s="341"/>
      <c r="J439" s="172">
        <v>60</v>
      </c>
      <c r="K439" s="172" t="s">
        <v>299</v>
      </c>
      <c r="L439" s="173">
        <v>17500000</v>
      </c>
      <c r="M439" s="173">
        <f t="shared" si="105"/>
        <v>1050000000</v>
      </c>
      <c r="N439" s="198"/>
    </row>
    <row r="440" spans="1:14" x14ac:dyDescent="0.25">
      <c r="A440" s="170"/>
      <c r="B440" s="217" t="s">
        <v>262</v>
      </c>
      <c r="C440" s="172">
        <v>60</v>
      </c>
      <c r="D440" s="172" t="s">
        <v>299</v>
      </c>
      <c r="E440" s="173">
        <v>17500000</v>
      </c>
      <c r="F440" s="173">
        <f t="shared" si="104"/>
        <v>1050000000</v>
      </c>
      <c r="G440" s="198"/>
      <c r="I440" s="341"/>
      <c r="J440" s="172">
        <v>60</v>
      </c>
      <c r="K440" s="172" t="s">
        <v>299</v>
      </c>
      <c r="L440" s="173">
        <v>17500000</v>
      </c>
      <c r="M440" s="173">
        <f t="shared" si="105"/>
        <v>1050000000</v>
      </c>
      <c r="N440" s="198"/>
    </row>
    <row r="441" spans="1:14" x14ac:dyDescent="0.25">
      <c r="A441" s="170"/>
      <c r="B441" s="217" t="s">
        <v>263</v>
      </c>
      <c r="C441" s="172">
        <v>18</v>
      </c>
      <c r="D441" s="172" t="s">
        <v>299</v>
      </c>
      <c r="E441" s="173">
        <v>17500000</v>
      </c>
      <c r="F441" s="173">
        <f t="shared" si="104"/>
        <v>315000000</v>
      </c>
      <c r="G441" s="198"/>
      <c r="I441" s="341"/>
      <c r="J441" s="172">
        <v>18</v>
      </c>
      <c r="K441" s="172" t="s">
        <v>299</v>
      </c>
      <c r="L441" s="173">
        <v>17500000</v>
      </c>
      <c r="M441" s="173">
        <f t="shared" si="105"/>
        <v>315000000</v>
      </c>
      <c r="N441" s="198"/>
    </row>
    <row r="442" spans="1:14" x14ac:dyDescent="0.25">
      <c r="A442" s="170"/>
      <c r="B442" s="217" t="s">
        <v>264</v>
      </c>
      <c r="C442" s="172">
        <v>24</v>
      </c>
      <c r="D442" s="172" t="s">
        <v>299</v>
      </c>
      <c r="E442" s="173">
        <v>16900000</v>
      </c>
      <c r="F442" s="173">
        <f t="shared" si="104"/>
        <v>405600000</v>
      </c>
      <c r="G442" s="198"/>
      <c r="I442" s="341"/>
      <c r="J442" s="172">
        <v>24</v>
      </c>
      <c r="K442" s="172" t="s">
        <v>299</v>
      </c>
      <c r="L442" s="173">
        <v>16900000</v>
      </c>
      <c r="M442" s="173">
        <f t="shared" si="105"/>
        <v>405600000</v>
      </c>
      <c r="N442" s="198"/>
    </row>
    <row r="443" spans="1:14" ht="30" x14ac:dyDescent="0.25">
      <c r="A443" s="170"/>
      <c r="B443" s="216" t="s">
        <v>735</v>
      </c>
      <c r="C443" s="172">
        <v>84</v>
      </c>
      <c r="D443" s="172" t="s">
        <v>299</v>
      </c>
      <c r="E443" s="173">
        <v>17500000</v>
      </c>
      <c r="F443" s="173">
        <f t="shared" si="104"/>
        <v>1470000000</v>
      </c>
      <c r="G443" s="198"/>
      <c r="I443" s="341"/>
      <c r="J443" s="172">
        <v>84</v>
      </c>
      <c r="K443" s="172" t="s">
        <v>299</v>
      </c>
      <c r="L443" s="173">
        <v>17500000</v>
      </c>
      <c r="M443" s="173">
        <f t="shared" si="105"/>
        <v>1470000000</v>
      </c>
      <c r="N443" s="198"/>
    </row>
    <row r="444" spans="1:14" x14ac:dyDescent="0.25">
      <c r="A444" s="170"/>
      <c r="B444" s="217" t="s">
        <v>265</v>
      </c>
      <c r="C444" s="172">
        <v>12</v>
      </c>
      <c r="D444" s="172" t="s">
        <v>299</v>
      </c>
      <c r="E444" s="173">
        <v>16900000</v>
      </c>
      <c r="F444" s="173">
        <f t="shared" si="104"/>
        <v>202800000</v>
      </c>
      <c r="G444" s="198"/>
      <c r="I444" s="341"/>
      <c r="J444" s="172">
        <v>12</v>
      </c>
      <c r="K444" s="172" t="s">
        <v>299</v>
      </c>
      <c r="L444" s="173">
        <v>16900000</v>
      </c>
      <c r="M444" s="173">
        <f t="shared" si="105"/>
        <v>202800000</v>
      </c>
      <c r="N444" s="198"/>
    </row>
    <row r="445" spans="1:14" x14ac:dyDescent="0.25">
      <c r="A445" s="170"/>
      <c r="B445" s="217" t="s">
        <v>266</v>
      </c>
      <c r="C445" s="172">
        <v>1</v>
      </c>
      <c r="D445" s="172" t="s">
        <v>299</v>
      </c>
      <c r="E445" s="173">
        <v>13700000</v>
      </c>
      <c r="F445" s="173">
        <f t="shared" si="104"/>
        <v>13700000</v>
      </c>
      <c r="G445" s="198"/>
      <c r="I445" s="341"/>
      <c r="J445" s="172">
        <v>1</v>
      </c>
      <c r="K445" s="172" t="s">
        <v>299</v>
      </c>
      <c r="L445" s="173">
        <v>13700000</v>
      </c>
      <c r="M445" s="173">
        <f t="shared" si="105"/>
        <v>13700000</v>
      </c>
      <c r="N445" s="198"/>
    </row>
    <row r="446" spans="1:14" s="1" customFormat="1" x14ac:dyDescent="0.25">
      <c r="A446" s="223">
        <v>511611</v>
      </c>
      <c r="B446" s="215" t="s">
        <v>594</v>
      </c>
      <c r="C446" s="168"/>
      <c r="D446" s="168"/>
      <c r="E446" s="169"/>
      <c r="F446" s="167">
        <f>F447</f>
        <v>490000000</v>
      </c>
      <c r="G446" s="221"/>
      <c r="I446" s="344"/>
      <c r="J446" s="168"/>
      <c r="K446" s="168"/>
      <c r="L446" s="169"/>
      <c r="M446" s="167">
        <f>M447</f>
        <v>490000000</v>
      </c>
      <c r="N446" s="221"/>
    </row>
    <row r="447" spans="1:14" s="1" customFormat="1" x14ac:dyDescent="0.25">
      <c r="A447" s="170"/>
      <c r="B447" s="216" t="s">
        <v>595</v>
      </c>
      <c r="C447" s="172">
        <v>1</v>
      </c>
      <c r="D447" s="172" t="s">
        <v>309</v>
      </c>
      <c r="E447" s="173">
        <v>490000000</v>
      </c>
      <c r="F447" s="173">
        <f>C447*E447</f>
        <v>490000000</v>
      </c>
      <c r="G447" s="198"/>
      <c r="I447" s="344"/>
      <c r="J447" s="172">
        <v>1</v>
      </c>
      <c r="K447" s="172" t="s">
        <v>309</v>
      </c>
      <c r="L447" s="173">
        <v>490000000</v>
      </c>
      <c r="M447" s="173">
        <f>J447*L447</f>
        <v>490000000</v>
      </c>
      <c r="N447" s="198"/>
    </row>
    <row r="448" spans="1:14" s="1" customFormat="1" x14ac:dyDescent="0.25">
      <c r="A448" s="223">
        <v>511619</v>
      </c>
      <c r="B448" s="215" t="s">
        <v>596</v>
      </c>
      <c r="C448" s="168"/>
      <c r="D448" s="168"/>
      <c r="E448" s="169"/>
      <c r="F448" s="167">
        <f>F449</f>
        <v>24000</v>
      </c>
      <c r="G448" s="221"/>
      <c r="I448" s="344"/>
      <c r="J448" s="168"/>
      <c r="K448" s="168"/>
      <c r="L448" s="169"/>
      <c r="M448" s="167">
        <f>M449</f>
        <v>24000</v>
      </c>
      <c r="N448" s="221"/>
    </row>
    <row r="449" spans="1:14" s="1" customFormat="1" x14ac:dyDescent="0.25">
      <c r="A449" s="170"/>
      <c r="B449" s="216" t="s">
        <v>597</v>
      </c>
      <c r="C449" s="172">
        <v>1</v>
      </c>
      <c r="D449" s="172" t="s">
        <v>309</v>
      </c>
      <c r="E449" s="173">
        <v>24000</v>
      </c>
      <c r="F449" s="173">
        <f>C449*E449</f>
        <v>24000</v>
      </c>
      <c r="G449" s="198"/>
      <c r="I449" s="344"/>
      <c r="J449" s="172">
        <v>1</v>
      </c>
      <c r="K449" s="172" t="s">
        <v>309</v>
      </c>
      <c r="L449" s="173">
        <v>24000</v>
      </c>
      <c r="M449" s="173">
        <f>J449*L449</f>
        <v>24000</v>
      </c>
      <c r="N449" s="198"/>
    </row>
    <row r="450" spans="1:14" s="1" customFormat="1" x14ac:dyDescent="0.25">
      <c r="A450" s="223">
        <v>511621</v>
      </c>
      <c r="B450" s="215" t="s">
        <v>598</v>
      </c>
      <c r="C450" s="168"/>
      <c r="D450" s="168"/>
      <c r="E450" s="169"/>
      <c r="F450" s="167">
        <f>F451</f>
        <v>56000000</v>
      </c>
      <c r="G450" s="221"/>
      <c r="I450" s="344"/>
      <c r="J450" s="168"/>
      <c r="K450" s="168"/>
      <c r="L450" s="169"/>
      <c r="M450" s="167">
        <f>M451</f>
        <v>56000000</v>
      </c>
      <c r="N450" s="221"/>
    </row>
    <row r="451" spans="1:14" s="1" customFormat="1" x14ac:dyDescent="0.25">
      <c r="A451" s="170"/>
      <c r="B451" s="216" t="s">
        <v>599</v>
      </c>
      <c r="C451" s="172">
        <v>1</v>
      </c>
      <c r="D451" s="172" t="s">
        <v>309</v>
      </c>
      <c r="E451" s="173">
        <v>56000000</v>
      </c>
      <c r="F451" s="173">
        <f>C451*E451</f>
        <v>56000000</v>
      </c>
      <c r="G451" s="198"/>
      <c r="I451" s="344"/>
      <c r="J451" s="172">
        <v>1</v>
      </c>
      <c r="K451" s="172" t="s">
        <v>309</v>
      </c>
      <c r="L451" s="173">
        <v>56000000</v>
      </c>
      <c r="M451" s="173">
        <f>J451*L451</f>
        <v>56000000</v>
      </c>
      <c r="N451" s="198"/>
    </row>
    <row r="452" spans="1:14" s="1" customFormat="1" x14ac:dyDescent="0.25">
      <c r="A452" s="223">
        <v>511622</v>
      </c>
      <c r="B452" s="215" t="s">
        <v>600</v>
      </c>
      <c r="C452" s="168"/>
      <c r="D452" s="168"/>
      <c r="E452" s="169"/>
      <c r="F452" s="167">
        <f>F453</f>
        <v>28000000</v>
      </c>
      <c r="G452" s="221"/>
      <c r="I452" s="344"/>
      <c r="J452" s="168"/>
      <c r="K452" s="168"/>
      <c r="L452" s="169"/>
      <c r="M452" s="167">
        <f>M453</f>
        <v>28000000</v>
      </c>
      <c r="N452" s="221"/>
    </row>
    <row r="453" spans="1:14" s="1" customFormat="1" x14ac:dyDescent="0.25">
      <c r="A453" s="170"/>
      <c r="B453" s="216" t="s">
        <v>601</v>
      </c>
      <c r="C453" s="172">
        <v>1</v>
      </c>
      <c r="D453" s="172" t="s">
        <v>309</v>
      </c>
      <c r="E453" s="173">
        <v>28000000</v>
      </c>
      <c r="F453" s="173">
        <f>C453*E453</f>
        <v>28000000</v>
      </c>
      <c r="G453" s="198"/>
      <c r="I453" s="344"/>
      <c r="J453" s="172">
        <v>1</v>
      </c>
      <c r="K453" s="172" t="s">
        <v>309</v>
      </c>
      <c r="L453" s="173">
        <v>28000000</v>
      </c>
      <c r="M453" s="173">
        <f>J453*L453</f>
        <v>28000000</v>
      </c>
      <c r="N453" s="198"/>
    </row>
    <row r="454" spans="1:14" s="1" customFormat="1" x14ac:dyDescent="0.25">
      <c r="A454" s="223">
        <v>511624</v>
      </c>
      <c r="B454" s="215" t="s">
        <v>602</v>
      </c>
      <c r="C454" s="168"/>
      <c r="D454" s="168"/>
      <c r="E454" s="169"/>
      <c r="F454" s="167">
        <f>F455</f>
        <v>126000000</v>
      </c>
      <c r="G454" s="221"/>
      <c r="I454" s="344"/>
      <c r="J454" s="168"/>
      <c r="K454" s="168"/>
      <c r="L454" s="169"/>
      <c r="M454" s="167">
        <f>M455</f>
        <v>126000000</v>
      </c>
      <c r="N454" s="221"/>
    </row>
    <row r="455" spans="1:14" s="1" customFormat="1" x14ac:dyDescent="0.25">
      <c r="A455" s="170"/>
      <c r="B455" s="216" t="s">
        <v>603</v>
      </c>
      <c r="C455" s="172">
        <v>1</v>
      </c>
      <c r="D455" s="172" t="s">
        <v>309</v>
      </c>
      <c r="E455" s="173">
        <v>126000000</v>
      </c>
      <c r="F455" s="173">
        <f>C455*E455</f>
        <v>126000000</v>
      </c>
      <c r="G455" s="198"/>
      <c r="I455" s="344"/>
      <c r="J455" s="172">
        <v>1</v>
      </c>
      <c r="K455" s="172" t="s">
        <v>309</v>
      </c>
      <c r="L455" s="173">
        <v>126000000</v>
      </c>
      <c r="M455" s="173">
        <f>J455*L455</f>
        <v>126000000</v>
      </c>
      <c r="N455" s="198"/>
    </row>
    <row r="456" spans="1:14" s="1" customFormat="1" x14ac:dyDescent="0.25">
      <c r="A456" s="223">
        <v>511625</v>
      </c>
      <c r="B456" s="215" t="s">
        <v>604</v>
      </c>
      <c r="C456" s="168"/>
      <c r="D456" s="168"/>
      <c r="E456" s="169"/>
      <c r="F456" s="167">
        <f>F457</f>
        <v>42000000</v>
      </c>
      <c r="G456" s="221"/>
      <c r="I456" s="344"/>
      <c r="J456" s="168"/>
      <c r="K456" s="168"/>
      <c r="L456" s="169"/>
      <c r="M456" s="167">
        <f>M457</f>
        <v>42000000</v>
      </c>
      <c r="N456" s="221"/>
    </row>
    <row r="457" spans="1:14" s="1" customFormat="1" x14ac:dyDescent="0.25">
      <c r="A457" s="170"/>
      <c r="B457" s="216" t="s">
        <v>605</v>
      </c>
      <c r="C457" s="172">
        <v>1</v>
      </c>
      <c r="D457" s="172" t="s">
        <v>309</v>
      </c>
      <c r="E457" s="173">
        <v>42000000</v>
      </c>
      <c r="F457" s="173">
        <f>C457*E457</f>
        <v>42000000</v>
      </c>
      <c r="G457" s="198"/>
      <c r="I457" s="344"/>
      <c r="J457" s="172">
        <v>1</v>
      </c>
      <c r="K457" s="172" t="s">
        <v>309</v>
      </c>
      <c r="L457" s="173">
        <v>42000000</v>
      </c>
      <c r="M457" s="173">
        <f>J457*L457</f>
        <v>42000000</v>
      </c>
      <c r="N457" s="198"/>
    </row>
    <row r="458" spans="1:14" s="1" customFormat="1" x14ac:dyDescent="0.25">
      <c r="A458" s="223">
        <v>511628</v>
      </c>
      <c r="B458" s="215" t="s">
        <v>606</v>
      </c>
      <c r="C458" s="168"/>
      <c r="D458" s="168"/>
      <c r="E458" s="169"/>
      <c r="F458" s="167">
        <f>F459</f>
        <v>98000000</v>
      </c>
      <c r="G458" s="221"/>
      <c r="I458" s="344"/>
      <c r="J458" s="168"/>
      <c r="K458" s="168"/>
      <c r="L458" s="169"/>
      <c r="M458" s="167">
        <f>M459</f>
        <v>98000000</v>
      </c>
      <c r="N458" s="221"/>
    </row>
    <row r="459" spans="1:14" s="1" customFormat="1" x14ac:dyDescent="0.25">
      <c r="A459" s="170"/>
      <c r="B459" s="216" t="s">
        <v>607</v>
      </c>
      <c r="C459" s="172">
        <v>1</v>
      </c>
      <c r="D459" s="172" t="s">
        <v>309</v>
      </c>
      <c r="E459" s="173">
        <v>98000000</v>
      </c>
      <c r="F459" s="173">
        <f>C459*E459</f>
        <v>98000000</v>
      </c>
      <c r="G459" s="198"/>
      <c r="I459" s="344"/>
      <c r="J459" s="172">
        <v>1</v>
      </c>
      <c r="K459" s="172" t="s">
        <v>309</v>
      </c>
      <c r="L459" s="173">
        <v>98000000</v>
      </c>
      <c r="M459" s="173">
        <f>J459*L459</f>
        <v>98000000</v>
      </c>
      <c r="N459" s="198"/>
    </row>
    <row r="460" spans="1:14" x14ac:dyDescent="0.25">
      <c r="A460" s="166" t="s">
        <v>121</v>
      </c>
      <c r="B460" s="215" t="s">
        <v>122</v>
      </c>
      <c r="C460" s="168"/>
      <c r="D460" s="168"/>
      <c r="E460" s="169"/>
      <c r="F460" s="167">
        <f>SUM(F461:F466)</f>
        <v>59997000</v>
      </c>
      <c r="G460" s="221"/>
      <c r="I460" s="341"/>
      <c r="J460" s="168"/>
      <c r="K460" s="168"/>
      <c r="L460" s="169"/>
      <c r="M460" s="167">
        <f>SUM(M461:M466)</f>
        <v>59997000</v>
      </c>
      <c r="N460" s="221"/>
    </row>
    <row r="461" spans="1:14" x14ac:dyDescent="0.25">
      <c r="A461" s="170"/>
      <c r="B461" s="217" t="s">
        <v>267</v>
      </c>
      <c r="C461" s="172">
        <v>50</v>
      </c>
      <c r="D461" s="172" t="s">
        <v>297</v>
      </c>
      <c r="E461" s="173">
        <v>36000</v>
      </c>
      <c r="F461" s="173">
        <f>C461*E461</f>
        <v>1800000</v>
      </c>
      <c r="G461" s="198"/>
      <c r="I461" s="341"/>
      <c r="J461" s="172">
        <v>50</v>
      </c>
      <c r="K461" s="172" t="s">
        <v>297</v>
      </c>
      <c r="L461" s="173">
        <v>36000</v>
      </c>
      <c r="M461" s="173">
        <f>J461*L461</f>
        <v>1800000</v>
      </c>
      <c r="N461" s="198"/>
    </row>
    <row r="462" spans="1:14" x14ac:dyDescent="0.25">
      <c r="A462" s="170"/>
      <c r="B462" s="217" t="s">
        <v>268</v>
      </c>
      <c r="C462" s="172">
        <v>846</v>
      </c>
      <c r="D462" s="172" t="s">
        <v>297</v>
      </c>
      <c r="E462" s="173">
        <v>30000</v>
      </c>
      <c r="F462" s="173">
        <f t="shared" ref="F462:F466" si="106">C462*E462</f>
        <v>25380000</v>
      </c>
      <c r="G462" s="198"/>
      <c r="I462" s="341"/>
      <c r="J462" s="172">
        <v>846</v>
      </c>
      <c r="K462" s="172" t="s">
        <v>297</v>
      </c>
      <c r="L462" s="173">
        <v>30000</v>
      </c>
      <c r="M462" s="173">
        <f t="shared" ref="M462:M466" si="107">J462*L462</f>
        <v>25380000</v>
      </c>
      <c r="N462" s="198"/>
    </row>
    <row r="463" spans="1:14" x14ac:dyDescent="0.25">
      <c r="A463" s="170"/>
      <c r="B463" s="217" t="s">
        <v>269</v>
      </c>
      <c r="C463" s="172">
        <v>20</v>
      </c>
      <c r="D463" s="172" t="s">
        <v>297</v>
      </c>
      <c r="E463" s="173">
        <v>24000</v>
      </c>
      <c r="F463" s="173">
        <f t="shared" si="106"/>
        <v>480000</v>
      </c>
      <c r="G463" s="198"/>
      <c r="I463" s="341"/>
      <c r="J463" s="172">
        <v>20</v>
      </c>
      <c r="K463" s="172" t="s">
        <v>297</v>
      </c>
      <c r="L463" s="173">
        <v>24000</v>
      </c>
      <c r="M463" s="173">
        <f t="shared" si="107"/>
        <v>480000</v>
      </c>
      <c r="N463" s="198"/>
    </row>
    <row r="464" spans="1:14" x14ac:dyDescent="0.25">
      <c r="A464" s="170"/>
      <c r="B464" s="217" t="s">
        <v>233</v>
      </c>
      <c r="C464" s="172">
        <v>23</v>
      </c>
      <c r="D464" s="172" t="s">
        <v>301</v>
      </c>
      <c r="E464" s="173">
        <v>41000</v>
      </c>
      <c r="F464" s="173">
        <f t="shared" si="106"/>
        <v>943000</v>
      </c>
      <c r="G464" s="198"/>
      <c r="I464" s="341"/>
      <c r="J464" s="172">
        <v>23</v>
      </c>
      <c r="K464" s="172" t="s">
        <v>301</v>
      </c>
      <c r="L464" s="173">
        <v>41000</v>
      </c>
      <c r="M464" s="173">
        <f t="shared" si="107"/>
        <v>943000</v>
      </c>
      <c r="N464" s="198"/>
    </row>
    <row r="465" spans="1:14" x14ac:dyDescent="0.25">
      <c r="A465" s="170"/>
      <c r="B465" s="217" t="s">
        <v>234</v>
      </c>
      <c r="C465" s="172">
        <v>822</v>
      </c>
      <c r="D465" s="172" t="s">
        <v>301</v>
      </c>
      <c r="E465" s="173">
        <v>37000</v>
      </c>
      <c r="F465" s="173">
        <f t="shared" si="106"/>
        <v>30414000</v>
      </c>
      <c r="G465" s="198"/>
      <c r="I465" s="341"/>
      <c r="J465" s="172">
        <v>822</v>
      </c>
      <c r="K465" s="172" t="s">
        <v>301</v>
      </c>
      <c r="L465" s="173">
        <v>37000</v>
      </c>
      <c r="M465" s="173">
        <f t="shared" si="107"/>
        <v>30414000</v>
      </c>
      <c r="N465" s="198"/>
    </row>
    <row r="466" spans="1:14" x14ac:dyDescent="0.25">
      <c r="A466" s="170"/>
      <c r="B466" s="216" t="s">
        <v>773</v>
      </c>
      <c r="C466" s="172">
        <v>28</v>
      </c>
      <c r="D466" s="172" t="s">
        <v>301</v>
      </c>
      <c r="E466" s="173">
        <v>35000</v>
      </c>
      <c r="F466" s="173">
        <f t="shared" si="106"/>
        <v>980000</v>
      </c>
      <c r="G466" s="198"/>
      <c r="I466" s="341"/>
      <c r="J466" s="172">
        <v>28</v>
      </c>
      <c r="K466" s="172" t="s">
        <v>301</v>
      </c>
      <c r="L466" s="173">
        <v>35000</v>
      </c>
      <c r="M466" s="173">
        <f t="shared" si="107"/>
        <v>980000</v>
      </c>
      <c r="N466" s="198"/>
    </row>
    <row r="467" spans="1:14" s="1" customFormat="1" x14ac:dyDescent="0.25">
      <c r="A467" s="223">
        <v>512212</v>
      </c>
      <c r="B467" s="215" t="s">
        <v>608</v>
      </c>
      <c r="C467" s="168"/>
      <c r="D467" s="168"/>
      <c r="E467" s="169"/>
      <c r="F467" s="167">
        <f>SUM(F468:F469)</f>
        <v>24002000</v>
      </c>
      <c r="G467" s="221"/>
      <c r="I467" s="344"/>
      <c r="J467" s="168"/>
      <c r="K467" s="168"/>
      <c r="L467" s="169"/>
      <c r="M467" s="167">
        <f>SUM(M468:M469)</f>
        <v>24002000</v>
      </c>
      <c r="N467" s="221"/>
    </row>
    <row r="468" spans="1:14" s="1" customFormat="1" x14ac:dyDescent="0.25">
      <c r="A468" s="170"/>
      <c r="B468" s="216" t="s">
        <v>632</v>
      </c>
      <c r="C468" s="172">
        <v>694</v>
      </c>
      <c r="D468" s="172" t="s">
        <v>297</v>
      </c>
      <c r="E468" s="173">
        <v>30000</v>
      </c>
      <c r="F468" s="173">
        <f>C468*E468</f>
        <v>20820000</v>
      </c>
      <c r="G468" s="198"/>
      <c r="I468" s="344"/>
      <c r="J468" s="172">
        <v>694</v>
      </c>
      <c r="K468" s="172" t="s">
        <v>297</v>
      </c>
      <c r="L468" s="173">
        <v>30000</v>
      </c>
      <c r="M468" s="173">
        <f>J468*L468</f>
        <v>20820000</v>
      </c>
      <c r="N468" s="198"/>
    </row>
    <row r="469" spans="1:14" s="1" customFormat="1" x14ac:dyDescent="0.25">
      <c r="A469" s="170"/>
      <c r="B469" s="216" t="s">
        <v>633</v>
      </c>
      <c r="C469" s="172">
        <v>86</v>
      </c>
      <c r="D469" s="172" t="s">
        <v>301</v>
      </c>
      <c r="E469" s="173">
        <v>37000</v>
      </c>
      <c r="F469" s="173">
        <f>C469*E469</f>
        <v>3182000</v>
      </c>
      <c r="G469" s="198"/>
      <c r="I469" s="344"/>
      <c r="J469" s="172">
        <v>86</v>
      </c>
      <c r="K469" s="172" t="s">
        <v>301</v>
      </c>
      <c r="L469" s="173">
        <v>37000</v>
      </c>
      <c r="M469" s="173">
        <f>J469*L469</f>
        <v>3182000</v>
      </c>
      <c r="N469" s="198"/>
    </row>
    <row r="470" spans="1:14" x14ac:dyDescent="0.25">
      <c r="A470" s="223">
        <v>512411</v>
      </c>
      <c r="B470" s="215" t="s">
        <v>626</v>
      </c>
      <c r="C470" s="168"/>
      <c r="D470" s="168"/>
      <c r="E470" s="169"/>
      <c r="F470" s="167">
        <f>SUM(F471:F471)</f>
        <v>3220000000</v>
      </c>
      <c r="G470" s="221"/>
      <c r="I470" s="341"/>
      <c r="J470" s="168"/>
      <c r="K470" s="168"/>
      <c r="L470" s="169"/>
      <c r="M470" s="167">
        <f>SUM(M471:M471)</f>
        <v>3220000000</v>
      </c>
      <c r="N470" s="221"/>
    </row>
    <row r="471" spans="1:14" x14ac:dyDescent="0.25">
      <c r="A471" s="170"/>
      <c r="B471" s="216" t="s">
        <v>627</v>
      </c>
      <c r="C471" s="172">
        <v>1</v>
      </c>
      <c r="D471" s="172" t="s">
        <v>309</v>
      </c>
      <c r="E471" s="173">
        <v>3220000000</v>
      </c>
      <c r="F471" s="173">
        <f>C471*E471</f>
        <v>3220000000</v>
      </c>
      <c r="G471" s="198"/>
      <c r="I471" s="341"/>
      <c r="J471" s="172">
        <v>1</v>
      </c>
      <c r="K471" s="172" t="s">
        <v>309</v>
      </c>
      <c r="L471" s="173">
        <v>3220000000</v>
      </c>
      <c r="M471" s="173">
        <f>J471*L471</f>
        <v>3220000000</v>
      </c>
      <c r="N471" s="198"/>
    </row>
    <row r="472" spans="1:14" x14ac:dyDescent="0.25">
      <c r="A472" s="223">
        <v>512414</v>
      </c>
      <c r="B472" s="215" t="s">
        <v>628</v>
      </c>
      <c r="C472" s="168"/>
      <c r="D472" s="168"/>
      <c r="E472" s="169"/>
      <c r="F472" s="167">
        <f>SUM(F473:F473)</f>
        <v>700000000</v>
      </c>
      <c r="G472" s="221"/>
      <c r="I472" s="341"/>
      <c r="J472" s="168"/>
      <c r="K472" s="168"/>
      <c r="L472" s="169"/>
      <c r="M472" s="167">
        <f>SUM(M473:M473)</f>
        <v>700000000</v>
      </c>
      <c r="N472" s="221"/>
    </row>
    <row r="473" spans="1:14" x14ac:dyDescent="0.25">
      <c r="A473" s="170"/>
      <c r="B473" s="216" t="s">
        <v>629</v>
      </c>
      <c r="C473" s="172">
        <v>1</v>
      </c>
      <c r="D473" s="172" t="s">
        <v>309</v>
      </c>
      <c r="E473" s="173">
        <v>700000000</v>
      </c>
      <c r="F473" s="173">
        <f>C473*E473</f>
        <v>700000000</v>
      </c>
      <c r="G473" s="198"/>
      <c r="I473" s="341"/>
      <c r="J473" s="172">
        <v>1</v>
      </c>
      <c r="K473" s="172" t="s">
        <v>309</v>
      </c>
      <c r="L473" s="173">
        <v>700000000</v>
      </c>
      <c r="M473" s="173">
        <f>J473*L473</f>
        <v>700000000</v>
      </c>
      <c r="N473" s="198"/>
    </row>
    <row r="474" spans="1:14" x14ac:dyDescent="0.25">
      <c r="A474" s="162" t="s">
        <v>26</v>
      </c>
      <c r="B474" s="236" t="s">
        <v>638</v>
      </c>
      <c r="C474" s="165"/>
      <c r="D474" s="239"/>
      <c r="E474" s="240"/>
      <c r="F474" s="239">
        <f>F475</f>
        <v>34614008000</v>
      </c>
      <c r="I474" s="342">
        <f>F474-M474</f>
        <v>0</v>
      </c>
      <c r="J474" s="165"/>
      <c r="K474" s="239"/>
      <c r="L474" s="240"/>
      <c r="M474" s="239">
        <f>M475</f>
        <v>34614008000</v>
      </c>
    </row>
    <row r="475" spans="1:14" x14ac:dyDescent="0.25">
      <c r="A475" s="223">
        <v>512411</v>
      </c>
      <c r="B475" s="215" t="s">
        <v>626</v>
      </c>
      <c r="C475" s="167"/>
      <c r="D475" s="237"/>
      <c r="E475" s="237"/>
      <c r="F475" s="238">
        <f>F476</f>
        <v>34614008000</v>
      </c>
      <c r="I475" s="341"/>
      <c r="J475" s="167"/>
      <c r="K475" s="237"/>
      <c r="L475" s="237"/>
      <c r="M475" s="238">
        <f>M476</f>
        <v>34614008000</v>
      </c>
    </row>
    <row r="476" spans="1:14" x14ac:dyDescent="0.25">
      <c r="A476" s="170"/>
      <c r="B476" s="216" t="s">
        <v>639</v>
      </c>
      <c r="C476" s="172">
        <v>1</v>
      </c>
      <c r="D476" s="172" t="s">
        <v>309</v>
      </c>
      <c r="E476" s="173">
        <v>34614008000</v>
      </c>
      <c r="F476" s="173">
        <f>C476*E476</f>
        <v>34614008000</v>
      </c>
      <c r="I476" s="341"/>
      <c r="J476" s="172">
        <v>1</v>
      </c>
      <c r="K476" s="172" t="s">
        <v>309</v>
      </c>
      <c r="L476" s="173">
        <v>34614008000</v>
      </c>
      <c r="M476" s="173">
        <f>J476*L476</f>
        <v>34614008000</v>
      </c>
    </row>
    <row r="477" spans="1:14" x14ac:dyDescent="0.25">
      <c r="A477" s="158" t="s">
        <v>123</v>
      </c>
      <c r="B477" s="158" t="s">
        <v>124</v>
      </c>
      <c r="C477" s="233" t="s">
        <v>11</v>
      </c>
      <c r="D477" s="233"/>
      <c r="E477" s="234"/>
      <c r="F477" s="235">
        <f>F478+F500+F507+F512</f>
        <v>6880688000</v>
      </c>
      <c r="I477" s="341"/>
      <c r="J477" s="233" t="s">
        <v>11</v>
      </c>
      <c r="K477" s="233"/>
      <c r="L477" s="234"/>
      <c r="M477" s="235">
        <f>M478+M500+M507+M512</f>
        <v>6399040000</v>
      </c>
    </row>
    <row r="478" spans="1:14" x14ac:dyDescent="0.25">
      <c r="A478" s="162" t="s">
        <v>12</v>
      </c>
      <c r="B478" s="162" t="s">
        <v>125</v>
      </c>
      <c r="C478" s="163"/>
      <c r="D478" s="163"/>
      <c r="E478" s="164"/>
      <c r="F478" s="165">
        <f>F479+F484+F496+F498</f>
        <v>813325000</v>
      </c>
      <c r="H478" s="338"/>
      <c r="I478" s="342">
        <f>F478-M478</f>
        <v>0</v>
      </c>
      <c r="J478" s="163"/>
      <c r="K478" s="163"/>
      <c r="L478" s="164"/>
      <c r="M478" s="165">
        <f>M479+M484+M496+M498</f>
        <v>813325000</v>
      </c>
    </row>
    <row r="479" spans="1:14" x14ac:dyDescent="0.25">
      <c r="A479" s="166" t="s">
        <v>126</v>
      </c>
      <c r="B479" s="166" t="s">
        <v>127</v>
      </c>
      <c r="C479" s="168"/>
      <c r="D479" s="168"/>
      <c r="E479" s="169"/>
      <c r="F479" s="167">
        <f>SUM(F480:F483)</f>
        <v>417085000</v>
      </c>
      <c r="I479" s="341"/>
      <c r="J479" s="168"/>
      <c r="K479" s="168"/>
      <c r="L479" s="169"/>
      <c r="M479" s="167">
        <f>SUM(M480:M483)</f>
        <v>417085000</v>
      </c>
    </row>
    <row r="480" spans="1:14" ht="30" x14ac:dyDescent="0.25">
      <c r="A480" s="170"/>
      <c r="B480" s="217" t="s">
        <v>270</v>
      </c>
      <c r="C480" s="219">
        <v>80</v>
      </c>
      <c r="D480" s="172" t="s">
        <v>305</v>
      </c>
      <c r="E480" s="173">
        <v>1520000</v>
      </c>
      <c r="F480" s="173">
        <f t="shared" ref="F480:F483" si="108">C480*E480</f>
        <v>121600000</v>
      </c>
      <c r="I480" s="341"/>
      <c r="J480" s="219">
        <v>80</v>
      </c>
      <c r="K480" s="172" t="s">
        <v>305</v>
      </c>
      <c r="L480" s="173">
        <v>1520000</v>
      </c>
      <c r="M480" s="173">
        <f t="shared" ref="M480:M483" si="109">J480*L480</f>
        <v>121600000</v>
      </c>
    </row>
    <row r="481" spans="1:13" x14ac:dyDescent="0.25">
      <c r="A481" s="170"/>
      <c r="B481" s="217" t="s">
        <v>274</v>
      </c>
      <c r="C481" s="219">
        <v>1</v>
      </c>
      <c r="D481" s="172" t="s">
        <v>309</v>
      </c>
      <c r="E481" s="173">
        <f>65000000-19517000+2000</f>
        <v>45485000</v>
      </c>
      <c r="F481" s="173">
        <f t="shared" si="108"/>
        <v>45485000</v>
      </c>
      <c r="I481" s="341"/>
      <c r="J481" s="219">
        <v>1</v>
      </c>
      <c r="K481" s="172" t="s">
        <v>309</v>
      </c>
      <c r="L481" s="173">
        <f>65000000-19517000+2000</f>
        <v>45485000</v>
      </c>
      <c r="M481" s="173">
        <f t="shared" si="109"/>
        <v>45485000</v>
      </c>
    </row>
    <row r="482" spans="1:13" x14ac:dyDescent="0.25">
      <c r="A482" s="170"/>
      <c r="B482" s="217" t="s">
        <v>275</v>
      </c>
      <c r="C482" s="219">
        <v>1</v>
      </c>
      <c r="D482" s="172" t="s">
        <v>309</v>
      </c>
      <c r="E482" s="173">
        <v>10000000</v>
      </c>
      <c r="F482" s="173">
        <f t="shared" si="108"/>
        <v>10000000</v>
      </c>
      <c r="I482" s="341"/>
      <c r="J482" s="219">
        <v>1</v>
      </c>
      <c r="K482" s="172" t="s">
        <v>309</v>
      </c>
      <c r="L482" s="173">
        <v>10000000</v>
      </c>
      <c r="M482" s="173">
        <f t="shared" si="109"/>
        <v>10000000</v>
      </c>
    </row>
    <row r="483" spans="1:13" x14ac:dyDescent="0.25">
      <c r="A483" s="170"/>
      <c r="B483" s="216" t="s">
        <v>631</v>
      </c>
      <c r="C483" s="219">
        <v>1</v>
      </c>
      <c r="D483" s="172" t="s">
        <v>309</v>
      </c>
      <c r="E483" s="173">
        <v>240000000</v>
      </c>
      <c r="F483" s="173">
        <f t="shared" si="108"/>
        <v>240000000</v>
      </c>
      <c r="I483" s="341"/>
      <c r="J483" s="219">
        <v>1</v>
      </c>
      <c r="K483" s="172" t="s">
        <v>309</v>
      </c>
      <c r="L483" s="173">
        <v>240000000</v>
      </c>
      <c r="M483" s="173">
        <f t="shared" si="109"/>
        <v>240000000</v>
      </c>
    </row>
    <row r="484" spans="1:13" x14ac:dyDescent="0.25">
      <c r="A484" s="166" t="s">
        <v>128</v>
      </c>
      <c r="B484" s="166" t="s">
        <v>129</v>
      </c>
      <c r="C484" s="168"/>
      <c r="D484" s="168"/>
      <c r="E484" s="169"/>
      <c r="F484" s="167">
        <f>SUM(F485:F495)</f>
        <v>204240000</v>
      </c>
      <c r="I484" s="341"/>
      <c r="J484" s="168"/>
      <c r="K484" s="168"/>
      <c r="L484" s="169"/>
      <c r="M484" s="167">
        <f>SUM(M485:M495)</f>
        <v>204240000</v>
      </c>
    </row>
    <row r="485" spans="1:13" x14ac:dyDescent="0.25">
      <c r="A485" s="170"/>
      <c r="B485" s="177" t="s">
        <v>412</v>
      </c>
      <c r="C485" s="172">
        <v>12</v>
      </c>
      <c r="D485" s="172" t="s">
        <v>299</v>
      </c>
      <c r="E485" s="214">
        <v>200000</v>
      </c>
      <c r="F485" s="173">
        <f>C485*E485</f>
        <v>2400000</v>
      </c>
      <c r="I485" s="341"/>
      <c r="J485" s="172">
        <v>12</v>
      </c>
      <c r="K485" s="172" t="s">
        <v>299</v>
      </c>
      <c r="L485" s="214">
        <v>200000</v>
      </c>
      <c r="M485" s="173">
        <f>J485*L485</f>
        <v>2400000</v>
      </c>
    </row>
    <row r="486" spans="1:13" x14ac:dyDescent="0.25">
      <c r="A486" s="170"/>
      <c r="B486" s="177" t="s">
        <v>413</v>
      </c>
      <c r="C486" s="172">
        <v>12</v>
      </c>
      <c r="D486" s="172" t="s">
        <v>299</v>
      </c>
      <c r="E486" s="214">
        <v>200000</v>
      </c>
      <c r="F486" s="173">
        <f t="shared" ref="F486:F495" si="110">C486*E486</f>
        <v>2400000</v>
      </c>
      <c r="I486" s="341"/>
      <c r="J486" s="172">
        <v>12</v>
      </c>
      <c r="K486" s="172" t="s">
        <v>299</v>
      </c>
      <c r="L486" s="214">
        <v>200000</v>
      </c>
      <c r="M486" s="173">
        <f t="shared" ref="M486:M495" si="111">J486*L486</f>
        <v>2400000</v>
      </c>
    </row>
    <row r="487" spans="1:13" x14ac:dyDescent="0.25">
      <c r="A487" s="170"/>
      <c r="B487" s="177" t="s">
        <v>414</v>
      </c>
      <c r="C487" s="172">
        <v>36</v>
      </c>
      <c r="D487" s="172" t="s">
        <v>299</v>
      </c>
      <c r="E487" s="214">
        <v>150000</v>
      </c>
      <c r="F487" s="173">
        <f t="shared" si="110"/>
        <v>5400000</v>
      </c>
      <c r="I487" s="341"/>
      <c r="J487" s="172">
        <v>36</v>
      </c>
      <c r="K487" s="172" t="s">
        <v>299</v>
      </c>
      <c r="L487" s="214">
        <v>150000</v>
      </c>
      <c r="M487" s="173">
        <f t="shared" si="111"/>
        <v>5400000</v>
      </c>
    </row>
    <row r="488" spans="1:13" x14ac:dyDescent="0.25">
      <c r="A488" s="170"/>
      <c r="B488" s="177" t="s">
        <v>415</v>
      </c>
      <c r="C488" s="172">
        <v>12</v>
      </c>
      <c r="D488" s="172" t="s">
        <v>299</v>
      </c>
      <c r="E488" s="214">
        <v>150000</v>
      </c>
      <c r="F488" s="173">
        <f t="shared" si="110"/>
        <v>1800000</v>
      </c>
      <c r="I488" s="341"/>
      <c r="J488" s="172">
        <v>12</v>
      </c>
      <c r="K488" s="172" t="s">
        <v>299</v>
      </c>
      <c r="L488" s="214">
        <v>150000</v>
      </c>
      <c r="M488" s="173">
        <f t="shared" si="111"/>
        <v>1800000</v>
      </c>
    </row>
    <row r="489" spans="1:13" ht="30" x14ac:dyDescent="0.25">
      <c r="A489" s="170"/>
      <c r="B489" s="177" t="s">
        <v>416</v>
      </c>
      <c r="C489" s="172">
        <v>24</v>
      </c>
      <c r="D489" s="172" t="s">
        <v>299</v>
      </c>
      <c r="E489" s="214">
        <v>180000</v>
      </c>
      <c r="F489" s="173">
        <f t="shared" si="110"/>
        <v>4320000</v>
      </c>
      <c r="I489" s="341"/>
      <c r="J489" s="172">
        <v>24</v>
      </c>
      <c r="K489" s="172" t="s">
        <v>299</v>
      </c>
      <c r="L489" s="214">
        <v>180000</v>
      </c>
      <c r="M489" s="173">
        <f t="shared" si="111"/>
        <v>4320000</v>
      </c>
    </row>
    <row r="490" spans="1:13" ht="30" x14ac:dyDescent="0.25">
      <c r="A490" s="170"/>
      <c r="B490" s="177" t="s">
        <v>697</v>
      </c>
      <c r="C490" s="172">
        <v>12</v>
      </c>
      <c r="D490" s="172" t="s">
        <v>299</v>
      </c>
      <c r="E490" s="214">
        <v>3500000</v>
      </c>
      <c r="F490" s="173">
        <f t="shared" si="110"/>
        <v>42000000</v>
      </c>
      <c r="I490" s="341"/>
      <c r="J490" s="172">
        <v>12</v>
      </c>
      <c r="K490" s="172" t="s">
        <v>299</v>
      </c>
      <c r="L490" s="214">
        <v>3500000</v>
      </c>
      <c r="M490" s="173">
        <f t="shared" si="111"/>
        <v>42000000</v>
      </c>
    </row>
    <row r="491" spans="1:13" ht="30" x14ac:dyDescent="0.25">
      <c r="A491" s="170"/>
      <c r="B491" s="177" t="s">
        <v>698</v>
      </c>
      <c r="C491" s="172">
        <v>12</v>
      </c>
      <c r="D491" s="172" t="s">
        <v>299</v>
      </c>
      <c r="E491" s="214">
        <v>3390000</v>
      </c>
      <c r="F491" s="173">
        <f t="shared" si="110"/>
        <v>40680000</v>
      </c>
      <c r="I491" s="341"/>
      <c r="J491" s="172">
        <v>12</v>
      </c>
      <c r="K491" s="172" t="s">
        <v>299</v>
      </c>
      <c r="L491" s="214">
        <v>3390000</v>
      </c>
      <c r="M491" s="173">
        <f t="shared" si="111"/>
        <v>40680000</v>
      </c>
    </row>
    <row r="492" spans="1:13" ht="30" x14ac:dyDescent="0.25">
      <c r="A492" s="170"/>
      <c r="B492" s="177" t="s">
        <v>699</v>
      </c>
      <c r="C492" s="172">
        <v>12</v>
      </c>
      <c r="D492" s="172" t="s">
        <v>299</v>
      </c>
      <c r="E492" s="214">
        <v>1940000</v>
      </c>
      <c r="F492" s="173">
        <f t="shared" si="110"/>
        <v>23280000</v>
      </c>
      <c r="I492" s="341"/>
      <c r="J492" s="172">
        <v>12</v>
      </c>
      <c r="K492" s="172" t="s">
        <v>299</v>
      </c>
      <c r="L492" s="214">
        <v>1940000</v>
      </c>
      <c r="M492" s="173">
        <f t="shared" si="111"/>
        <v>23280000</v>
      </c>
    </row>
    <row r="493" spans="1:13" ht="30" x14ac:dyDescent="0.25">
      <c r="A493" s="170"/>
      <c r="B493" s="177" t="s">
        <v>700</v>
      </c>
      <c r="C493" s="172">
        <v>12</v>
      </c>
      <c r="D493" s="172" t="s">
        <v>299</v>
      </c>
      <c r="E493" s="214">
        <v>1690000</v>
      </c>
      <c r="F493" s="173">
        <f t="shared" si="110"/>
        <v>20280000</v>
      </c>
      <c r="I493" s="341"/>
      <c r="J493" s="172">
        <v>12</v>
      </c>
      <c r="K493" s="172" t="s">
        <v>299</v>
      </c>
      <c r="L493" s="214">
        <v>1690000</v>
      </c>
      <c r="M493" s="173">
        <f t="shared" si="111"/>
        <v>20280000</v>
      </c>
    </row>
    <row r="494" spans="1:13" x14ac:dyDescent="0.25">
      <c r="A494" s="170"/>
      <c r="B494" s="177" t="s">
        <v>701</v>
      </c>
      <c r="C494" s="172">
        <v>36</v>
      </c>
      <c r="D494" s="172" t="s">
        <v>299</v>
      </c>
      <c r="E494" s="214">
        <v>1260000</v>
      </c>
      <c r="F494" s="173">
        <f t="shared" si="110"/>
        <v>45360000</v>
      </c>
      <c r="I494" s="341"/>
      <c r="J494" s="172">
        <v>36</v>
      </c>
      <c r="K494" s="172" t="s">
        <v>299</v>
      </c>
      <c r="L494" s="214">
        <v>1260000</v>
      </c>
      <c r="M494" s="173">
        <f t="shared" si="111"/>
        <v>45360000</v>
      </c>
    </row>
    <row r="495" spans="1:13" x14ac:dyDescent="0.25">
      <c r="A495" s="170"/>
      <c r="B495" s="177" t="s">
        <v>422</v>
      </c>
      <c r="C495" s="172">
        <v>24</v>
      </c>
      <c r="D495" s="172" t="s">
        <v>299</v>
      </c>
      <c r="E495" s="214">
        <v>680000</v>
      </c>
      <c r="F495" s="173">
        <f t="shared" si="110"/>
        <v>16320000</v>
      </c>
      <c r="I495" s="341"/>
      <c r="J495" s="172">
        <v>24</v>
      </c>
      <c r="K495" s="172" t="s">
        <v>299</v>
      </c>
      <c r="L495" s="214">
        <v>680000</v>
      </c>
      <c r="M495" s="173">
        <f t="shared" si="111"/>
        <v>16320000</v>
      </c>
    </row>
    <row r="496" spans="1:13" x14ac:dyDescent="0.25">
      <c r="A496" s="166" t="s">
        <v>90</v>
      </c>
      <c r="B496" s="166" t="s">
        <v>91</v>
      </c>
      <c r="C496" s="168"/>
      <c r="D496" s="168"/>
      <c r="E496" s="169"/>
      <c r="F496" s="167">
        <f>F497</f>
        <v>12000000</v>
      </c>
      <c r="I496" s="341"/>
      <c r="J496" s="168"/>
      <c r="K496" s="168"/>
      <c r="L496" s="169"/>
      <c r="M496" s="167">
        <f>M497</f>
        <v>12000000</v>
      </c>
    </row>
    <row r="497" spans="1:13" x14ac:dyDescent="0.25">
      <c r="A497" s="170"/>
      <c r="B497" s="171" t="s">
        <v>423</v>
      </c>
      <c r="C497" s="172">
        <v>24</v>
      </c>
      <c r="D497" s="172" t="s">
        <v>296</v>
      </c>
      <c r="E497" s="173">
        <v>500000</v>
      </c>
      <c r="F497" s="173">
        <f>C497*E497</f>
        <v>12000000</v>
      </c>
      <c r="I497" s="341"/>
      <c r="J497" s="172">
        <v>24</v>
      </c>
      <c r="K497" s="172" t="s">
        <v>296</v>
      </c>
      <c r="L497" s="173">
        <v>500000</v>
      </c>
      <c r="M497" s="173">
        <f>J497*L497</f>
        <v>12000000</v>
      </c>
    </row>
    <row r="498" spans="1:13" x14ac:dyDescent="0.25">
      <c r="A498" s="166" t="s">
        <v>130</v>
      </c>
      <c r="B498" s="166" t="s">
        <v>131</v>
      </c>
      <c r="C498" s="168"/>
      <c r="D498" s="168"/>
      <c r="E498" s="169"/>
      <c r="F498" s="271">
        <f>F499</f>
        <v>180000000</v>
      </c>
      <c r="I498" s="341"/>
      <c r="J498" s="168"/>
      <c r="K498" s="168"/>
      <c r="L498" s="169"/>
      <c r="M498" s="271">
        <f>M499</f>
        <v>180000000</v>
      </c>
    </row>
    <row r="499" spans="1:13" x14ac:dyDescent="0.25">
      <c r="A499" s="170"/>
      <c r="B499" s="177" t="s">
        <v>169</v>
      </c>
      <c r="C499" s="172">
        <v>12</v>
      </c>
      <c r="D499" s="172" t="s">
        <v>313</v>
      </c>
      <c r="E499" s="173">
        <v>15000000</v>
      </c>
      <c r="F499" s="272">
        <f>C499*E499</f>
        <v>180000000</v>
      </c>
      <c r="I499" s="341"/>
      <c r="J499" s="172">
        <v>12</v>
      </c>
      <c r="K499" s="172" t="s">
        <v>313</v>
      </c>
      <c r="L499" s="173">
        <v>15000000</v>
      </c>
      <c r="M499" s="272">
        <f>J499*L499</f>
        <v>180000000</v>
      </c>
    </row>
    <row r="500" spans="1:13" x14ac:dyDescent="0.25">
      <c r="A500" s="162" t="s">
        <v>26</v>
      </c>
      <c r="B500" s="162" t="s">
        <v>132</v>
      </c>
      <c r="C500" s="163"/>
      <c r="D500" s="163"/>
      <c r="E500" s="164"/>
      <c r="F500" s="165">
        <f>F501+F503+F505</f>
        <v>686400000</v>
      </c>
      <c r="I500" s="342">
        <f>F500-M500</f>
        <v>0</v>
      </c>
      <c r="J500" s="163"/>
      <c r="K500" s="163"/>
      <c r="L500" s="164"/>
      <c r="M500" s="165">
        <f>M501+M503+M505</f>
        <v>686400000</v>
      </c>
    </row>
    <row r="501" spans="1:13" x14ac:dyDescent="0.25">
      <c r="A501" s="166" t="s">
        <v>133</v>
      </c>
      <c r="B501" s="166" t="s">
        <v>134</v>
      </c>
      <c r="C501" s="168"/>
      <c r="D501" s="168"/>
      <c r="E501" s="169"/>
      <c r="F501" s="167">
        <f>F502</f>
        <v>660000000</v>
      </c>
      <c r="I501" s="341"/>
      <c r="J501" s="168"/>
      <c r="K501" s="168"/>
      <c r="L501" s="169"/>
      <c r="M501" s="167">
        <f>M502</f>
        <v>660000000</v>
      </c>
    </row>
    <row r="502" spans="1:13" x14ac:dyDescent="0.25">
      <c r="A502" s="170"/>
      <c r="B502" s="217" t="s">
        <v>279</v>
      </c>
      <c r="C502" s="219">
        <v>12</v>
      </c>
      <c r="D502" s="172" t="s">
        <v>313</v>
      </c>
      <c r="E502" s="173">
        <v>55000000</v>
      </c>
      <c r="F502" s="173">
        <f>C502*E502</f>
        <v>660000000</v>
      </c>
      <c r="I502" s="341"/>
      <c r="J502" s="219">
        <v>12</v>
      </c>
      <c r="K502" s="172" t="s">
        <v>313</v>
      </c>
      <c r="L502" s="173">
        <v>55000000</v>
      </c>
      <c r="M502" s="173">
        <f>J502*L502</f>
        <v>660000000</v>
      </c>
    </row>
    <row r="503" spans="1:13" x14ac:dyDescent="0.25">
      <c r="A503" s="166" t="s">
        <v>135</v>
      </c>
      <c r="B503" s="166" t="s">
        <v>136</v>
      </c>
      <c r="C503" s="168"/>
      <c r="D503" s="168"/>
      <c r="E503" s="169"/>
      <c r="F503" s="167">
        <f>F504</f>
        <v>25200000</v>
      </c>
      <c r="I503" s="341"/>
      <c r="J503" s="168"/>
      <c r="K503" s="168"/>
      <c r="L503" s="169"/>
      <c r="M503" s="167">
        <f>M504</f>
        <v>25200000</v>
      </c>
    </row>
    <row r="504" spans="1:13" x14ac:dyDescent="0.25">
      <c r="A504" s="170"/>
      <c r="B504" s="217" t="s">
        <v>280</v>
      </c>
      <c r="C504" s="219">
        <v>12</v>
      </c>
      <c r="D504" s="172" t="s">
        <v>313</v>
      </c>
      <c r="E504" s="173">
        <v>2100000</v>
      </c>
      <c r="F504" s="173">
        <f>C504*E504</f>
        <v>25200000</v>
      </c>
      <c r="I504" s="341"/>
      <c r="J504" s="219">
        <v>12</v>
      </c>
      <c r="K504" s="172" t="s">
        <v>313</v>
      </c>
      <c r="L504" s="173">
        <v>2100000</v>
      </c>
      <c r="M504" s="173">
        <f>J504*L504</f>
        <v>25200000</v>
      </c>
    </row>
    <row r="505" spans="1:13" x14ac:dyDescent="0.25">
      <c r="A505" s="166" t="s">
        <v>137</v>
      </c>
      <c r="B505" s="166" t="s">
        <v>138</v>
      </c>
      <c r="C505" s="168"/>
      <c r="D505" s="168"/>
      <c r="E505" s="169"/>
      <c r="F505" s="167">
        <f>F506</f>
        <v>1200000</v>
      </c>
      <c r="I505" s="341"/>
      <c r="J505" s="168"/>
      <c r="K505" s="168"/>
      <c r="L505" s="169"/>
      <c r="M505" s="167">
        <f>M506</f>
        <v>1200000</v>
      </c>
    </row>
    <row r="506" spans="1:13" x14ac:dyDescent="0.25">
      <c r="A506" s="170"/>
      <c r="B506" s="217" t="s">
        <v>281</v>
      </c>
      <c r="C506" s="219">
        <v>12</v>
      </c>
      <c r="D506" s="172" t="s">
        <v>313</v>
      </c>
      <c r="E506" s="173">
        <v>100000</v>
      </c>
      <c r="F506" s="173">
        <f>C506*E506</f>
        <v>1200000</v>
      </c>
      <c r="I506" s="341"/>
      <c r="J506" s="219">
        <v>12</v>
      </c>
      <c r="K506" s="172" t="s">
        <v>313</v>
      </c>
      <c r="L506" s="173">
        <v>100000</v>
      </c>
      <c r="M506" s="173">
        <f>J506*L506</f>
        <v>1200000</v>
      </c>
    </row>
    <row r="507" spans="1:13" x14ac:dyDescent="0.25">
      <c r="A507" s="162" t="s">
        <v>32</v>
      </c>
      <c r="B507" s="162" t="s">
        <v>139</v>
      </c>
      <c r="C507" s="163"/>
      <c r="D507" s="163"/>
      <c r="E507" s="164"/>
      <c r="F507" s="165">
        <f>F508</f>
        <v>346660000</v>
      </c>
      <c r="I507" s="342">
        <f>F507-M507</f>
        <v>0</v>
      </c>
      <c r="J507" s="163"/>
      <c r="K507" s="163"/>
      <c r="L507" s="164"/>
      <c r="M507" s="165">
        <f>M508</f>
        <v>346660000</v>
      </c>
    </row>
    <row r="508" spans="1:13" x14ac:dyDescent="0.25">
      <c r="A508" s="166" t="s">
        <v>140</v>
      </c>
      <c r="B508" s="166" t="s">
        <v>141</v>
      </c>
      <c r="C508" s="168"/>
      <c r="D508" s="168"/>
      <c r="E508" s="169"/>
      <c r="F508" s="167">
        <f>SUM(F509:F511)</f>
        <v>346660000</v>
      </c>
      <c r="I508" s="341"/>
      <c r="J508" s="168"/>
      <c r="K508" s="168"/>
      <c r="L508" s="169"/>
      <c r="M508" s="167">
        <f>SUM(M509:M511)</f>
        <v>346660000</v>
      </c>
    </row>
    <row r="509" spans="1:13" ht="30" x14ac:dyDescent="0.25">
      <c r="A509" s="170"/>
      <c r="B509" s="217" t="s">
        <v>282</v>
      </c>
      <c r="C509" s="219">
        <v>2</v>
      </c>
      <c r="D509" s="172" t="s">
        <v>314</v>
      </c>
      <c r="E509" s="173">
        <v>42490000</v>
      </c>
      <c r="F509" s="173">
        <f>C509*E509</f>
        <v>84980000</v>
      </c>
      <c r="I509" s="341"/>
      <c r="J509" s="219">
        <v>2</v>
      </c>
      <c r="K509" s="172" t="s">
        <v>314</v>
      </c>
      <c r="L509" s="173">
        <v>42490000</v>
      </c>
      <c r="M509" s="173">
        <f>J509*L509</f>
        <v>84980000</v>
      </c>
    </row>
    <row r="510" spans="1:13" ht="30" x14ac:dyDescent="0.25">
      <c r="A510" s="170"/>
      <c r="B510" s="217" t="s">
        <v>283</v>
      </c>
      <c r="C510" s="219">
        <v>6</v>
      </c>
      <c r="D510" s="172" t="s">
        <v>314</v>
      </c>
      <c r="E510" s="173">
        <v>37000000</v>
      </c>
      <c r="F510" s="173">
        <f>C510*E510</f>
        <v>222000000</v>
      </c>
      <c r="I510" s="341"/>
      <c r="J510" s="219">
        <v>6</v>
      </c>
      <c r="K510" s="172" t="s">
        <v>314</v>
      </c>
      <c r="L510" s="173">
        <v>37000000</v>
      </c>
      <c r="M510" s="173">
        <f>J510*L510</f>
        <v>222000000</v>
      </c>
    </row>
    <row r="511" spans="1:13" ht="30" x14ac:dyDescent="0.25">
      <c r="A511" s="170"/>
      <c r="B511" s="217" t="s">
        <v>284</v>
      </c>
      <c r="C511" s="219">
        <v>8</v>
      </c>
      <c r="D511" s="172" t="s">
        <v>314</v>
      </c>
      <c r="E511" s="173">
        <v>4960000</v>
      </c>
      <c r="F511" s="173">
        <f>C511*E511</f>
        <v>39680000</v>
      </c>
      <c r="I511" s="341"/>
      <c r="J511" s="219">
        <v>8</v>
      </c>
      <c r="K511" s="172" t="s">
        <v>314</v>
      </c>
      <c r="L511" s="173">
        <v>4960000</v>
      </c>
      <c r="M511" s="173">
        <f>J511*L511</f>
        <v>39680000</v>
      </c>
    </row>
    <row r="512" spans="1:13" x14ac:dyDescent="0.25">
      <c r="A512" s="162" t="s">
        <v>35</v>
      </c>
      <c r="B512" s="162" t="s">
        <v>142</v>
      </c>
      <c r="C512" s="163"/>
      <c r="D512" s="163"/>
      <c r="E512" s="164"/>
      <c r="F512" s="165">
        <f>F513+F518</f>
        <v>5034303000</v>
      </c>
      <c r="I512" s="342">
        <f>F512-M512</f>
        <v>481648000</v>
      </c>
      <c r="J512" s="163"/>
      <c r="K512" s="163"/>
      <c r="L512" s="164"/>
      <c r="M512" s="165">
        <f>M513+M518</f>
        <v>4552655000</v>
      </c>
    </row>
    <row r="513" spans="1:14" x14ac:dyDescent="0.25">
      <c r="A513" s="166" t="s">
        <v>143</v>
      </c>
      <c r="B513" s="166" t="s">
        <v>144</v>
      </c>
      <c r="C513" s="168"/>
      <c r="D513" s="168"/>
      <c r="E513" s="169"/>
      <c r="F513" s="167">
        <f>SUM(F514:F517)</f>
        <v>4838803000</v>
      </c>
      <c r="I513" s="341"/>
      <c r="J513" s="168"/>
      <c r="K513" s="168"/>
      <c r="L513" s="169"/>
      <c r="M513" s="167">
        <f>SUM(M514:M517)</f>
        <v>4357155000</v>
      </c>
    </row>
    <row r="514" spans="1:14" ht="30" x14ac:dyDescent="0.25">
      <c r="A514" s="170"/>
      <c r="B514" s="217" t="s">
        <v>285</v>
      </c>
      <c r="C514" s="219">
        <v>3759</v>
      </c>
      <c r="D514" s="172" t="s">
        <v>424</v>
      </c>
      <c r="E514" s="173">
        <v>206000</v>
      </c>
      <c r="F514" s="173">
        <f t="shared" ref="F514:F517" si="112">C514*E514</f>
        <v>774354000</v>
      </c>
      <c r="I514" s="341"/>
      <c r="J514" s="219">
        <v>3759</v>
      </c>
      <c r="K514" s="172" t="s">
        <v>424</v>
      </c>
      <c r="L514" s="173">
        <v>206000</v>
      </c>
      <c r="M514" s="173">
        <f t="shared" ref="M514:M517" si="113">J514*L514</f>
        <v>774354000</v>
      </c>
    </row>
    <row r="515" spans="1:14" s="138" customFormat="1" x14ac:dyDescent="0.25">
      <c r="A515" s="170"/>
      <c r="B515" s="217" t="s">
        <v>286</v>
      </c>
      <c r="C515" s="219">
        <v>240</v>
      </c>
      <c r="D515" s="172" t="s">
        <v>300</v>
      </c>
      <c r="E515" s="173">
        <v>85000</v>
      </c>
      <c r="F515" s="173">
        <f t="shared" si="112"/>
        <v>20400000</v>
      </c>
      <c r="I515" s="343"/>
      <c r="J515" s="219">
        <v>240</v>
      </c>
      <c r="K515" s="172" t="s">
        <v>300</v>
      </c>
      <c r="L515" s="173">
        <v>85000</v>
      </c>
      <c r="M515" s="173">
        <f t="shared" si="113"/>
        <v>20400000</v>
      </c>
    </row>
    <row r="516" spans="1:14" x14ac:dyDescent="0.25">
      <c r="A516" s="170"/>
      <c r="B516" s="217" t="s">
        <v>287</v>
      </c>
      <c r="C516" s="219">
        <v>3</v>
      </c>
      <c r="D516" s="172" t="s">
        <v>300</v>
      </c>
      <c r="E516" s="173">
        <f>518643000-6080000+2120000</f>
        <v>514683000</v>
      </c>
      <c r="F516" s="173">
        <f t="shared" si="112"/>
        <v>1544049000</v>
      </c>
      <c r="I516" s="341"/>
      <c r="J516" s="229">
        <v>1</v>
      </c>
      <c r="K516" s="172" t="s">
        <v>300</v>
      </c>
      <c r="L516" s="231">
        <v>1062401000</v>
      </c>
      <c r="M516" s="173">
        <f t="shared" si="113"/>
        <v>1062401000</v>
      </c>
      <c r="N516" s="135"/>
    </row>
    <row r="517" spans="1:14" x14ac:dyDescent="0.25">
      <c r="A517" s="170"/>
      <c r="B517" s="217" t="s">
        <v>289</v>
      </c>
      <c r="C517" s="219">
        <v>1</v>
      </c>
      <c r="D517" s="172" t="s">
        <v>300</v>
      </c>
      <c r="E517" s="173">
        <v>2500000000</v>
      </c>
      <c r="F517" s="173">
        <f t="shared" si="112"/>
        <v>2500000000</v>
      </c>
      <c r="I517" s="341"/>
      <c r="J517" s="219">
        <v>1</v>
      </c>
      <c r="K517" s="172" t="s">
        <v>300</v>
      </c>
      <c r="L517" s="173">
        <v>2500000000</v>
      </c>
      <c r="M517" s="173">
        <f t="shared" si="113"/>
        <v>2500000000</v>
      </c>
      <c r="N517" s="247"/>
    </row>
    <row r="518" spans="1:14" x14ac:dyDescent="0.25">
      <c r="A518" s="166" t="s">
        <v>140</v>
      </c>
      <c r="B518" s="166" t="s">
        <v>141</v>
      </c>
      <c r="C518" s="168"/>
      <c r="D518" s="168"/>
      <c r="E518" s="169"/>
      <c r="F518" s="167">
        <f>SUM(F519:F521)</f>
        <v>195500000</v>
      </c>
      <c r="I518" s="341"/>
      <c r="J518" s="168"/>
      <c r="K518" s="168"/>
      <c r="L518" s="169"/>
      <c r="M518" s="167">
        <f>SUM(M519:M521)</f>
        <v>195500000</v>
      </c>
    </row>
    <row r="519" spans="1:14" x14ac:dyDescent="0.25">
      <c r="A519" s="170"/>
      <c r="B519" s="217" t="s">
        <v>290</v>
      </c>
      <c r="C519" s="219">
        <v>180</v>
      </c>
      <c r="D519" s="172" t="s">
        <v>314</v>
      </c>
      <c r="E519" s="173">
        <v>610000</v>
      </c>
      <c r="F519" s="173">
        <f>C519*E519</f>
        <v>109800000</v>
      </c>
      <c r="I519" s="341"/>
      <c r="J519" s="219">
        <v>180</v>
      </c>
      <c r="K519" s="172" t="s">
        <v>314</v>
      </c>
      <c r="L519" s="173">
        <v>610000</v>
      </c>
      <c r="M519" s="173">
        <f>J519*L519</f>
        <v>109800000</v>
      </c>
    </row>
    <row r="520" spans="1:14" x14ac:dyDescent="0.25">
      <c r="A520" s="170"/>
      <c r="B520" s="217" t="s">
        <v>291</v>
      </c>
      <c r="C520" s="219">
        <v>12</v>
      </c>
      <c r="D520" s="172" t="s">
        <v>313</v>
      </c>
      <c r="E520" s="173">
        <v>4100000</v>
      </c>
      <c r="F520" s="173">
        <f>C520*E520</f>
        <v>49200000</v>
      </c>
      <c r="I520" s="341"/>
      <c r="J520" s="219">
        <v>12</v>
      </c>
      <c r="K520" s="172" t="s">
        <v>313</v>
      </c>
      <c r="L520" s="173">
        <v>4100000</v>
      </c>
      <c r="M520" s="173">
        <f>J520*L520</f>
        <v>49200000</v>
      </c>
    </row>
    <row r="521" spans="1:14" x14ac:dyDescent="0.25">
      <c r="A521" s="170"/>
      <c r="B521" s="217" t="s">
        <v>292</v>
      </c>
      <c r="C521" s="219">
        <v>50</v>
      </c>
      <c r="D521" s="172" t="s">
        <v>314</v>
      </c>
      <c r="E521" s="173">
        <v>730000</v>
      </c>
      <c r="F521" s="173">
        <f>C521*E521</f>
        <v>36500000</v>
      </c>
      <c r="I521" s="341"/>
      <c r="J521" s="219">
        <v>50</v>
      </c>
      <c r="K521" s="172" t="s">
        <v>314</v>
      </c>
      <c r="L521" s="173">
        <v>730000</v>
      </c>
      <c r="M521" s="173">
        <f>J521*L521</f>
        <v>36500000</v>
      </c>
    </row>
    <row r="522" spans="1:14" x14ac:dyDescent="0.25">
      <c r="A522" s="22" t="s">
        <v>665</v>
      </c>
      <c r="B522" s="22" t="s">
        <v>641</v>
      </c>
      <c r="C522" s="23"/>
      <c r="D522" s="23"/>
      <c r="E522" s="24"/>
      <c r="F522" s="25">
        <f>F523</f>
        <v>10000000</v>
      </c>
      <c r="I522" s="341"/>
      <c r="J522" s="23"/>
      <c r="K522" s="23"/>
      <c r="L522" s="24"/>
      <c r="M522" s="25">
        <f>M523</f>
        <v>10000000</v>
      </c>
    </row>
    <row r="523" spans="1:14" x14ac:dyDescent="0.25">
      <c r="A523" s="26" t="s">
        <v>9</v>
      </c>
      <c r="B523" s="26" t="s">
        <v>642</v>
      </c>
      <c r="C523" s="27" t="s">
        <v>11</v>
      </c>
      <c r="D523" s="27"/>
      <c r="E523" s="28"/>
      <c r="F523" s="29">
        <f>F524</f>
        <v>10000000</v>
      </c>
      <c r="I523" s="341"/>
      <c r="J523" s="27" t="s">
        <v>11</v>
      </c>
      <c r="K523" s="27"/>
      <c r="L523" s="28"/>
      <c r="M523" s="29">
        <f>M524</f>
        <v>10000000</v>
      </c>
    </row>
    <row r="524" spans="1:14" x14ac:dyDescent="0.25">
      <c r="A524" s="241" t="s">
        <v>12</v>
      </c>
      <c r="B524" s="241" t="s">
        <v>643</v>
      </c>
      <c r="C524" s="248"/>
      <c r="D524" s="248"/>
      <c r="E524" s="249"/>
      <c r="F524" s="250">
        <f>F525+F529+F531</f>
        <v>10000000</v>
      </c>
      <c r="I524" s="341"/>
      <c r="J524" s="248"/>
      <c r="K524" s="248"/>
      <c r="L524" s="249"/>
      <c r="M524" s="250">
        <f>M525+M529+M531</f>
        <v>10000000</v>
      </c>
    </row>
    <row r="525" spans="1:14" x14ac:dyDescent="0.25">
      <c r="A525" s="251" t="s">
        <v>22</v>
      </c>
      <c r="B525" s="242" t="s">
        <v>23</v>
      </c>
      <c r="C525" s="252"/>
      <c r="D525" s="252"/>
      <c r="E525" s="244"/>
      <c r="F525" s="253">
        <f>SUM(F526:F528)</f>
        <v>2740000</v>
      </c>
      <c r="I525" s="341"/>
      <c r="J525" s="252"/>
      <c r="K525" s="252"/>
      <c r="L525" s="244"/>
      <c r="M525" s="253">
        <f>SUM(M526:M528)</f>
        <v>2740000</v>
      </c>
    </row>
    <row r="526" spans="1:14" x14ac:dyDescent="0.25">
      <c r="A526" s="243"/>
      <c r="B526" s="254" t="s">
        <v>644</v>
      </c>
      <c r="C526" s="255">
        <v>30</v>
      </c>
      <c r="D526" s="255" t="s">
        <v>296</v>
      </c>
      <c r="E526" s="256">
        <v>57000</v>
      </c>
      <c r="F526" s="256">
        <f>C526*E526</f>
        <v>1710000</v>
      </c>
      <c r="I526" s="341"/>
      <c r="J526" s="255">
        <v>30</v>
      </c>
      <c r="K526" s="255" t="s">
        <v>296</v>
      </c>
      <c r="L526" s="256">
        <v>57000</v>
      </c>
      <c r="M526" s="256">
        <f>J526*L526</f>
        <v>1710000</v>
      </c>
    </row>
    <row r="527" spans="1:14" x14ac:dyDescent="0.25">
      <c r="A527" s="243"/>
      <c r="B527" s="254" t="s">
        <v>645</v>
      </c>
      <c r="C527" s="255">
        <v>30</v>
      </c>
      <c r="D527" s="255" t="s">
        <v>296</v>
      </c>
      <c r="E527" s="256">
        <v>24000</v>
      </c>
      <c r="F527" s="256">
        <f>C527*E527</f>
        <v>720000</v>
      </c>
      <c r="I527" s="341"/>
      <c r="J527" s="255">
        <v>30</v>
      </c>
      <c r="K527" s="255" t="s">
        <v>296</v>
      </c>
      <c r="L527" s="256">
        <v>24000</v>
      </c>
      <c r="M527" s="256">
        <f>J527*L527</f>
        <v>720000</v>
      </c>
    </row>
    <row r="528" spans="1:14" x14ac:dyDescent="0.25">
      <c r="A528" s="243"/>
      <c r="B528" s="254" t="s">
        <v>648</v>
      </c>
      <c r="C528" s="255">
        <v>1</v>
      </c>
      <c r="D528" s="255" t="s">
        <v>298</v>
      </c>
      <c r="E528" s="256">
        <v>310000</v>
      </c>
      <c r="F528" s="256">
        <f t="shared" ref="F528" si="114">C528*E528</f>
        <v>310000</v>
      </c>
      <c r="I528" s="341"/>
      <c r="J528" s="255">
        <v>1</v>
      </c>
      <c r="K528" s="255" t="s">
        <v>298</v>
      </c>
      <c r="L528" s="256">
        <v>310000</v>
      </c>
      <c r="M528" s="256">
        <f t="shared" ref="M528" si="115">J528*L528</f>
        <v>310000</v>
      </c>
    </row>
    <row r="529" spans="1:13" x14ac:dyDescent="0.25">
      <c r="A529" s="166" t="s">
        <v>16</v>
      </c>
      <c r="B529" s="166" t="s">
        <v>17</v>
      </c>
      <c r="C529" s="168"/>
      <c r="D529" s="168"/>
      <c r="E529" s="169"/>
      <c r="F529" s="167">
        <f>SUM(F530:F530)</f>
        <v>2700000</v>
      </c>
      <c r="I529" s="341"/>
      <c r="J529" s="168"/>
      <c r="K529" s="168"/>
      <c r="L529" s="169"/>
      <c r="M529" s="167">
        <f>SUM(M530:M530)</f>
        <v>2700000</v>
      </c>
    </row>
    <row r="530" spans="1:13" x14ac:dyDescent="0.25">
      <c r="A530" s="170"/>
      <c r="B530" s="171" t="s">
        <v>649</v>
      </c>
      <c r="C530" s="172">
        <v>3</v>
      </c>
      <c r="D530" s="172" t="s">
        <v>297</v>
      </c>
      <c r="E530" s="173">
        <v>900000</v>
      </c>
      <c r="F530" s="173">
        <f>C530*E530</f>
        <v>2700000</v>
      </c>
      <c r="I530" s="341"/>
      <c r="J530" s="172">
        <v>3</v>
      </c>
      <c r="K530" s="172" t="s">
        <v>297</v>
      </c>
      <c r="L530" s="173">
        <v>900000</v>
      </c>
      <c r="M530" s="173">
        <f>J530*L530</f>
        <v>2700000</v>
      </c>
    </row>
    <row r="531" spans="1:13" x14ac:dyDescent="0.25">
      <c r="A531" s="257" t="s">
        <v>18</v>
      </c>
      <c r="B531" s="245" t="s">
        <v>19</v>
      </c>
      <c r="C531" s="258"/>
      <c r="D531" s="258"/>
      <c r="E531" s="259"/>
      <c r="F531" s="259">
        <f>SUM(F532:F533)</f>
        <v>4560000</v>
      </c>
      <c r="I531" s="341"/>
      <c r="J531" s="258"/>
      <c r="K531" s="258"/>
      <c r="L531" s="259"/>
      <c r="M531" s="259">
        <f>SUM(M532:M533)</f>
        <v>4560000</v>
      </c>
    </row>
    <row r="532" spans="1:13" x14ac:dyDescent="0.25">
      <c r="A532" s="243"/>
      <c r="B532" s="254" t="s">
        <v>647</v>
      </c>
      <c r="C532" s="255">
        <v>12</v>
      </c>
      <c r="D532" s="255" t="s">
        <v>296</v>
      </c>
      <c r="E532" s="256">
        <v>210000</v>
      </c>
      <c r="F532" s="256">
        <f t="shared" ref="F532:F533" si="116">C532*E532</f>
        <v>2520000</v>
      </c>
      <c r="I532" s="341"/>
      <c r="J532" s="255">
        <v>12</v>
      </c>
      <c r="K532" s="255" t="s">
        <v>296</v>
      </c>
      <c r="L532" s="256">
        <v>210000</v>
      </c>
      <c r="M532" s="256">
        <f t="shared" ref="M532:M533" si="117">J532*L532</f>
        <v>2520000</v>
      </c>
    </row>
    <row r="533" spans="1:13" x14ac:dyDescent="0.25">
      <c r="A533" s="243"/>
      <c r="B533" s="254" t="s">
        <v>646</v>
      </c>
      <c r="C533" s="255">
        <v>12</v>
      </c>
      <c r="D533" s="255" t="s">
        <v>296</v>
      </c>
      <c r="E533" s="256">
        <v>170000</v>
      </c>
      <c r="F533" s="256">
        <f t="shared" si="116"/>
        <v>2040000</v>
      </c>
      <c r="I533" s="341"/>
      <c r="J533" s="255">
        <v>12</v>
      </c>
      <c r="K533" s="255" t="s">
        <v>296</v>
      </c>
      <c r="L533" s="256">
        <v>170000</v>
      </c>
      <c r="M533" s="256">
        <f t="shared" si="117"/>
        <v>2040000</v>
      </c>
    </row>
    <row r="534" spans="1:13" s="36" customFormat="1" ht="30" x14ac:dyDescent="0.25">
      <c r="A534" s="87" t="s">
        <v>705</v>
      </c>
      <c r="B534" s="87" t="s">
        <v>146</v>
      </c>
      <c r="C534" s="55">
        <v>1</v>
      </c>
      <c r="D534" s="55" t="s">
        <v>315</v>
      </c>
      <c r="E534" s="56"/>
      <c r="F534" s="57">
        <f>F536</f>
        <v>198600000</v>
      </c>
      <c r="I534" s="345"/>
      <c r="J534" s="55">
        <v>1</v>
      </c>
      <c r="K534" s="55" t="s">
        <v>315</v>
      </c>
      <c r="L534" s="56"/>
      <c r="M534" s="57">
        <f>M536</f>
        <v>198600000</v>
      </c>
    </row>
    <row r="535" spans="1:13" s="36" customFormat="1" x14ac:dyDescent="0.25">
      <c r="A535" s="74"/>
      <c r="B535" s="79" t="s">
        <v>68</v>
      </c>
      <c r="C535" s="76"/>
      <c r="D535" s="76"/>
      <c r="E535" s="74"/>
      <c r="F535" s="74"/>
      <c r="I535" s="345"/>
      <c r="J535" s="76"/>
      <c r="K535" s="76"/>
      <c r="L535" s="74"/>
      <c r="M535" s="74"/>
    </row>
    <row r="536" spans="1:13" s="36" customFormat="1" x14ac:dyDescent="0.25">
      <c r="A536" s="58" t="s">
        <v>667</v>
      </c>
      <c r="B536" s="58" t="s">
        <v>148</v>
      </c>
      <c r="C536" s="59">
        <v>1</v>
      </c>
      <c r="D536" s="59" t="s">
        <v>316</v>
      </c>
      <c r="E536" s="60"/>
      <c r="F536" s="61">
        <f>F537</f>
        <v>198600000</v>
      </c>
      <c r="I536" s="345"/>
      <c r="J536" s="59">
        <v>1</v>
      </c>
      <c r="K536" s="59" t="s">
        <v>316</v>
      </c>
      <c r="L536" s="60"/>
      <c r="M536" s="61">
        <f>M537</f>
        <v>198600000</v>
      </c>
    </row>
    <row r="537" spans="1:13" s="36" customFormat="1" x14ac:dyDescent="0.25">
      <c r="A537" s="191">
        <v>996</v>
      </c>
      <c r="B537" s="100" t="s">
        <v>617</v>
      </c>
      <c r="C537" s="101" t="s">
        <v>11</v>
      </c>
      <c r="D537" s="101"/>
      <c r="E537" s="52"/>
      <c r="F537" s="102">
        <f>F538</f>
        <v>198600000</v>
      </c>
      <c r="I537" s="345"/>
      <c r="J537" s="101" t="s">
        <v>11</v>
      </c>
      <c r="K537" s="101"/>
      <c r="L537" s="52"/>
      <c r="M537" s="102">
        <f>M538</f>
        <v>198600000</v>
      </c>
    </row>
    <row r="538" spans="1:13" s="36" customFormat="1" x14ac:dyDescent="0.25">
      <c r="A538" s="66" t="s">
        <v>12</v>
      </c>
      <c r="B538" s="66" t="s">
        <v>425</v>
      </c>
      <c r="C538" s="67"/>
      <c r="D538" s="67"/>
      <c r="E538" s="68"/>
      <c r="F538" s="69">
        <f>F539</f>
        <v>198600000</v>
      </c>
      <c r="I538" s="345"/>
      <c r="J538" s="67"/>
      <c r="K538" s="67"/>
      <c r="L538" s="68"/>
      <c r="M538" s="69">
        <f>M539</f>
        <v>198600000</v>
      </c>
    </row>
    <row r="539" spans="1:13" s="36" customFormat="1" x14ac:dyDescent="0.25">
      <c r="A539" s="70" t="s">
        <v>152</v>
      </c>
      <c r="B539" s="70" t="s">
        <v>153</v>
      </c>
      <c r="C539" s="71"/>
      <c r="D539" s="71"/>
      <c r="E539" s="72"/>
      <c r="F539" s="103">
        <f>SUM(F540:F547)</f>
        <v>198600000</v>
      </c>
      <c r="I539" s="345"/>
      <c r="J539" s="71"/>
      <c r="K539" s="71"/>
      <c r="L539" s="72"/>
      <c r="M539" s="103">
        <f>SUM(M540:M547)</f>
        <v>198600000</v>
      </c>
    </row>
    <row r="540" spans="1:13" s="36" customFormat="1" x14ac:dyDescent="0.25">
      <c r="A540" s="104"/>
      <c r="B540" s="213" t="s">
        <v>676</v>
      </c>
      <c r="C540" s="106">
        <v>6</v>
      </c>
      <c r="D540" s="106" t="s">
        <v>668</v>
      </c>
      <c r="E540" s="107">
        <v>2600000</v>
      </c>
      <c r="F540" s="107">
        <f t="shared" ref="F540:F546" si="118">C540*E540</f>
        <v>15600000</v>
      </c>
      <c r="I540" s="345"/>
      <c r="J540" s="106">
        <v>6</v>
      </c>
      <c r="K540" s="106" t="s">
        <v>668</v>
      </c>
      <c r="L540" s="107">
        <v>2600000</v>
      </c>
      <c r="M540" s="107">
        <f t="shared" ref="M540:M546" si="119">J540*L540</f>
        <v>15600000</v>
      </c>
    </row>
    <row r="541" spans="1:13" s="36" customFormat="1" x14ac:dyDescent="0.25">
      <c r="A541" s="104"/>
      <c r="B541" s="213" t="s">
        <v>677</v>
      </c>
      <c r="C541" s="106">
        <v>2</v>
      </c>
      <c r="D541" s="106" t="s">
        <v>668</v>
      </c>
      <c r="E541" s="107">
        <v>14200000</v>
      </c>
      <c r="F541" s="107">
        <f t="shared" si="118"/>
        <v>28400000</v>
      </c>
      <c r="I541" s="345"/>
      <c r="J541" s="106">
        <v>2</v>
      </c>
      <c r="K541" s="106" t="s">
        <v>668</v>
      </c>
      <c r="L541" s="107">
        <v>14200000</v>
      </c>
      <c r="M541" s="107">
        <f t="shared" si="119"/>
        <v>28400000</v>
      </c>
    </row>
    <row r="542" spans="1:13" s="36" customFormat="1" x14ac:dyDescent="0.25">
      <c r="A542" s="104"/>
      <c r="B542" s="213" t="s">
        <v>678</v>
      </c>
      <c r="C542" s="106">
        <v>1</v>
      </c>
      <c r="D542" s="106" t="s">
        <v>668</v>
      </c>
      <c r="E542" s="107">
        <v>20000000</v>
      </c>
      <c r="F542" s="107">
        <f t="shared" si="118"/>
        <v>20000000</v>
      </c>
      <c r="I542" s="345"/>
      <c r="J542" s="106">
        <v>1</v>
      </c>
      <c r="K542" s="106" t="s">
        <v>668</v>
      </c>
      <c r="L542" s="107">
        <v>20000000</v>
      </c>
      <c r="M542" s="107">
        <f t="shared" si="119"/>
        <v>20000000</v>
      </c>
    </row>
    <row r="543" spans="1:13" s="36" customFormat="1" x14ac:dyDescent="0.25">
      <c r="A543" s="104"/>
      <c r="B543" s="213" t="s">
        <v>679</v>
      </c>
      <c r="C543" s="106">
        <v>7</v>
      </c>
      <c r="D543" s="106" t="s">
        <v>668</v>
      </c>
      <c r="E543" s="107">
        <v>10000000</v>
      </c>
      <c r="F543" s="107">
        <f t="shared" si="118"/>
        <v>70000000</v>
      </c>
      <c r="I543" s="345"/>
      <c r="J543" s="106">
        <v>7</v>
      </c>
      <c r="K543" s="106" t="s">
        <v>668</v>
      </c>
      <c r="L543" s="107">
        <v>10000000</v>
      </c>
      <c r="M543" s="107">
        <f t="shared" si="119"/>
        <v>70000000</v>
      </c>
    </row>
    <row r="544" spans="1:13" s="36" customFormat="1" x14ac:dyDescent="0.25">
      <c r="A544" s="104"/>
      <c r="B544" s="213" t="s">
        <v>680</v>
      </c>
      <c r="C544" s="106">
        <v>3</v>
      </c>
      <c r="D544" s="106" t="s">
        <v>668</v>
      </c>
      <c r="E544" s="107">
        <v>5000000</v>
      </c>
      <c r="F544" s="107">
        <f t="shared" si="118"/>
        <v>15000000</v>
      </c>
      <c r="I544" s="345"/>
      <c r="J544" s="106">
        <v>3</v>
      </c>
      <c r="K544" s="106" t="s">
        <v>668</v>
      </c>
      <c r="L544" s="107">
        <v>5000000</v>
      </c>
      <c r="M544" s="107">
        <f t="shared" si="119"/>
        <v>15000000</v>
      </c>
    </row>
    <row r="545" spans="1:13" s="36" customFormat="1" x14ac:dyDescent="0.25">
      <c r="A545" s="104"/>
      <c r="B545" s="213" t="s">
        <v>681</v>
      </c>
      <c r="C545" s="106">
        <v>1</v>
      </c>
      <c r="D545" s="106" t="s">
        <v>668</v>
      </c>
      <c r="E545" s="107">
        <v>6300000</v>
      </c>
      <c r="F545" s="107">
        <f t="shared" si="118"/>
        <v>6300000</v>
      </c>
      <c r="I545" s="345"/>
      <c r="J545" s="106">
        <v>1</v>
      </c>
      <c r="K545" s="106" t="s">
        <v>668</v>
      </c>
      <c r="L545" s="107">
        <v>6300000</v>
      </c>
      <c r="M545" s="107">
        <f t="shared" si="119"/>
        <v>6300000</v>
      </c>
    </row>
    <row r="546" spans="1:13" s="36" customFormat="1" x14ac:dyDescent="0.25">
      <c r="A546" s="104"/>
      <c r="B546" s="213" t="s">
        <v>682</v>
      </c>
      <c r="C546" s="106">
        <v>1</v>
      </c>
      <c r="D546" s="106" t="s">
        <v>668</v>
      </c>
      <c r="E546" s="107">
        <v>33500000</v>
      </c>
      <c r="F546" s="107">
        <f t="shared" si="118"/>
        <v>33500000</v>
      </c>
      <c r="I546" s="345"/>
      <c r="J546" s="106">
        <v>1</v>
      </c>
      <c r="K546" s="106" t="s">
        <v>668</v>
      </c>
      <c r="L546" s="107">
        <v>33500000</v>
      </c>
      <c r="M546" s="107">
        <f t="shared" si="119"/>
        <v>33500000</v>
      </c>
    </row>
    <row r="547" spans="1:13" s="36" customFormat="1" x14ac:dyDescent="0.25">
      <c r="A547" s="104"/>
      <c r="B547" s="213" t="s">
        <v>683</v>
      </c>
      <c r="C547" s="106">
        <v>1</v>
      </c>
      <c r="D547" s="106" t="s">
        <v>668</v>
      </c>
      <c r="E547" s="107">
        <v>9800000</v>
      </c>
      <c r="F547" s="107">
        <f>C547*E547</f>
        <v>9800000</v>
      </c>
      <c r="I547" s="345"/>
      <c r="J547" s="106">
        <v>1</v>
      </c>
      <c r="K547" s="106" t="s">
        <v>668</v>
      </c>
      <c r="L547" s="107">
        <v>9800000</v>
      </c>
      <c r="M547" s="107">
        <f>J547*L547</f>
        <v>9800000</v>
      </c>
    </row>
    <row r="548" spans="1:13" x14ac:dyDescent="0.25">
      <c r="A548" s="184"/>
      <c r="B548" s="184"/>
      <c r="C548" s="185"/>
      <c r="D548" s="185"/>
      <c r="E548" s="184"/>
      <c r="F548" s="186"/>
      <c r="J548" s="185"/>
      <c r="K548" s="185"/>
      <c r="L548" s="184"/>
      <c r="M548" s="186"/>
    </row>
    <row r="549" spans="1:13" x14ac:dyDescent="0.25">
      <c r="A549" s="184"/>
      <c r="B549" s="187"/>
      <c r="C549" s="185"/>
      <c r="D549" s="185"/>
      <c r="E549" s="184"/>
      <c r="F549" s="188"/>
      <c r="J549" s="185"/>
      <c r="K549" s="185"/>
      <c r="L549" s="184"/>
      <c r="M549" s="188"/>
    </row>
    <row r="550" spans="1:13" x14ac:dyDescent="0.25">
      <c r="A550" s="184"/>
      <c r="B550" s="187"/>
      <c r="C550" s="185"/>
      <c r="D550" s="185"/>
      <c r="E550" s="184"/>
      <c r="F550" s="186"/>
      <c r="J550" s="185"/>
      <c r="K550" s="185"/>
      <c r="L550" s="184"/>
      <c r="M550" s="186"/>
    </row>
    <row r="551" spans="1:13" x14ac:dyDescent="0.25">
      <c r="A551" s="184"/>
      <c r="B551" s="187"/>
      <c r="C551" s="185"/>
      <c r="D551" s="185"/>
      <c r="E551" s="184"/>
      <c r="F551" s="186"/>
      <c r="J551" s="185"/>
      <c r="K551" s="185"/>
      <c r="L551" s="184"/>
      <c r="M551" s="186"/>
    </row>
    <row r="552" spans="1:13" x14ac:dyDescent="0.25">
      <c r="A552" s="184"/>
      <c r="B552" s="184"/>
      <c r="C552" s="185"/>
      <c r="D552" s="185"/>
      <c r="E552" s="184"/>
      <c r="F552" s="189"/>
      <c r="J552" s="185"/>
      <c r="K552" s="185"/>
      <c r="L552" s="184"/>
      <c r="M552" s="189"/>
    </row>
    <row r="553" spans="1:13" x14ac:dyDescent="0.25">
      <c r="A553" s="184"/>
      <c r="B553" s="184"/>
      <c r="C553" s="185"/>
      <c r="D553" s="185"/>
      <c r="E553" s="184"/>
      <c r="F553" s="186"/>
      <c r="J553" s="185"/>
      <c r="K553" s="185"/>
      <c r="L553" s="184"/>
      <c r="M553" s="186"/>
    </row>
  </sheetData>
  <autoFilter ref="A4:B521" xr:uid="{3672E4ED-D1AC-4CAC-ABB6-F68B3F342D3D}"/>
  <mergeCells count="13">
    <mergeCell ref="J1:M1"/>
    <mergeCell ref="J3:J4"/>
    <mergeCell ref="K3:K4"/>
    <mergeCell ref="L3:L4"/>
    <mergeCell ref="M3:M4"/>
    <mergeCell ref="C1:F1"/>
    <mergeCell ref="A2:B2"/>
    <mergeCell ref="A3:A4"/>
    <mergeCell ref="B3:B4"/>
    <mergeCell ref="C3:C4"/>
    <mergeCell ref="D3:D4"/>
    <mergeCell ref="E3:E4"/>
    <mergeCell ref="F3:F4"/>
  </mergeCells>
  <pageMargins left="0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132C-3B8C-49F3-AC15-A1B11F1008E8}">
  <dimension ref="B2:H19"/>
  <sheetViews>
    <sheetView workbookViewId="0">
      <selection activeCell="G3" sqref="G3"/>
    </sheetView>
  </sheetViews>
  <sheetFormatPr defaultRowHeight="15" x14ac:dyDescent="0.25"/>
  <cols>
    <col min="2" max="2" width="11.42578125" style="262" customWidth="1"/>
    <col min="3" max="3" width="8.28515625" style="262" customWidth="1"/>
    <col min="4" max="4" width="7.42578125" style="262" customWidth="1"/>
    <col min="5" max="5" width="53.85546875" style="263" customWidth="1"/>
    <col min="6" max="6" width="16.140625" style="264" customWidth="1"/>
    <col min="7" max="7" width="17.140625" style="260" customWidth="1"/>
    <col min="8" max="8" width="12.5703125" bestFit="1" customWidth="1"/>
  </cols>
  <sheetData>
    <row r="2" spans="2:8" x14ac:dyDescent="0.25">
      <c r="E2" s="263" t="s">
        <v>686</v>
      </c>
      <c r="G2" s="260">
        <f>'RAB Semula Menjadi'!M7</f>
        <v>4855484000</v>
      </c>
    </row>
    <row r="4" spans="2:8" x14ac:dyDescent="0.25">
      <c r="B4" s="261" t="s">
        <v>684</v>
      </c>
      <c r="C4" s="261" t="s">
        <v>9</v>
      </c>
      <c r="D4" s="262" t="s">
        <v>12</v>
      </c>
      <c r="E4" s="263" t="s">
        <v>13</v>
      </c>
      <c r="F4" s="264">
        <f>'RAB Semula Menjadi'!M10</f>
        <v>52150000</v>
      </c>
    </row>
    <row r="5" spans="2:8" x14ac:dyDescent="0.25">
      <c r="C5" s="261" t="s">
        <v>20</v>
      </c>
      <c r="D5" s="262" t="s">
        <v>12</v>
      </c>
      <c r="E5" s="263" t="s">
        <v>337</v>
      </c>
      <c r="F5" s="266">
        <f>'RAB Semula Menjadi'!M35</f>
        <v>622508000</v>
      </c>
      <c r="H5" s="260"/>
    </row>
    <row r="6" spans="2:8" x14ac:dyDescent="0.25">
      <c r="D6" s="262" t="s">
        <v>26</v>
      </c>
      <c r="E6" s="263" t="s">
        <v>39</v>
      </c>
      <c r="F6" s="266">
        <f>'RAB Semula Menjadi'!M57</f>
        <v>622508000</v>
      </c>
    </row>
    <row r="7" spans="2:8" ht="30" x14ac:dyDescent="0.25">
      <c r="D7" s="262" t="s">
        <v>32</v>
      </c>
      <c r="E7" s="265" t="s">
        <v>41</v>
      </c>
      <c r="F7" s="266">
        <f>'RAB Semula Menjadi'!M79</f>
        <v>487486000</v>
      </c>
    </row>
    <row r="8" spans="2:8" x14ac:dyDescent="0.25">
      <c r="D8" s="262" t="s">
        <v>35</v>
      </c>
      <c r="E8" s="263" t="s">
        <v>45</v>
      </c>
      <c r="F8" s="266">
        <f>'RAB Semula Menjadi'!M101</f>
        <v>622508000</v>
      </c>
    </row>
    <row r="9" spans="2:8" x14ac:dyDescent="0.25">
      <c r="C9" s="261" t="s">
        <v>46</v>
      </c>
      <c r="D9" s="262" t="s">
        <v>12</v>
      </c>
      <c r="E9" s="263" t="s">
        <v>48</v>
      </c>
      <c r="F9" s="266">
        <f>'RAB Semula Menjadi'!M124</f>
        <v>622508000</v>
      </c>
    </row>
    <row r="10" spans="2:8" x14ac:dyDescent="0.25">
      <c r="D10" s="262" t="s">
        <v>26</v>
      </c>
      <c r="E10" s="263" t="s">
        <v>49</v>
      </c>
      <c r="F10" s="264">
        <f>0</f>
        <v>0</v>
      </c>
    </row>
    <row r="11" spans="2:8" x14ac:dyDescent="0.25">
      <c r="C11" s="261" t="s">
        <v>50</v>
      </c>
      <c r="D11" s="262" t="s">
        <v>12</v>
      </c>
      <c r="E11" s="263" t="s">
        <v>43</v>
      </c>
      <c r="F11" s="266">
        <f>'RAB Semula Menjadi'!M169</f>
        <v>622508000</v>
      </c>
    </row>
    <row r="12" spans="2:8" x14ac:dyDescent="0.25">
      <c r="D12" s="262" t="s">
        <v>26</v>
      </c>
      <c r="E12" s="263" t="s">
        <v>52</v>
      </c>
      <c r="F12" s="264">
        <f>'RAB Semula Menjadi'!M191</f>
        <v>320280000</v>
      </c>
    </row>
    <row r="13" spans="2:8" x14ac:dyDescent="0.25">
      <c r="D13" s="262" t="s">
        <v>32</v>
      </c>
      <c r="E13" s="263" t="s">
        <v>53</v>
      </c>
      <c r="F13" s="266">
        <f>'RAB Semula Menjadi'!M210</f>
        <v>622508000</v>
      </c>
    </row>
    <row r="15" spans="2:8" ht="30" x14ac:dyDescent="0.25">
      <c r="B15" s="261" t="s">
        <v>685</v>
      </c>
      <c r="C15" s="261" t="s">
        <v>9</v>
      </c>
      <c r="D15" s="262" t="s">
        <v>12</v>
      </c>
      <c r="E15" s="265" t="s">
        <v>58</v>
      </c>
      <c r="F15" s="264">
        <f>'RAB Semula Menjadi'!M234</f>
        <v>92602000</v>
      </c>
    </row>
    <row r="16" spans="2:8" x14ac:dyDescent="0.25">
      <c r="D16" s="262" t="s">
        <v>26</v>
      </c>
      <c r="E16" s="263" t="s">
        <v>60</v>
      </c>
      <c r="F16" s="264">
        <f>'RAB Semula Menjadi'!M245</f>
        <v>79298000</v>
      </c>
    </row>
    <row r="17" spans="4:7" x14ac:dyDescent="0.25">
      <c r="D17" s="262" t="s">
        <v>32</v>
      </c>
      <c r="E17" s="263" t="s">
        <v>64</v>
      </c>
      <c r="F17" s="264">
        <f>'RAB Semula Menjadi'!M266</f>
        <v>88620000</v>
      </c>
    </row>
    <row r="18" spans="4:7" x14ac:dyDescent="0.25">
      <c r="G18" s="260">
        <f>SUM(F4:F17)</f>
        <v>4855484000</v>
      </c>
    </row>
    <row r="19" spans="4:7" x14ac:dyDescent="0.25">
      <c r="E19" s="263" t="s">
        <v>687</v>
      </c>
      <c r="G19" s="260">
        <f>G2-G18</f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40"/>
  <sheetViews>
    <sheetView zoomScaleNormal="100" workbookViewId="0">
      <pane xSplit="2" ySplit="4" topLeftCell="D5" activePane="bottomRight" state="frozen"/>
      <selection pane="topRight" activeCell="C1" sqref="C1"/>
      <selection pane="bottomLeft" activeCell="A4" sqref="A4"/>
      <selection pane="bottomRight" activeCell="N15" sqref="N15"/>
    </sheetView>
  </sheetViews>
  <sheetFormatPr defaultColWidth="9.140625" defaultRowHeight="15" x14ac:dyDescent="0.25"/>
  <cols>
    <col min="1" max="1" width="13" style="1" customWidth="1"/>
    <col min="2" max="2" width="58.5703125" style="1" customWidth="1"/>
    <col min="3" max="4" width="9.85546875" style="8" customWidth="1"/>
    <col min="5" max="5" width="14.85546875" style="1" customWidth="1"/>
    <col min="6" max="8" width="17.85546875" style="1" customWidth="1"/>
    <col min="9" max="9" width="23.85546875" style="123" customWidth="1"/>
    <col min="10" max="10" width="18.140625" style="40" customWidth="1"/>
    <col min="11" max="11" width="11" style="1" bestFit="1" customWidth="1"/>
    <col min="12" max="12" width="11.140625" style="1" bestFit="1" customWidth="1"/>
    <col min="13" max="16384" width="9.140625" style="1"/>
  </cols>
  <sheetData>
    <row r="1" spans="1:12" x14ac:dyDescent="0.25">
      <c r="C1" s="400">
        <v>2024</v>
      </c>
      <c r="D1" s="400"/>
      <c r="E1" s="400"/>
      <c r="F1" s="400"/>
      <c r="G1" s="8">
        <v>2025</v>
      </c>
      <c r="H1" s="8" t="s">
        <v>341</v>
      </c>
      <c r="I1" s="123" t="s">
        <v>342</v>
      </c>
    </row>
    <row r="2" spans="1:12" x14ac:dyDescent="0.25">
      <c r="A2" s="401" t="s">
        <v>317</v>
      </c>
      <c r="B2" s="401"/>
      <c r="C2" s="34"/>
      <c r="D2" s="34"/>
      <c r="E2" s="34"/>
      <c r="F2" s="9">
        <f>F5+F20</f>
        <v>464156186000</v>
      </c>
      <c r="G2" s="115">
        <f>G5+G20</f>
        <v>462058409000</v>
      </c>
      <c r="H2" s="115">
        <f>H5+H20</f>
        <v>57365211425</v>
      </c>
      <c r="I2" s="115">
        <f>I5+I20</f>
        <v>519423620425</v>
      </c>
    </row>
    <row r="3" spans="1:12" s="33" customFormat="1" ht="33" customHeight="1" x14ac:dyDescent="0.25">
      <c r="A3" s="402" t="s">
        <v>318</v>
      </c>
      <c r="B3" s="402" t="s">
        <v>319</v>
      </c>
      <c r="C3" s="402" t="s">
        <v>320</v>
      </c>
      <c r="D3" s="402" t="s">
        <v>321</v>
      </c>
      <c r="E3" s="407" t="s">
        <v>322</v>
      </c>
      <c r="F3" s="407" t="s">
        <v>323</v>
      </c>
      <c r="G3" s="405" t="s">
        <v>323</v>
      </c>
      <c r="H3" s="405" t="s">
        <v>323</v>
      </c>
      <c r="I3" s="405" t="s">
        <v>323</v>
      </c>
      <c r="J3" s="41"/>
    </row>
    <row r="4" spans="1:12" s="33" customFormat="1" x14ac:dyDescent="0.25">
      <c r="A4" s="403"/>
      <c r="B4" s="403"/>
      <c r="C4" s="404"/>
      <c r="D4" s="403"/>
      <c r="E4" s="408"/>
      <c r="F4" s="408"/>
      <c r="G4" s="406"/>
      <c r="H4" s="406"/>
      <c r="I4" s="406"/>
      <c r="J4" s="41"/>
    </row>
    <row r="5" spans="1:12" x14ac:dyDescent="0.25">
      <c r="A5" s="10" t="s">
        <v>0</v>
      </c>
      <c r="B5" s="10" t="s">
        <v>1</v>
      </c>
      <c r="C5" s="11"/>
      <c r="D5" s="11"/>
      <c r="E5" s="12"/>
      <c r="F5" s="13">
        <f>F6</f>
        <v>378437225000</v>
      </c>
      <c r="G5" s="116">
        <f>G6</f>
        <v>374468798000</v>
      </c>
      <c r="H5" s="116">
        <f>H6</f>
        <v>57365211425</v>
      </c>
      <c r="I5" s="124">
        <f>G5+H5</f>
        <v>431834009425</v>
      </c>
    </row>
    <row r="6" spans="1:12" x14ac:dyDescent="0.25">
      <c r="A6" s="14" t="s">
        <v>2</v>
      </c>
      <c r="B6" s="14" t="s">
        <v>3</v>
      </c>
      <c r="C6" s="15"/>
      <c r="D6" s="15"/>
      <c r="E6" s="16"/>
      <c r="F6" s="17">
        <f>F7+F17</f>
        <v>378437225000</v>
      </c>
      <c r="G6" s="116">
        <f>G7+G17</f>
        <v>374468798000</v>
      </c>
      <c r="H6" s="116">
        <f>H7+H17</f>
        <v>57365211425</v>
      </c>
      <c r="I6" s="116">
        <f t="shared" ref="I6:I26" si="0">G6+H6</f>
        <v>431834009425</v>
      </c>
    </row>
    <row r="7" spans="1:12" x14ac:dyDescent="0.25">
      <c r="A7" s="18" t="s">
        <v>4</v>
      </c>
      <c r="B7" s="18" t="s">
        <v>5</v>
      </c>
      <c r="C7" s="19"/>
      <c r="D7" s="19"/>
      <c r="E7" s="20"/>
      <c r="F7" s="21">
        <f>F8+F13</f>
        <v>7180935000</v>
      </c>
      <c r="G7" s="116">
        <f>G8+G13</f>
        <v>6610725000</v>
      </c>
      <c r="H7" s="116">
        <f>H8+H13</f>
        <v>1389275000</v>
      </c>
      <c r="I7" s="116">
        <f t="shared" si="0"/>
        <v>8000000000</v>
      </c>
      <c r="J7" s="40">
        <f>G7-I7</f>
        <v>-1389275000</v>
      </c>
      <c r="K7" s="1">
        <v>8000000000</v>
      </c>
      <c r="L7" s="115">
        <f>K7-F7</f>
        <v>819065000</v>
      </c>
    </row>
    <row r="8" spans="1:12" ht="30" x14ac:dyDescent="0.25">
      <c r="A8" s="22" t="s">
        <v>7</v>
      </c>
      <c r="B8" s="22" t="s">
        <v>8</v>
      </c>
      <c r="C8" s="23"/>
      <c r="D8" s="23"/>
      <c r="E8" s="24"/>
      <c r="F8" s="25">
        <f>F9+F10+F11+F12</f>
        <v>6630583000</v>
      </c>
      <c r="G8" s="117">
        <f>G9+G10+G11+G12</f>
        <v>6200373000</v>
      </c>
      <c r="H8" s="132">
        <f>H9+H10+H11+H12</f>
        <v>1249275000</v>
      </c>
      <c r="I8" s="116">
        <f t="shared" si="0"/>
        <v>7449648000</v>
      </c>
      <c r="L8" s="115">
        <f>L7-H9-H10</f>
        <v>0</v>
      </c>
    </row>
    <row r="9" spans="1:12" ht="30" x14ac:dyDescent="0.25">
      <c r="A9" s="26" t="s">
        <v>9</v>
      </c>
      <c r="B9" s="26" t="s">
        <v>10</v>
      </c>
      <c r="C9" s="27" t="s">
        <v>11</v>
      </c>
      <c r="D9" s="27"/>
      <c r="E9" s="28"/>
      <c r="F9" s="29">
        <v>515996000</v>
      </c>
      <c r="G9" s="117">
        <v>515996000</v>
      </c>
      <c r="H9" s="132">
        <v>400000000</v>
      </c>
      <c r="I9" s="116">
        <f t="shared" si="0"/>
        <v>915996000</v>
      </c>
    </row>
    <row r="10" spans="1:12" ht="30" x14ac:dyDescent="0.25">
      <c r="A10" s="26" t="s">
        <v>20</v>
      </c>
      <c r="B10" s="26" t="s">
        <v>21</v>
      </c>
      <c r="C10" s="27" t="s">
        <v>11</v>
      </c>
      <c r="D10" s="27"/>
      <c r="E10" s="28"/>
      <c r="F10" s="29">
        <v>3272979000</v>
      </c>
      <c r="G10" s="117">
        <v>3272979000</v>
      </c>
      <c r="H10" s="132">
        <v>419065000</v>
      </c>
      <c r="I10" s="116">
        <f t="shared" si="0"/>
        <v>3692044000</v>
      </c>
    </row>
    <row r="11" spans="1:12" x14ac:dyDescent="0.25">
      <c r="A11" s="26" t="s">
        <v>46</v>
      </c>
      <c r="B11" s="26" t="s">
        <v>47</v>
      </c>
      <c r="C11" s="27" t="s">
        <v>11</v>
      </c>
      <c r="D11" s="27"/>
      <c r="E11" s="28"/>
      <c r="F11" s="29">
        <v>557785000</v>
      </c>
      <c r="G11" s="117">
        <v>557785000</v>
      </c>
      <c r="H11" s="117"/>
      <c r="I11" s="116">
        <f t="shared" si="0"/>
        <v>557785000</v>
      </c>
    </row>
    <row r="12" spans="1:12" x14ac:dyDescent="0.25">
      <c r="A12" s="26" t="s">
        <v>50</v>
      </c>
      <c r="B12" s="26" t="s">
        <v>51</v>
      </c>
      <c r="C12" s="27" t="s">
        <v>11</v>
      </c>
      <c r="D12" s="27"/>
      <c r="E12" s="28"/>
      <c r="F12" s="29">
        <v>2283823000</v>
      </c>
      <c r="G12" s="132">
        <v>1853613000</v>
      </c>
      <c r="H12" s="132">
        <v>430210000</v>
      </c>
      <c r="I12" s="116">
        <f t="shared" si="0"/>
        <v>2283823000</v>
      </c>
      <c r="J12" s="40">
        <f>F12-G12</f>
        <v>430210000</v>
      </c>
    </row>
    <row r="13" spans="1:12" ht="30" x14ac:dyDescent="0.25">
      <c r="A13" s="22" t="s">
        <v>54</v>
      </c>
      <c r="B13" s="22" t="s">
        <v>55</v>
      </c>
      <c r="C13" s="23" t="s">
        <v>56</v>
      </c>
      <c r="D13" s="23" t="s">
        <v>295</v>
      </c>
      <c r="E13" s="24"/>
      <c r="F13" s="25">
        <f>F14+F15+F16</f>
        <v>550352000</v>
      </c>
      <c r="G13" s="117">
        <f>G14+G15+G16</f>
        <v>410352000</v>
      </c>
      <c r="H13" s="132">
        <f>H14+H15+H16</f>
        <v>140000000</v>
      </c>
      <c r="I13" s="116">
        <f t="shared" si="0"/>
        <v>550352000</v>
      </c>
    </row>
    <row r="14" spans="1:12" x14ac:dyDescent="0.25">
      <c r="A14" s="26" t="s">
        <v>9</v>
      </c>
      <c r="B14" s="26" t="s">
        <v>57</v>
      </c>
      <c r="C14" s="27" t="s">
        <v>11</v>
      </c>
      <c r="D14" s="27"/>
      <c r="E14" s="28"/>
      <c r="F14" s="29">
        <v>83990000</v>
      </c>
      <c r="G14" s="117">
        <v>83990000</v>
      </c>
      <c r="H14" s="117"/>
      <c r="I14" s="116">
        <f t="shared" si="0"/>
        <v>83990000</v>
      </c>
    </row>
    <row r="15" spans="1:12" x14ac:dyDescent="0.25">
      <c r="A15" s="26" t="s">
        <v>20</v>
      </c>
      <c r="B15" s="26" t="s">
        <v>59</v>
      </c>
      <c r="C15" s="27" t="s">
        <v>11</v>
      </c>
      <c r="D15" s="27"/>
      <c r="E15" s="28"/>
      <c r="F15" s="29">
        <v>396698000</v>
      </c>
      <c r="G15" s="132">
        <v>256698000</v>
      </c>
      <c r="H15" s="132">
        <v>140000000</v>
      </c>
      <c r="I15" s="116">
        <f t="shared" si="0"/>
        <v>396698000</v>
      </c>
      <c r="J15" s="40">
        <f>F15-G15</f>
        <v>140000000</v>
      </c>
    </row>
    <row r="16" spans="1:12" x14ac:dyDescent="0.25">
      <c r="A16" s="26" t="s">
        <v>46</v>
      </c>
      <c r="B16" s="26" t="s">
        <v>63</v>
      </c>
      <c r="C16" s="27" t="s">
        <v>11</v>
      </c>
      <c r="D16" s="27"/>
      <c r="E16" s="28"/>
      <c r="F16" s="29">
        <v>69664000</v>
      </c>
      <c r="G16" s="117">
        <v>69664000</v>
      </c>
      <c r="H16" s="117"/>
      <c r="I16" s="116">
        <f t="shared" si="0"/>
        <v>69664000</v>
      </c>
    </row>
    <row r="17" spans="1:11" ht="30" x14ac:dyDescent="0.25">
      <c r="A17" s="30" t="s">
        <v>65</v>
      </c>
      <c r="B17" s="30" t="s">
        <v>66</v>
      </c>
      <c r="C17" s="19" t="s">
        <v>67</v>
      </c>
      <c r="D17" s="19" t="s">
        <v>306</v>
      </c>
      <c r="E17" s="20"/>
      <c r="F17" s="21">
        <f t="shared" ref="F17:H18" si="1">F18</f>
        <v>371256290000</v>
      </c>
      <c r="G17" s="116">
        <f t="shared" si="1"/>
        <v>367858073000</v>
      </c>
      <c r="H17" s="116">
        <f t="shared" si="1"/>
        <v>55975936425</v>
      </c>
      <c r="I17" s="116">
        <f t="shared" si="0"/>
        <v>423834009425</v>
      </c>
    </row>
    <row r="18" spans="1:11" ht="30" x14ac:dyDescent="0.25">
      <c r="A18" s="22" t="s">
        <v>69</v>
      </c>
      <c r="B18" s="22" t="s">
        <v>70</v>
      </c>
      <c r="C18" s="23" t="s">
        <v>67</v>
      </c>
      <c r="D18" s="23" t="s">
        <v>306</v>
      </c>
      <c r="E18" s="24"/>
      <c r="F18" s="25">
        <f t="shared" si="1"/>
        <v>371256290000</v>
      </c>
      <c r="G18" s="117">
        <f t="shared" si="1"/>
        <v>367858073000</v>
      </c>
      <c r="H18" s="117">
        <f t="shared" si="1"/>
        <v>55975936425</v>
      </c>
      <c r="I18" s="116">
        <f t="shared" si="0"/>
        <v>423834009425</v>
      </c>
    </row>
    <row r="19" spans="1:11" x14ac:dyDescent="0.25">
      <c r="A19" s="26" t="s">
        <v>71</v>
      </c>
      <c r="B19" s="26" t="s">
        <v>72</v>
      </c>
      <c r="C19" s="27" t="s">
        <v>11</v>
      </c>
      <c r="D19" s="27"/>
      <c r="E19" s="28"/>
      <c r="F19" s="29">
        <v>371256290000</v>
      </c>
      <c r="G19" s="133">
        <v>367858073000</v>
      </c>
      <c r="H19" s="136">
        <v>55975936425</v>
      </c>
      <c r="I19" s="116">
        <f t="shared" si="0"/>
        <v>423834009425</v>
      </c>
      <c r="J19" s="40">
        <v>423834009425</v>
      </c>
    </row>
    <row r="20" spans="1:11" x14ac:dyDescent="0.25">
      <c r="A20" s="31" t="s">
        <v>76</v>
      </c>
      <c r="B20" s="31" t="s">
        <v>77</v>
      </c>
      <c r="C20" s="11"/>
      <c r="D20" s="11"/>
      <c r="E20" s="12"/>
      <c r="F20" s="13">
        <f>F21</f>
        <v>85718961000</v>
      </c>
      <c r="G20" s="116">
        <f>G21</f>
        <v>87589611000</v>
      </c>
      <c r="H20" s="116">
        <f>H21</f>
        <v>0</v>
      </c>
      <c r="I20" s="116">
        <f t="shared" si="0"/>
        <v>87589611000</v>
      </c>
      <c r="J20" s="40">
        <f>J19-G19</f>
        <v>55975936425</v>
      </c>
    </row>
    <row r="21" spans="1:11" x14ac:dyDescent="0.25">
      <c r="A21" s="32" t="s">
        <v>78</v>
      </c>
      <c r="B21" s="32" t="s">
        <v>79</v>
      </c>
      <c r="C21" s="15"/>
      <c r="D21" s="15"/>
      <c r="E21" s="16"/>
      <c r="F21" s="122">
        <f>F22</f>
        <v>85718961000</v>
      </c>
      <c r="G21" s="121">
        <f>G22+G28</f>
        <v>87589611000</v>
      </c>
      <c r="H21" s="121"/>
      <c r="I21" s="116">
        <f>G21+H21</f>
        <v>87589611000</v>
      </c>
      <c r="J21" s="42"/>
      <c r="K21" s="43"/>
    </row>
    <row r="22" spans="1:11" ht="105" x14ac:dyDescent="0.25">
      <c r="A22" s="30" t="s">
        <v>80</v>
      </c>
      <c r="B22" s="30" t="s">
        <v>81</v>
      </c>
      <c r="C22" s="19" t="s">
        <v>82</v>
      </c>
      <c r="D22" s="19" t="s">
        <v>307</v>
      </c>
      <c r="E22" s="20"/>
      <c r="F22" s="21">
        <f>F23+F25</f>
        <v>85718961000</v>
      </c>
      <c r="G22" s="116">
        <f>G23+G25</f>
        <v>87589611000</v>
      </c>
      <c r="H22" s="116">
        <f>H23+H25</f>
        <v>0</v>
      </c>
      <c r="I22" s="116">
        <f>G22+H22</f>
        <v>87589611000</v>
      </c>
    </row>
    <row r="23" spans="1:11" ht="30" x14ac:dyDescent="0.25">
      <c r="A23" s="22" t="s">
        <v>83</v>
      </c>
      <c r="B23" s="22" t="s">
        <v>84</v>
      </c>
      <c r="C23" s="23" t="s">
        <v>85</v>
      </c>
      <c r="D23" s="23" t="s">
        <v>308</v>
      </c>
      <c r="E23" s="24"/>
      <c r="F23" s="25">
        <f>F24</f>
        <v>464230000</v>
      </c>
      <c r="G23" s="117">
        <f>G24</f>
        <v>648519000</v>
      </c>
      <c r="H23" s="117">
        <f>H24</f>
        <v>0</v>
      </c>
      <c r="I23" s="116">
        <f>G23+H23</f>
        <v>648519000</v>
      </c>
      <c r="J23" s="40">
        <f>G23-F23</f>
        <v>184289000</v>
      </c>
    </row>
    <row r="24" spans="1:11" x14ac:dyDescent="0.25">
      <c r="A24" s="26" t="s">
        <v>9</v>
      </c>
      <c r="B24" s="26" t="s">
        <v>86</v>
      </c>
      <c r="C24" s="27" t="s">
        <v>11</v>
      </c>
      <c r="D24" s="27"/>
      <c r="E24" s="28"/>
      <c r="F24" s="29">
        <v>464230000</v>
      </c>
      <c r="G24" s="125">
        <v>648519000</v>
      </c>
      <c r="H24" s="125"/>
      <c r="I24" s="116">
        <f t="shared" si="0"/>
        <v>648519000</v>
      </c>
    </row>
    <row r="25" spans="1:11" ht="30" x14ac:dyDescent="0.25">
      <c r="A25" s="22" t="s">
        <v>92</v>
      </c>
      <c r="B25" s="22" t="s">
        <v>93</v>
      </c>
      <c r="C25" s="23" t="s">
        <v>85</v>
      </c>
      <c r="D25" s="23" t="s">
        <v>308</v>
      </c>
      <c r="E25" s="24"/>
      <c r="F25" s="25">
        <f>F26+F27</f>
        <v>85254731000</v>
      </c>
      <c r="G25" s="117">
        <f>G26+G27</f>
        <v>86941092000</v>
      </c>
      <c r="H25" s="117">
        <f>H26+H27</f>
        <v>0</v>
      </c>
      <c r="I25" s="116">
        <f t="shared" si="0"/>
        <v>86941092000</v>
      </c>
    </row>
    <row r="26" spans="1:11" x14ac:dyDescent="0.25">
      <c r="A26" s="26" t="s">
        <v>94</v>
      </c>
      <c r="B26" s="26" t="s">
        <v>95</v>
      </c>
      <c r="C26" s="27" t="s">
        <v>11</v>
      </c>
      <c r="D26" s="27"/>
      <c r="E26" s="28"/>
      <c r="F26" s="29">
        <v>78534731000</v>
      </c>
      <c r="G26" s="134">
        <v>80060404000</v>
      </c>
      <c r="H26" s="125"/>
      <c r="I26" s="116">
        <f t="shared" si="0"/>
        <v>80060404000</v>
      </c>
    </row>
    <row r="27" spans="1:11" x14ac:dyDescent="0.25">
      <c r="A27" s="127" t="s">
        <v>123</v>
      </c>
      <c r="B27" s="127" t="s">
        <v>124</v>
      </c>
      <c r="C27" s="128" t="s">
        <v>11</v>
      </c>
      <c r="D27" s="128"/>
      <c r="E27" s="129"/>
      <c r="F27" s="130">
        <v>6720000000</v>
      </c>
      <c r="G27" s="131">
        <v>6880688000</v>
      </c>
      <c r="H27" s="131"/>
      <c r="I27" s="126">
        <v>464230000</v>
      </c>
    </row>
    <row r="28" spans="1:11" s="36" customFormat="1" ht="30" x14ac:dyDescent="0.25">
      <c r="A28" s="87" t="s">
        <v>145</v>
      </c>
      <c r="B28" s="87" t="s">
        <v>146</v>
      </c>
      <c r="C28" s="55">
        <v>1</v>
      </c>
      <c r="D28" s="55" t="s">
        <v>315</v>
      </c>
      <c r="E28" s="56"/>
      <c r="F28" s="57">
        <f>F30</f>
        <v>198200000</v>
      </c>
      <c r="I28" s="57">
        <f>I30</f>
        <v>184289000</v>
      </c>
    </row>
    <row r="29" spans="1:11" s="36" customFormat="1" x14ac:dyDescent="0.25">
      <c r="A29" s="74"/>
      <c r="B29" s="79" t="s">
        <v>68</v>
      </c>
      <c r="C29" s="76"/>
      <c r="D29" s="76"/>
      <c r="E29" s="74"/>
      <c r="F29" s="74"/>
      <c r="I29" s="74"/>
    </row>
    <row r="30" spans="1:11" s="36" customFormat="1" x14ac:dyDescent="0.25">
      <c r="A30" s="58" t="s">
        <v>147</v>
      </c>
      <c r="B30" s="58" t="s">
        <v>148</v>
      </c>
      <c r="C30" s="59">
        <v>1</v>
      </c>
      <c r="D30" s="59" t="s">
        <v>316</v>
      </c>
      <c r="E30" s="60"/>
      <c r="F30" s="61">
        <f>F31</f>
        <v>198200000</v>
      </c>
      <c r="I30" s="61">
        <f>I31</f>
        <v>184289000</v>
      </c>
    </row>
    <row r="31" spans="1:11" s="36" customFormat="1" x14ac:dyDescent="0.25">
      <c r="A31" s="191" t="s">
        <v>9</v>
      </c>
      <c r="B31" s="100" t="s">
        <v>425</v>
      </c>
      <c r="C31" s="101" t="s">
        <v>11</v>
      </c>
      <c r="D31" s="101"/>
      <c r="E31" s="52"/>
      <c r="F31" s="102">
        <f>F32</f>
        <v>198200000</v>
      </c>
      <c r="I31" s="102">
        <f>I32</f>
        <v>184289000</v>
      </c>
    </row>
    <row r="32" spans="1:11" s="36" customFormat="1" x14ac:dyDescent="0.25">
      <c r="A32" s="66" t="s">
        <v>12</v>
      </c>
      <c r="B32" s="66" t="s">
        <v>425</v>
      </c>
      <c r="C32" s="67"/>
      <c r="D32" s="67"/>
      <c r="E32" s="68"/>
      <c r="F32" s="69">
        <f>F33</f>
        <v>198200000</v>
      </c>
      <c r="I32" s="69">
        <f>I33</f>
        <v>184289000</v>
      </c>
    </row>
    <row r="33" spans="1:9" s="36" customFormat="1" x14ac:dyDescent="0.25">
      <c r="A33" s="70" t="s">
        <v>152</v>
      </c>
      <c r="B33" s="70" t="s">
        <v>153</v>
      </c>
      <c r="C33" s="71"/>
      <c r="D33" s="71"/>
      <c r="E33" s="72"/>
      <c r="F33" s="103">
        <f>SUM(F34:F34)</f>
        <v>198200000</v>
      </c>
      <c r="I33" s="103">
        <f>SUM(I34:I34)</f>
        <v>184289000</v>
      </c>
    </row>
    <row r="34" spans="1:9" s="36" customFormat="1" x14ac:dyDescent="0.25">
      <c r="A34" s="74"/>
      <c r="B34" s="75" t="s">
        <v>343</v>
      </c>
      <c r="C34" s="76">
        <v>1</v>
      </c>
      <c r="D34" s="76" t="s">
        <v>300</v>
      </c>
      <c r="E34" s="77">
        <v>198200000</v>
      </c>
      <c r="F34" s="77">
        <f>C34*E34</f>
        <v>198200000</v>
      </c>
      <c r="H34" s="135">
        <v>184289000</v>
      </c>
      <c r="I34" s="77">
        <v>184289000</v>
      </c>
    </row>
    <row r="35" spans="1:9" ht="12.95" customHeight="1" x14ac:dyDescent="0.25">
      <c r="A35" s="2"/>
      <c r="B35" s="2"/>
      <c r="C35" s="7"/>
      <c r="D35" s="7"/>
      <c r="E35" s="2"/>
      <c r="F35" s="5"/>
      <c r="G35" s="118"/>
      <c r="H35" s="118"/>
    </row>
    <row r="36" spans="1:9" ht="12.95" customHeight="1" x14ac:dyDescent="0.25">
      <c r="A36" s="2"/>
      <c r="B36" s="3"/>
      <c r="C36" s="7"/>
      <c r="D36" s="7"/>
      <c r="E36" s="2"/>
      <c r="F36" s="4"/>
      <c r="G36" s="119"/>
      <c r="H36" s="119"/>
    </row>
    <row r="37" spans="1:9" ht="12.95" customHeight="1" x14ac:dyDescent="0.25">
      <c r="A37" s="2"/>
      <c r="B37" s="3"/>
      <c r="C37" s="7"/>
      <c r="D37" s="7"/>
      <c r="E37" s="2"/>
      <c r="F37" s="5"/>
      <c r="G37" s="118"/>
      <c r="H37" s="118"/>
    </row>
    <row r="38" spans="1:9" ht="12.95" customHeight="1" x14ac:dyDescent="0.25">
      <c r="A38" s="2"/>
      <c r="B38" s="3"/>
      <c r="C38" s="7"/>
      <c r="D38" s="7"/>
      <c r="E38" s="2"/>
      <c r="F38" s="5"/>
      <c r="G38" s="118"/>
      <c r="H38" s="118"/>
    </row>
    <row r="39" spans="1:9" ht="12.95" customHeight="1" x14ac:dyDescent="0.25">
      <c r="A39" s="2"/>
      <c r="B39" s="2"/>
      <c r="C39" s="7"/>
      <c r="D39" s="7"/>
      <c r="E39" s="2"/>
      <c r="F39" s="6"/>
      <c r="G39" s="120"/>
      <c r="H39" s="120"/>
    </row>
    <row r="40" spans="1:9" ht="12.95" customHeight="1" x14ac:dyDescent="0.25">
      <c r="A40" s="2"/>
      <c r="B40" s="2"/>
      <c r="C40" s="7"/>
      <c r="D40" s="7"/>
      <c r="E40" s="2"/>
      <c r="F40" s="5"/>
      <c r="G40" s="118"/>
      <c r="H40" s="118"/>
    </row>
  </sheetData>
  <autoFilter ref="A4:F27" xr:uid="{00000000-0009-0000-0000-000001000000}"/>
  <mergeCells count="11">
    <mergeCell ref="G3:G4"/>
    <mergeCell ref="I3:I4"/>
    <mergeCell ref="H3:H4"/>
    <mergeCell ref="D3:D4"/>
    <mergeCell ref="E3:E4"/>
    <mergeCell ref="F3:F4"/>
    <mergeCell ref="C1:F1"/>
    <mergeCell ref="A2:B2"/>
    <mergeCell ref="A3:A4"/>
    <mergeCell ref="B3:B4"/>
    <mergeCell ref="C3:C4"/>
  </mergeCells>
  <pageMargins left="0" right="0" top="0" bottom="0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246C-A423-40FF-BA12-E953D1745F50}">
  <sheetPr>
    <outlinePr summaryBelow="0"/>
  </sheetPr>
  <dimension ref="A1:L199"/>
  <sheetViews>
    <sheetView topLeftCell="A181" zoomScaleNormal="100" workbookViewId="0">
      <selection activeCell="B206" sqref="B206"/>
    </sheetView>
  </sheetViews>
  <sheetFormatPr defaultColWidth="9.140625" defaultRowHeight="15" x14ac:dyDescent="0.25"/>
  <cols>
    <col min="1" max="1" width="13" style="137" customWidth="1"/>
    <col min="2" max="2" width="102.5703125" style="137" customWidth="1"/>
    <col min="3" max="4" width="9.85546875" style="190" customWidth="1"/>
    <col min="5" max="5" width="14.85546875" style="137" customWidth="1"/>
    <col min="6" max="6" width="17.85546875" style="137" customWidth="1"/>
    <col min="7" max="7" width="20.140625" style="183" customWidth="1"/>
    <col min="8" max="8" width="20.7109375" style="183" customWidth="1"/>
    <col min="9" max="16384" width="9.140625" style="137"/>
  </cols>
  <sheetData>
    <row r="1" spans="1:6" x14ac:dyDescent="0.25">
      <c r="A1" s="409" t="s">
        <v>498</v>
      </c>
      <c r="B1" s="409"/>
      <c r="C1" s="409"/>
      <c r="D1" s="409"/>
      <c r="E1" s="409"/>
      <c r="F1" s="409"/>
    </row>
    <row r="3" spans="1:6" ht="15.75" x14ac:dyDescent="0.3">
      <c r="A3" s="196" t="s">
        <v>480</v>
      </c>
    </row>
    <row r="4" spans="1:6" ht="15.75" x14ac:dyDescent="0.3">
      <c r="A4" s="196" t="s">
        <v>481</v>
      </c>
    </row>
    <row r="5" spans="1:6" ht="15.75" x14ac:dyDescent="0.3">
      <c r="A5" s="196" t="s">
        <v>482</v>
      </c>
    </row>
    <row r="6" spans="1:6" ht="15.75" x14ac:dyDescent="0.3">
      <c r="A6" s="196" t="s">
        <v>483</v>
      </c>
    </row>
    <row r="7" spans="1:6" ht="15.75" x14ac:dyDescent="0.3">
      <c r="A7" s="196" t="s">
        <v>484</v>
      </c>
    </row>
    <row r="8" spans="1:6" ht="15.75" x14ac:dyDescent="0.3">
      <c r="A8" s="196" t="s">
        <v>485</v>
      </c>
    </row>
    <row r="9" spans="1:6" ht="15.75" x14ac:dyDescent="0.3">
      <c r="A9" s="196" t="s">
        <v>486</v>
      </c>
    </row>
    <row r="10" spans="1:6" ht="15.75" x14ac:dyDescent="0.3">
      <c r="A10" s="196"/>
    </row>
    <row r="11" spans="1:6" ht="15.75" x14ac:dyDescent="0.3">
      <c r="A11" s="196" t="s">
        <v>320</v>
      </c>
    </row>
    <row r="12" spans="1:6" ht="15.75" x14ac:dyDescent="0.3">
      <c r="A12" s="196" t="s">
        <v>487</v>
      </c>
    </row>
    <row r="13" spans="1:6" ht="15.75" x14ac:dyDescent="0.3">
      <c r="A13" s="196" t="s">
        <v>488</v>
      </c>
    </row>
    <row r="16" spans="1:6" x14ac:dyDescent="0.25">
      <c r="C16" s="396" t="s">
        <v>426</v>
      </c>
      <c r="D16" s="396"/>
      <c r="E16" s="396"/>
      <c r="F16" s="396"/>
    </row>
    <row r="17" spans="1:12" x14ac:dyDescent="0.25">
      <c r="A17" s="397" t="s">
        <v>317</v>
      </c>
      <c r="B17" s="397"/>
      <c r="C17" s="139"/>
      <c r="D17" s="139"/>
      <c r="E17" s="139"/>
      <c r="F17" s="140">
        <f>F20+F185</f>
        <v>57549500425</v>
      </c>
      <c r="G17" s="140">
        <f>G20+G185</f>
        <v>57549500425</v>
      </c>
    </row>
    <row r="18" spans="1:12" s="141" customFormat="1" ht="33" customHeight="1" x14ac:dyDescent="0.25">
      <c r="A18" s="392" t="s">
        <v>318</v>
      </c>
      <c r="B18" s="392" t="s">
        <v>319</v>
      </c>
      <c r="C18" s="392" t="s">
        <v>320</v>
      </c>
      <c r="D18" s="392" t="s">
        <v>321</v>
      </c>
      <c r="E18" s="394" t="s">
        <v>322</v>
      </c>
      <c r="F18" s="394" t="s">
        <v>323</v>
      </c>
      <c r="G18" s="192"/>
      <c r="H18" s="192"/>
    </row>
    <row r="19" spans="1:12" s="141" customFormat="1" x14ac:dyDescent="0.25">
      <c r="A19" s="393"/>
      <c r="B19" s="393"/>
      <c r="C19" s="398"/>
      <c r="D19" s="393"/>
      <c r="E19" s="395"/>
      <c r="F19" s="395"/>
      <c r="G19" s="192"/>
      <c r="H19" s="192"/>
    </row>
    <row r="20" spans="1:12" x14ac:dyDescent="0.25">
      <c r="A20" s="142" t="s">
        <v>0</v>
      </c>
      <c r="B20" s="142" t="s">
        <v>1</v>
      </c>
      <c r="C20" s="143"/>
      <c r="D20" s="143"/>
      <c r="E20" s="144"/>
      <c r="F20" s="145">
        <f>F21</f>
        <v>57365211425</v>
      </c>
      <c r="G20" s="145">
        <f>G21</f>
        <v>57365211425</v>
      </c>
      <c r="H20" s="183">
        <f>F20-G20</f>
        <v>0</v>
      </c>
    </row>
    <row r="21" spans="1:12" x14ac:dyDescent="0.25">
      <c r="A21" s="146" t="s">
        <v>2</v>
      </c>
      <c r="B21" s="146" t="s">
        <v>3</v>
      </c>
      <c r="C21" s="147"/>
      <c r="D21" s="147"/>
      <c r="E21" s="148"/>
      <c r="F21" s="149">
        <f>F22+F141</f>
        <v>57365211425</v>
      </c>
      <c r="G21" s="149">
        <f>G22+G141</f>
        <v>57365211425</v>
      </c>
      <c r="H21" s="183">
        <f>F21-G21</f>
        <v>0</v>
      </c>
    </row>
    <row r="22" spans="1:12" x14ac:dyDescent="0.25">
      <c r="A22" s="150" t="s">
        <v>4</v>
      </c>
      <c r="B22" s="150" t="s">
        <v>5</v>
      </c>
      <c r="C22" s="151"/>
      <c r="D22" s="151"/>
      <c r="E22" s="152"/>
      <c r="F22" s="153">
        <f>F23+F120</f>
        <v>1389275000</v>
      </c>
      <c r="G22" s="153">
        <f>G23+G120</f>
        <v>1389275000</v>
      </c>
      <c r="H22" s="183">
        <f>F22-G22</f>
        <v>0</v>
      </c>
    </row>
    <row r="23" spans="1:12" x14ac:dyDescent="0.25">
      <c r="A23" s="154" t="s">
        <v>7</v>
      </c>
      <c r="B23" s="154" t="s">
        <v>8</v>
      </c>
      <c r="C23" s="155"/>
      <c r="D23" s="155"/>
      <c r="E23" s="156"/>
      <c r="F23" s="157">
        <f>F24+F50+F92</f>
        <v>1249275000</v>
      </c>
      <c r="G23" s="157">
        <f>G24+G50+G92</f>
        <v>1249275000</v>
      </c>
      <c r="H23" s="183">
        <f>F23-G23</f>
        <v>0</v>
      </c>
    </row>
    <row r="24" spans="1:12" x14ac:dyDescent="0.25">
      <c r="A24" s="158" t="s">
        <v>9</v>
      </c>
      <c r="B24" s="158" t="s">
        <v>10</v>
      </c>
      <c r="C24" s="159" t="s">
        <v>11</v>
      </c>
      <c r="D24" s="159"/>
      <c r="E24" s="160"/>
      <c r="F24" s="161">
        <f>F25</f>
        <v>400000000</v>
      </c>
      <c r="G24" s="193">
        <v>400000000</v>
      </c>
      <c r="H24" s="183">
        <f>F24-G24</f>
        <v>0</v>
      </c>
    </row>
    <row r="25" spans="1:12" x14ac:dyDescent="0.25">
      <c r="A25" s="162" t="s">
        <v>12</v>
      </c>
      <c r="B25" s="162" t="s">
        <v>13</v>
      </c>
      <c r="C25" s="163"/>
      <c r="D25" s="163"/>
      <c r="E25" s="164"/>
      <c r="F25" s="165">
        <f>F26+F31+F36+F39+F47</f>
        <v>400000000</v>
      </c>
    </row>
    <row r="26" spans="1:12" x14ac:dyDescent="0.25">
      <c r="A26" s="166" t="s">
        <v>22</v>
      </c>
      <c r="B26" s="166" t="s">
        <v>23</v>
      </c>
      <c r="C26" s="168"/>
      <c r="D26" s="168"/>
      <c r="E26" s="169"/>
      <c r="F26" s="167">
        <f>SUM(F27:F30)</f>
        <v>27564000</v>
      </c>
    </row>
    <row r="27" spans="1:12" x14ac:dyDescent="0.25">
      <c r="A27" s="170"/>
      <c r="B27" s="171" t="s">
        <v>432</v>
      </c>
      <c r="C27" s="172">
        <v>300</v>
      </c>
      <c r="D27" s="172" t="s">
        <v>296</v>
      </c>
      <c r="E27" s="173">
        <v>53000</v>
      </c>
      <c r="F27" s="173">
        <f>C27*E27</f>
        <v>15900000</v>
      </c>
    </row>
    <row r="28" spans="1:12" x14ac:dyDescent="0.25">
      <c r="A28" s="170"/>
      <c r="B28" s="171" t="s">
        <v>433</v>
      </c>
      <c r="C28" s="172">
        <v>300</v>
      </c>
      <c r="D28" s="172" t="s">
        <v>296</v>
      </c>
      <c r="E28" s="173">
        <v>24000</v>
      </c>
      <c r="F28" s="173">
        <f>C28*E28</f>
        <v>7200000</v>
      </c>
    </row>
    <row r="29" spans="1:12" x14ac:dyDescent="0.25">
      <c r="A29" s="170"/>
      <c r="B29" s="174" t="s">
        <v>344</v>
      </c>
      <c r="C29" s="172">
        <v>1</v>
      </c>
      <c r="D29" s="172" t="s">
        <v>298</v>
      </c>
      <c r="E29" s="173">
        <v>2464000</v>
      </c>
      <c r="F29" s="173">
        <f t="shared" ref="F29:F30" si="0">C29*E29</f>
        <v>2464000</v>
      </c>
    </row>
    <row r="30" spans="1:12" ht="14.25" customHeight="1" x14ac:dyDescent="0.25">
      <c r="A30" s="170"/>
      <c r="B30" s="174" t="s">
        <v>345</v>
      </c>
      <c r="C30" s="172">
        <v>2</v>
      </c>
      <c r="D30" s="172" t="s">
        <v>298</v>
      </c>
      <c r="E30" s="173">
        <v>1000000</v>
      </c>
      <c r="F30" s="173">
        <f t="shared" si="0"/>
        <v>2000000</v>
      </c>
    </row>
    <row r="31" spans="1:12" s="183" customFormat="1" x14ac:dyDescent="0.25">
      <c r="A31" s="166" t="s">
        <v>14</v>
      </c>
      <c r="B31" s="166" t="s">
        <v>15</v>
      </c>
      <c r="C31" s="168"/>
      <c r="D31" s="168"/>
      <c r="E31" s="169"/>
      <c r="F31" s="167">
        <f>SUM(F32:F35)</f>
        <v>5300000</v>
      </c>
      <c r="I31" s="137"/>
      <c r="J31" s="137"/>
      <c r="K31" s="137"/>
      <c r="L31" s="137"/>
    </row>
    <row r="32" spans="1:12" s="183" customFormat="1" ht="18" customHeight="1" x14ac:dyDescent="0.25">
      <c r="A32" s="170"/>
      <c r="B32" s="176" t="s">
        <v>428</v>
      </c>
      <c r="C32" s="172">
        <v>2</v>
      </c>
      <c r="D32" s="172" t="s">
        <v>296</v>
      </c>
      <c r="E32" s="173">
        <v>450000</v>
      </c>
      <c r="F32" s="173">
        <f>C32*E32</f>
        <v>900000</v>
      </c>
      <c r="I32" s="137"/>
      <c r="J32" s="137"/>
      <c r="K32" s="137"/>
      <c r="L32" s="137"/>
    </row>
    <row r="33" spans="1:12" s="183" customFormat="1" ht="18" customHeight="1" x14ac:dyDescent="0.25">
      <c r="A33" s="170"/>
      <c r="B33" s="176" t="s">
        <v>429</v>
      </c>
      <c r="C33" s="172">
        <v>2</v>
      </c>
      <c r="D33" s="172" t="s">
        <v>296</v>
      </c>
      <c r="E33" s="173">
        <v>400000</v>
      </c>
      <c r="F33" s="173">
        <f t="shared" ref="F33:F35" si="1">C33*E33</f>
        <v>800000</v>
      </c>
      <c r="I33" s="137"/>
      <c r="J33" s="137"/>
      <c r="K33" s="137"/>
      <c r="L33" s="137"/>
    </row>
    <row r="34" spans="1:12" s="183" customFormat="1" ht="18" customHeight="1" x14ac:dyDescent="0.25">
      <c r="A34" s="170"/>
      <c r="B34" s="176" t="s">
        <v>430</v>
      </c>
      <c r="C34" s="172">
        <v>2</v>
      </c>
      <c r="D34" s="172" t="s">
        <v>296</v>
      </c>
      <c r="E34" s="173">
        <v>300000</v>
      </c>
      <c r="F34" s="173">
        <f t="shared" si="1"/>
        <v>600000</v>
      </c>
      <c r="I34" s="137"/>
      <c r="J34" s="137"/>
      <c r="K34" s="137"/>
      <c r="L34" s="137"/>
    </row>
    <row r="35" spans="1:12" s="183" customFormat="1" ht="18" customHeight="1" x14ac:dyDescent="0.25">
      <c r="A35" s="170"/>
      <c r="B35" s="176" t="s">
        <v>431</v>
      </c>
      <c r="C35" s="172">
        <v>10</v>
      </c>
      <c r="D35" s="172" t="s">
        <v>296</v>
      </c>
      <c r="E35" s="173">
        <v>300000</v>
      </c>
      <c r="F35" s="173">
        <f t="shared" si="1"/>
        <v>3000000</v>
      </c>
      <c r="I35" s="137"/>
      <c r="J35" s="137"/>
      <c r="K35" s="137"/>
      <c r="L35" s="137"/>
    </row>
    <row r="36" spans="1:12" s="183" customFormat="1" x14ac:dyDescent="0.25">
      <c r="A36" s="166" t="s">
        <v>16</v>
      </c>
      <c r="B36" s="166" t="s">
        <v>17</v>
      </c>
      <c r="C36" s="168"/>
      <c r="D36" s="168"/>
      <c r="E36" s="169"/>
      <c r="F36" s="167">
        <f>SUM(F37:F38)</f>
        <v>20800000</v>
      </c>
      <c r="I36" s="137"/>
      <c r="J36" s="137"/>
      <c r="K36" s="137"/>
      <c r="L36" s="137"/>
    </row>
    <row r="37" spans="1:12" s="183" customFormat="1" ht="18" customHeight="1" x14ac:dyDescent="0.25">
      <c r="A37" s="170"/>
      <c r="B37" s="171" t="s">
        <v>436</v>
      </c>
      <c r="C37" s="172">
        <v>18</v>
      </c>
      <c r="D37" s="172" t="s">
        <v>297</v>
      </c>
      <c r="E37" s="173">
        <v>1000000</v>
      </c>
      <c r="F37" s="173">
        <f>C37*E37</f>
        <v>18000000</v>
      </c>
      <c r="I37" s="137"/>
      <c r="J37" s="137"/>
      <c r="K37" s="137"/>
      <c r="L37" s="137"/>
    </row>
    <row r="38" spans="1:12" s="183" customFormat="1" x14ac:dyDescent="0.25">
      <c r="A38" s="170"/>
      <c r="B38" s="171" t="s">
        <v>427</v>
      </c>
      <c r="C38" s="172">
        <v>4</v>
      </c>
      <c r="D38" s="172" t="s">
        <v>347</v>
      </c>
      <c r="E38" s="173">
        <v>700000</v>
      </c>
      <c r="F38" s="173">
        <f t="shared" ref="F38" si="2">C38*E38</f>
        <v>2800000</v>
      </c>
      <c r="I38" s="137"/>
      <c r="J38" s="137"/>
      <c r="K38" s="137"/>
      <c r="L38" s="137"/>
    </row>
    <row r="39" spans="1:12" s="183" customFormat="1" x14ac:dyDescent="0.25">
      <c r="A39" s="166" t="s">
        <v>28</v>
      </c>
      <c r="B39" s="166" t="s">
        <v>29</v>
      </c>
      <c r="C39" s="168"/>
      <c r="D39" s="168"/>
      <c r="E39" s="169"/>
      <c r="F39" s="167">
        <f>SUM(F40:F46)</f>
        <v>270336000</v>
      </c>
      <c r="I39" s="137"/>
      <c r="J39" s="137"/>
      <c r="K39" s="137"/>
      <c r="L39" s="137"/>
    </row>
    <row r="40" spans="1:12" s="183" customFormat="1" x14ac:dyDescent="0.25">
      <c r="A40" s="170"/>
      <c r="B40" s="171" t="s">
        <v>348</v>
      </c>
      <c r="C40" s="172">
        <v>160</v>
      </c>
      <c r="D40" s="172" t="s">
        <v>301</v>
      </c>
      <c r="E40" s="173">
        <v>430000</v>
      </c>
      <c r="F40" s="173">
        <f>C40*E40</f>
        <v>68800000</v>
      </c>
      <c r="I40" s="137"/>
      <c r="J40" s="137"/>
      <c r="K40" s="137"/>
      <c r="L40" s="137"/>
    </row>
    <row r="41" spans="1:12" s="183" customFormat="1" x14ac:dyDescent="0.25">
      <c r="A41" s="170"/>
      <c r="B41" s="171" t="s">
        <v>349</v>
      </c>
      <c r="C41" s="172">
        <v>320</v>
      </c>
      <c r="D41" s="172" t="s">
        <v>296</v>
      </c>
      <c r="E41" s="173">
        <v>284000</v>
      </c>
      <c r="F41" s="173">
        <f t="shared" ref="F41:F46" si="3">C41*E41</f>
        <v>90880000</v>
      </c>
      <c r="I41" s="137"/>
      <c r="J41" s="137"/>
      <c r="K41" s="137"/>
      <c r="L41" s="137"/>
    </row>
    <row r="42" spans="1:12" s="183" customFormat="1" x14ac:dyDescent="0.25">
      <c r="A42" s="170"/>
      <c r="B42" s="177" t="s">
        <v>350</v>
      </c>
      <c r="C42" s="172">
        <v>16</v>
      </c>
      <c r="D42" s="172" t="s">
        <v>296</v>
      </c>
      <c r="E42" s="173">
        <v>2182000</v>
      </c>
      <c r="F42" s="173">
        <f t="shared" si="3"/>
        <v>34912000</v>
      </c>
      <c r="I42" s="137"/>
      <c r="J42" s="137"/>
      <c r="K42" s="137"/>
      <c r="L42" s="137"/>
    </row>
    <row r="43" spans="1:12" ht="18" customHeight="1" x14ac:dyDescent="0.25">
      <c r="A43" s="170"/>
      <c r="B43" s="171" t="s">
        <v>351</v>
      </c>
      <c r="C43" s="172">
        <v>32</v>
      </c>
      <c r="D43" s="172" t="s">
        <v>301</v>
      </c>
      <c r="E43" s="173">
        <v>954000</v>
      </c>
      <c r="F43" s="173">
        <f t="shared" si="3"/>
        <v>30528000</v>
      </c>
    </row>
    <row r="44" spans="1:12" x14ac:dyDescent="0.25">
      <c r="A44" s="170"/>
      <c r="B44" s="171" t="s">
        <v>352</v>
      </c>
      <c r="C44" s="172">
        <v>48</v>
      </c>
      <c r="D44" s="172" t="s">
        <v>301</v>
      </c>
      <c r="E44" s="173">
        <v>370000</v>
      </c>
      <c r="F44" s="173">
        <f t="shared" si="3"/>
        <v>17760000</v>
      </c>
    </row>
    <row r="45" spans="1:12" x14ac:dyDescent="0.25">
      <c r="A45" s="170"/>
      <c r="B45" s="171" t="s">
        <v>353</v>
      </c>
      <c r="C45" s="172">
        <v>96</v>
      </c>
      <c r="D45" s="172" t="s">
        <v>296</v>
      </c>
      <c r="E45" s="173">
        <v>256000</v>
      </c>
      <c r="F45" s="173">
        <f t="shared" si="3"/>
        <v>24576000</v>
      </c>
    </row>
    <row r="46" spans="1:12" x14ac:dyDescent="0.25">
      <c r="A46" s="170"/>
      <c r="B46" s="171" t="s">
        <v>354</v>
      </c>
      <c r="C46" s="172">
        <v>32</v>
      </c>
      <c r="D46" s="172" t="s">
        <v>296</v>
      </c>
      <c r="E46" s="173">
        <v>90000</v>
      </c>
      <c r="F46" s="173">
        <f t="shared" si="3"/>
        <v>2880000</v>
      </c>
    </row>
    <row r="47" spans="1:12" x14ac:dyDescent="0.25">
      <c r="A47" s="166" t="s">
        <v>18</v>
      </c>
      <c r="B47" s="166" t="s">
        <v>19</v>
      </c>
      <c r="C47" s="168"/>
      <c r="D47" s="168"/>
      <c r="E47" s="169"/>
      <c r="F47" s="167">
        <f>SUM(F48:F49)</f>
        <v>76000000</v>
      </c>
    </row>
    <row r="48" spans="1:12" ht="20.25" customHeight="1" x14ac:dyDescent="0.25">
      <c r="A48" s="170"/>
      <c r="B48" s="171" t="s">
        <v>434</v>
      </c>
      <c r="C48" s="172">
        <v>200</v>
      </c>
      <c r="D48" s="172" t="s">
        <v>301</v>
      </c>
      <c r="E48" s="173">
        <v>210000</v>
      </c>
      <c r="F48" s="173">
        <f>C48*E48</f>
        <v>42000000</v>
      </c>
    </row>
    <row r="49" spans="1:12" x14ac:dyDescent="0.25">
      <c r="A49" s="170"/>
      <c r="B49" s="171" t="s">
        <v>435</v>
      </c>
      <c r="C49" s="172">
        <v>200</v>
      </c>
      <c r="D49" s="172" t="s">
        <v>296</v>
      </c>
      <c r="E49" s="173">
        <v>170000</v>
      </c>
      <c r="F49" s="173">
        <f>C49*E49</f>
        <v>34000000</v>
      </c>
    </row>
    <row r="50" spans="1:12" x14ac:dyDescent="0.25">
      <c r="A50" s="158" t="s">
        <v>20</v>
      </c>
      <c r="B50" s="158" t="s">
        <v>21</v>
      </c>
      <c r="C50" s="159" t="s">
        <v>11</v>
      </c>
      <c r="D50" s="159"/>
      <c r="E50" s="160"/>
      <c r="F50" s="161">
        <f>F51+F71</f>
        <v>419065000</v>
      </c>
      <c r="G50" s="183">
        <f>G51+G71</f>
        <v>419065000</v>
      </c>
      <c r="H50" s="183">
        <f>F50-G50</f>
        <v>0</v>
      </c>
    </row>
    <row r="51" spans="1:12" s="183" customFormat="1" x14ac:dyDescent="0.25">
      <c r="A51" s="162" t="s">
        <v>32</v>
      </c>
      <c r="B51" s="162" t="s">
        <v>328</v>
      </c>
      <c r="C51" s="163"/>
      <c r="D51" s="163"/>
      <c r="E51" s="164"/>
      <c r="F51" s="165">
        <f>F52+F57+F62+F65+F68</f>
        <v>200000000</v>
      </c>
      <c r="G51" s="183">
        <v>200000000</v>
      </c>
      <c r="H51" s="183">
        <f>F51-G51</f>
        <v>0</v>
      </c>
      <c r="I51" s="137"/>
      <c r="J51" s="137"/>
      <c r="K51" s="137"/>
      <c r="L51" s="137"/>
    </row>
    <row r="52" spans="1:12" s="183" customFormat="1" x14ac:dyDescent="0.25">
      <c r="A52" s="166" t="s">
        <v>22</v>
      </c>
      <c r="B52" s="166" t="s">
        <v>23</v>
      </c>
      <c r="C52" s="168"/>
      <c r="D52" s="168"/>
      <c r="E52" s="169"/>
      <c r="F52" s="167">
        <f>SUM(F53:F56)</f>
        <v>65300000</v>
      </c>
      <c r="I52" s="137"/>
      <c r="J52" s="137"/>
      <c r="K52" s="137"/>
      <c r="L52" s="137"/>
    </row>
    <row r="53" spans="1:12" s="183" customFormat="1" x14ac:dyDescent="0.25">
      <c r="A53" s="170"/>
      <c r="B53" s="171" t="s">
        <v>438</v>
      </c>
      <c r="C53" s="172">
        <v>800</v>
      </c>
      <c r="D53" s="172" t="s">
        <v>296</v>
      </c>
      <c r="E53" s="173">
        <v>53000</v>
      </c>
      <c r="F53" s="173">
        <f>C53*E53</f>
        <v>42400000</v>
      </c>
      <c r="I53" s="137"/>
      <c r="J53" s="137"/>
      <c r="K53" s="137"/>
      <c r="L53" s="137"/>
    </row>
    <row r="54" spans="1:12" s="183" customFormat="1" x14ac:dyDescent="0.25">
      <c r="A54" s="170"/>
      <c r="B54" s="171" t="s">
        <v>439</v>
      </c>
      <c r="C54" s="172">
        <v>800</v>
      </c>
      <c r="D54" s="172" t="s">
        <v>296</v>
      </c>
      <c r="E54" s="173">
        <v>24000</v>
      </c>
      <c r="F54" s="173">
        <f>C54*E54</f>
        <v>19200000</v>
      </c>
      <c r="I54" s="137"/>
      <c r="J54" s="137"/>
      <c r="K54" s="137"/>
      <c r="L54" s="137"/>
    </row>
    <row r="55" spans="1:12" x14ac:dyDescent="0.25">
      <c r="A55" s="170"/>
      <c r="B55" s="195" t="s">
        <v>344</v>
      </c>
      <c r="C55" s="172">
        <v>1</v>
      </c>
      <c r="D55" s="172" t="s">
        <v>298</v>
      </c>
      <c r="E55" s="173">
        <v>1700000</v>
      </c>
      <c r="F55" s="173">
        <f t="shared" ref="F55" si="4">C55*E55</f>
        <v>1700000</v>
      </c>
    </row>
    <row r="56" spans="1:12" s="183" customFormat="1" x14ac:dyDescent="0.25">
      <c r="A56" s="170"/>
      <c r="B56" s="178" t="s">
        <v>358</v>
      </c>
      <c r="C56" s="172">
        <v>2</v>
      </c>
      <c r="D56" s="172" t="s">
        <v>298</v>
      </c>
      <c r="E56" s="173">
        <v>1000000</v>
      </c>
      <c r="F56" s="173">
        <f t="shared" ref="F56" si="5">C56*E56</f>
        <v>2000000</v>
      </c>
      <c r="I56" s="137"/>
      <c r="J56" s="137"/>
      <c r="K56" s="137"/>
      <c r="L56" s="137"/>
    </row>
    <row r="57" spans="1:12" x14ac:dyDescent="0.25">
      <c r="A57" s="166" t="s">
        <v>14</v>
      </c>
      <c r="B57" s="166" t="s">
        <v>15</v>
      </c>
      <c r="C57" s="168"/>
      <c r="D57" s="168"/>
      <c r="E57" s="169"/>
      <c r="F57" s="167">
        <f>SUM(F58:F61)</f>
        <v>13100000</v>
      </c>
    </row>
    <row r="58" spans="1:12" ht="18" customHeight="1" x14ac:dyDescent="0.25">
      <c r="A58" s="170"/>
      <c r="B58" s="176" t="s">
        <v>360</v>
      </c>
      <c r="C58" s="172">
        <v>2</v>
      </c>
      <c r="D58" s="172" t="s">
        <v>296</v>
      </c>
      <c r="E58" s="173">
        <v>450000</v>
      </c>
      <c r="F58" s="173">
        <f>C58*E58</f>
        <v>900000</v>
      </c>
    </row>
    <row r="59" spans="1:12" ht="18" customHeight="1" x14ac:dyDescent="0.25">
      <c r="A59" s="170"/>
      <c r="B59" s="176" t="s">
        <v>361</v>
      </c>
      <c r="C59" s="172">
        <v>2</v>
      </c>
      <c r="D59" s="172" t="s">
        <v>296</v>
      </c>
      <c r="E59" s="173">
        <v>400000</v>
      </c>
      <c r="F59" s="173">
        <f t="shared" ref="F59:F61" si="6">C59*E59</f>
        <v>800000</v>
      </c>
    </row>
    <row r="60" spans="1:12" ht="18" customHeight="1" x14ac:dyDescent="0.25">
      <c r="A60" s="170"/>
      <c r="B60" s="176" t="s">
        <v>362</v>
      </c>
      <c r="C60" s="172">
        <v>2</v>
      </c>
      <c r="D60" s="172" t="s">
        <v>296</v>
      </c>
      <c r="E60" s="173">
        <v>300000</v>
      </c>
      <c r="F60" s="173">
        <f t="shared" si="6"/>
        <v>600000</v>
      </c>
    </row>
    <row r="61" spans="1:12" ht="18" customHeight="1" x14ac:dyDescent="0.25">
      <c r="A61" s="170"/>
      <c r="B61" s="176" t="s">
        <v>363</v>
      </c>
      <c r="C61" s="172">
        <v>36</v>
      </c>
      <c r="D61" s="172" t="s">
        <v>296</v>
      </c>
      <c r="E61" s="173">
        <v>300000</v>
      </c>
      <c r="F61" s="173">
        <f t="shared" si="6"/>
        <v>10800000</v>
      </c>
    </row>
    <row r="62" spans="1:12" x14ac:dyDescent="0.25">
      <c r="A62" s="166" t="s">
        <v>16</v>
      </c>
      <c r="B62" s="166" t="s">
        <v>17</v>
      </c>
      <c r="C62" s="168"/>
      <c r="D62" s="168"/>
      <c r="E62" s="169"/>
      <c r="F62" s="167">
        <f>SUM(F63:F64)</f>
        <v>45600000</v>
      </c>
    </row>
    <row r="63" spans="1:12" ht="18" customHeight="1" x14ac:dyDescent="0.25">
      <c r="A63" s="170"/>
      <c r="B63" s="171" t="s">
        <v>437</v>
      </c>
      <c r="C63" s="172">
        <v>40</v>
      </c>
      <c r="D63" s="172" t="s">
        <v>297</v>
      </c>
      <c r="E63" s="173">
        <v>1000000</v>
      </c>
      <c r="F63" s="173">
        <f>C63*E63</f>
        <v>40000000</v>
      </c>
    </row>
    <row r="64" spans="1:12" x14ac:dyDescent="0.25">
      <c r="A64" s="170"/>
      <c r="B64" s="171" t="s">
        <v>372</v>
      </c>
      <c r="C64" s="172">
        <v>8</v>
      </c>
      <c r="D64" s="172" t="s">
        <v>347</v>
      </c>
      <c r="E64" s="173">
        <v>700000</v>
      </c>
      <c r="F64" s="173">
        <f t="shared" ref="F64" si="7">C64*E64</f>
        <v>5600000</v>
      </c>
    </row>
    <row r="65" spans="1:12" x14ac:dyDescent="0.25">
      <c r="A65" s="166" t="s">
        <v>18</v>
      </c>
      <c r="B65" s="166" t="s">
        <v>19</v>
      </c>
      <c r="C65" s="168"/>
      <c r="D65" s="168"/>
      <c r="E65" s="169"/>
      <c r="F65" s="167">
        <f>SUM(F66:F67)</f>
        <v>38000000</v>
      </c>
    </row>
    <row r="66" spans="1:12" ht="20.25" customHeight="1" x14ac:dyDescent="0.25">
      <c r="A66" s="170"/>
      <c r="B66" s="171" t="s">
        <v>373</v>
      </c>
      <c r="C66" s="172">
        <v>100</v>
      </c>
      <c r="D66" s="172" t="s">
        <v>301</v>
      </c>
      <c r="E66" s="173">
        <v>210000</v>
      </c>
      <c r="F66" s="173">
        <f>C66*E66</f>
        <v>21000000</v>
      </c>
    </row>
    <row r="67" spans="1:12" s="183" customFormat="1" x14ac:dyDescent="0.25">
      <c r="A67" s="170"/>
      <c r="B67" s="171" t="s">
        <v>374</v>
      </c>
      <c r="C67" s="172">
        <v>100</v>
      </c>
      <c r="D67" s="172" t="s">
        <v>296</v>
      </c>
      <c r="E67" s="173">
        <v>170000</v>
      </c>
      <c r="F67" s="173">
        <f>C67*E67</f>
        <v>17000000</v>
      </c>
      <c r="I67" s="137"/>
      <c r="J67" s="137"/>
      <c r="K67" s="137"/>
      <c r="L67" s="137"/>
    </row>
    <row r="68" spans="1:12" s="183" customFormat="1" x14ac:dyDescent="0.25">
      <c r="A68" s="166" t="s">
        <v>33</v>
      </c>
      <c r="B68" s="166" t="s">
        <v>34</v>
      </c>
      <c r="C68" s="168"/>
      <c r="D68" s="168"/>
      <c r="E68" s="169"/>
      <c r="F68" s="167">
        <f>SUM(F69:F70)</f>
        <v>38000000</v>
      </c>
      <c r="I68" s="137"/>
      <c r="J68" s="137"/>
      <c r="K68" s="137"/>
      <c r="L68" s="137"/>
    </row>
    <row r="69" spans="1:12" ht="20.25" customHeight="1" x14ac:dyDescent="0.25">
      <c r="A69" s="170"/>
      <c r="B69" s="171" t="s">
        <v>373</v>
      </c>
      <c r="C69" s="172">
        <v>100</v>
      </c>
      <c r="D69" s="172" t="s">
        <v>301</v>
      </c>
      <c r="E69" s="173">
        <v>210000</v>
      </c>
      <c r="F69" s="173">
        <f>C69*E69</f>
        <v>21000000</v>
      </c>
    </row>
    <row r="70" spans="1:12" ht="21" customHeight="1" x14ac:dyDescent="0.25">
      <c r="A70" s="170"/>
      <c r="B70" s="171" t="s">
        <v>374</v>
      </c>
      <c r="C70" s="172">
        <v>100</v>
      </c>
      <c r="D70" s="172" t="s">
        <v>296</v>
      </c>
      <c r="E70" s="173">
        <v>170000</v>
      </c>
      <c r="F70" s="173">
        <f>C70*E70</f>
        <v>17000000</v>
      </c>
    </row>
    <row r="71" spans="1:12" s="183" customFormat="1" x14ac:dyDescent="0.25">
      <c r="A71" s="162" t="s">
        <v>35</v>
      </c>
      <c r="B71" s="162" t="s">
        <v>337</v>
      </c>
      <c r="C71" s="163"/>
      <c r="D71" s="163"/>
      <c r="E71" s="164"/>
      <c r="F71" s="165">
        <f>F72+F78+F83+F86+F89</f>
        <v>219065000</v>
      </c>
      <c r="G71" s="183">
        <v>219065000</v>
      </c>
      <c r="H71" s="183">
        <f>F71-G71</f>
        <v>0</v>
      </c>
      <c r="I71" s="137"/>
      <c r="J71" s="137"/>
      <c r="K71" s="137"/>
      <c r="L71" s="137"/>
    </row>
    <row r="72" spans="1:12" s="183" customFormat="1" x14ac:dyDescent="0.25">
      <c r="A72" s="166" t="s">
        <v>22</v>
      </c>
      <c r="B72" s="166" t="s">
        <v>23</v>
      </c>
      <c r="C72" s="168"/>
      <c r="D72" s="168"/>
      <c r="E72" s="169"/>
      <c r="F72" s="167">
        <f>SUM(F73:F77)</f>
        <v>83165000</v>
      </c>
      <c r="I72" s="137"/>
      <c r="J72" s="137"/>
      <c r="K72" s="137"/>
      <c r="L72" s="137"/>
    </row>
    <row r="73" spans="1:12" s="183" customFormat="1" x14ac:dyDescent="0.25">
      <c r="A73" s="170"/>
      <c r="B73" s="171" t="s">
        <v>438</v>
      </c>
      <c r="C73" s="172">
        <v>800</v>
      </c>
      <c r="D73" s="172" t="s">
        <v>296</v>
      </c>
      <c r="E73" s="173">
        <v>53000</v>
      </c>
      <c r="F73" s="173">
        <f>C73*E73</f>
        <v>42400000</v>
      </c>
      <c r="I73" s="137"/>
      <c r="J73" s="137"/>
      <c r="K73" s="137"/>
      <c r="L73" s="137"/>
    </row>
    <row r="74" spans="1:12" s="183" customFormat="1" x14ac:dyDescent="0.25">
      <c r="A74" s="170"/>
      <c r="B74" s="171" t="s">
        <v>439</v>
      </c>
      <c r="C74" s="172">
        <v>800</v>
      </c>
      <c r="D74" s="172" t="s">
        <v>296</v>
      </c>
      <c r="E74" s="173">
        <v>24000</v>
      </c>
      <c r="F74" s="173">
        <f>C74*E74</f>
        <v>19200000</v>
      </c>
      <c r="I74" s="137"/>
      <c r="J74" s="137"/>
      <c r="K74" s="137"/>
      <c r="L74" s="137"/>
    </row>
    <row r="75" spans="1:12" s="183" customFormat="1" x14ac:dyDescent="0.25">
      <c r="A75" s="170"/>
      <c r="B75" s="171" t="s">
        <v>357</v>
      </c>
      <c r="C75" s="172">
        <v>400</v>
      </c>
      <c r="D75" s="172" t="s">
        <v>296</v>
      </c>
      <c r="E75" s="173">
        <v>35000</v>
      </c>
      <c r="F75" s="173">
        <f>C75*E75</f>
        <v>14000000</v>
      </c>
      <c r="I75" s="137"/>
      <c r="J75" s="137"/>
      <c r="K75" s="137"/>
      <c r="L75" s="137"/>
    </row>
    <row r="76" spans="1:12" x14ac:dyDescent="0.25">
      <c r="A76" s="170"/>
      <c r="B76" s="178" t="s">
        <v>444</v>
      </c>
      <c r="C76" s="172">
        <v>1</v>
      </c>
      <c r="D76" s="172" t="s">
        <v>298</v>
      </c>
      <c r="E76" s="173">
        <v>3565000</v>
      </c>
      <c r="F76" s="173">
        <f t="shared" ref="F76:F77" si="8">C76*E76</f>
        <v>3565000</v>
      </c>
    </row>
    <row r="77" spans="1:12" s="183" customFormat="1" x14ac:dyDescent="0.25">
      <c r="A77" s="170"/>
      <c r="B77" s="178" t="s">
        <v>345</v>
      </c>
      <c r="C77" s="172">
        <v>4</v>
      </c>
      <c r="D77" s="172" t="s">
        <v>298</v>
      </c>
      <c r="E77" s="173">
        <v>1000000</v>
      </c>
      <c r="F77" s="173">
        <f t="shared" si="8"/>
        <v>4000000</v>
      </c>
      <c r="I77" s="137"/>
      <c r="J77" s="137"/>
      <c r="K77" s="137"/>
      <c r="L77" s="137"/>
    </row>
    <row r="78" spans="1:12" x14ac:dyDescent="0.25">
      <c r="A78" s="166" t="s">
        <v>14</v>
      </c>
      <c r="B78" s="166" t="s">
        <v>15</v>
      </c>
      <c r="C78" s="168"/>
      <c r="D78" s="168"/>
      <c r="E78" s="169"/>
      <c r="F78" s="167">
        <f>SUM(F79:F82)</f>
        <v>14300000</v>
      </c>
    </row>
    <row r="79" spans="1:12" ht="18" customHeight="1" x14ac:dyDescent="0.25">
      <c r="A79" s="170"/>
      <c r="B79" s="176" t="s">
        <v>440</v>
      </c>
      <c r="C79" s="172">
        <v>2</v>
      </c>
      <c r="D79" s="172" t="s">
        <v>296</v>
      </c>
      <c r="E79" s="173">
        <v>450000</v>
      </c>
      <c r="F79" s="173">
        <f>C79*E79</f>
        <v>900000</v>
      </c>
    </row>
    <row r="80" spans="1:12" ht="18" customHeight="1" x14ac:dyDescent="0.25">
      <c r="A80" s="170"/>
      <c r="B80" s="176" t="s">
        <v>441</v>
      </c>
      <c r="C80" s="172">
        <v>2</v>
      </c>
      <c r="D80" s="172" t="s">
        <v>296</v>
      </c>
      <c r="E80" s="173">
        <v>400000</v>
      </c>
      <c r="F80" s="173">
        <f t="shared" ref="F80:F82" si="9">C80*E80</f>
        <v>800000</v>
      </c>
    </row>
    <row r="81" spans="1:12" ht="18" customHeight="1" x14ac:dyDescent="0.25">
      <c r="A81" s="170"/>
      <c r="B81" s="176" t="s">
        <v>442</v>
      </c>
      <c r="C81" s="172">
        <v>2</v>
      </c>
      <c r="D81" s="172" t="s">
        <v>296</v>
      </c>
      <c r="E81" s="173">
        <v>300000</v>
      </c>
      <c r="F81" s="173">
        <f t="shared" si="9"/>
        <v>600000</v>
      </c>
    </row>
    <row r="82" spans="1:12" ht="18" customHeight="1" x14ac:dyDescent="0.25">
      <c r="A82" s="170"/>
      <c r="B82" s="176" t="s">
        <v>443</v>
      </c>
      <c r="C82" s="172">
        <v>40</v>
      </c>
      <c r="D82" s="172" t="s">
        <v>296</v>
      </c>
      <c r="E82" s="173">
        <v>300000</v>
      </c>
      <c r="F82" s="173">
        <f t="shared" si="9"/>
        <v>12000000</v>
      </c>
    </row>
    <row r="83" spans="1:12" x14ac:dyDescent="0.25">
      <c r="A83" s="166" t="s">
        <v>16</v>
      </c>
      <c r="B83" s="166" t="s">
        <v>17</v>
      </c>
      <c r="C83" s="168"/>
      <c r="D83" s="168"/>
      <c r="E83" s="169"/>
      <c r="F83" s="167">
        <f>SUM(F84:F85)</f>
        <v>45600000</v>
      </c>
    </row>
    <row r="84" spans="1:12" ht="18" customHeight="1" x14ac:dyDescent="0.25">
      <c r="A84" s="170"/>
      <c r="B84" s="171" t="s">
        <v>437</v>
      </c>
      <c r="C84" s="172">
        <v>40</v>
      </c>
      <c r="D84" s="172" t="s">
        <v>297</v>
      </c>
      <c r="E84" s="173">
        <v>1000000</v>
      </c>
      <c r="F84" s="173">
        <f>C84*E84</f>
        <v>40000000</v>
      </c>
    </row>
    <row r="85" spans="1:12" x14ac:dyDescent="0.25">
      <c r="A85" s="170"/>
      <c r="B85" s="171" t="s">
        <v>372</v>
      </c>
      <c r="C85" s="172">
        <v>8</v>
      </c>
      <c r="D85" s="172" t="s">
        <v>347</v>
      </c>
      <c r="E85" s="173">
        <v>700000</v>
      </c>
      <c r="F85" s="173">
        <f t="shared" ref="F85" si="10">C85*E85</f>
        <v>5600000</v>
      </c>
    </row>
    <row r="86" spans="1:12" x14ac:dyDescent="0.25">
      <c r="A86" s="166" t="s">
        <v>18</v>
      </c>
      <c r="B86" s="166" t="s">
        <v>19</v>
      </c>
      <c r="C86" s="168"/>
      <c r="D86" s="168"/>
      <c r="E86" s="169"/>
      <c r="F86" s="167">
        <f>SUM(F87:F88)</f>
        <v>38000000</v>
      </c>
    </row>
    <row r="87" spans="1:12" ht="20.25" customHeight="1" x14ac:dyDescent="0.25">
      <c r="A87" s="170"/>
      <c r="B87" s="171" t="s">
        <v>373</v>
      </c>
      <c r="C87" s="172">
        <v>100</v>
      </c>
      <c r="D87" s="172" t="s">
        <v>301</v>
      </c>
      <c r="E87" s="173">
        <v>210000</v>
      </c>
      <c r="F87" s="173">
        <f>C87*E87</f>
        <v>21000000</v>
      </c>
    </row>
    <row r="88" spans="1:12" s="183" customFormat="1" x14ac:dyDescent="0.25">
      <c r="A88" s="170"/>
      <c r="B88" s="171" t="s">
        <v>374</v>
      </c>
      <c r="C88" s="172">
        <v>100</v>
      </c>
      <c r="D88" s="172" t="s">
        <v>296</v>
      </c>
      <c r="E88" s="173">
        <v>170000</v>
      </c>
      <c r="F88" s="173">
        <f>C88*E88</f>
        <v>17000000</v>
      </c>
      <c r="I88" s="137"/>
      <c r="J88" s="137"/>
      <c r="K88" s="137"/>
      <c r="L88" s="137"/>
    </row>
    <row r="89" spans="1:12" s="183" customFormat="1" ht="14.25" customHeight="1" x14ac:dyDescent="0.25">
      <c r="A89" s="166" t="s">
        <v>33</v>
      </c>
      <c r="B89" s="166" t="s">
        <v>34</v>
      </c>
      <c r="C89" s="168"/>
      <c r="D89" s="168"/>
      <c r="E89" s="169"/>
      <c r="F89" s="167">
        <f>SUM(F90:F91)</f>
        <v>38000000</v>
      </c>
      <c r="I89" s="137"/>
      <c r="J89" s="137"/>
      <c r="K89" s="137"/>
      <c r="L89" s="137"/>
    </row>
    <row r="90" spans="1:12" ht="20.25" customHeight="1" x14ac:dyDescent="0.25">
      <c r="A90" s="170"/>
      <c r="B90" s="171" t="s">
        <v>373</v>
      </c>
      <c r="C90" s="172">
        <v>100</v>
      </c>
      <c r="D90" s="172" t="s">
        <v>301</v>
      </c>
      <c r="E90" s="173">
        <v>210000</v>
      </c>
      <c r="F90" s="173">
        <f>C90*E90</f>
        <v>21000000</v>
      </c>
    </row>
    <row r="91" spans="1:12" x14ac:dyDescent="0.25">
      <c r="A91" s="170"/>
      <c r="B91" s="171" t="s">
        <v>374</v>
      </c>
      <c r="C91" s="172">
        <v>100</v>
      </c>
      <c r="D91" s="172" t="s">
        <v>296</v>
      </c>
      <c r="E91" s="173">
        <v>170000</v>
      </c>
      <c r="F91" s="173">
        <f>C91*E91</f>
        <v>17000000</v>
      </c>
    </row>
    <row r="92" spans="1:12" x14ac:dyDescent="0.25">
      <c r="A92" s="158" t="s">
        <v>50</v>
      </c>
      <c r="B92" s="158" t="s">
        <v>51</v>
      </c>
      <c r="C92" s="159" t="s">
        <v>11</v>
      </c>
      <c r="D92" s="159"/>
      <c r="E92" s="160"/>
      <c r="F92" s="161">
        <f>F93</f>
        <v>430210000</v>
      </c>
      <c r="G92" s="183">
        <v>430210000</v>
      </c>
      <c r="H92" s="183">
        <f>F92-G92</f>
        <v>0</v>
      </c>
    </row>
    <row r="93" spans="1:12" x14ac:dyDescent="0.25">
      <c r="A93" s="162" t="s">
        <v>12</v>
      </c>
      <c r="B93" s="162" t="s">
        <v>52</v>
      </c>
      <c r="C93" s="163"/>
      <c r="D93" s="163"/>
      <c r="E93" s="164"/>
      <c r="F93" s="165">
        <f>F94+F100+F105+F109+F115</f>
        <v>430210000</v>
      </c>
    </row>
    <row r="94" spans="1:12" x14ac:dyDescent="0.25">
      <c r="A94" s="166" t="s">
        <v>22</v>
      </c>
      <c r="B94" s="166" t="s">
        <v>23</v>
      </c>
      <c r="C94" s="168"/>
      <c r="D94" s="168"/>
      <c r="E94" s="169"/>
      <c r="F94" s="167">
        <f>SUM(F95:F99)</f>
        <v>55225000</v>
      </c>
    </row>
    <row r="95" spans="1:12" ht="14.25" customHeight="1" x14ac:dyDescent="0.25">
      <c r="A95" s="170"/>
      <c r="B95" s="171" t="s">
        <v>446</v>
      </c>
      <c r="C95" s="172">
        <v>600</v>
      </c>
      <c r="D95" s="172" t="s">
        <v>296</v>
      </c>
      <c r="E95" s="173">
        <v>53000</v>
      </c>
      <c r="F95" s="173">
        <f>C95*E95</f>
        <v>31800000</v>
      </c>
    </row>
    <row r="96" spans="1:12" x14ac:dyDescent="0.25">
      <c r="A96" s="170"/>
      <c r="B96" s="171" t="s">
        <v>447</v>
      </c>
      <c r="C96" s="172">
        <v>600</v>
      </c>
      <c r="D96" s="172" t="s">
        <v>296</v>
      </c>
      <c r="E96" s="173">
        <v>24000</v>
      </c>
      <c r="F96" s="173">
        <f>C96*E96</f>
        <v>14400000</v>
      </c>
    </row>
    <row r="97" spans="1:8" ht="14.25" customHeight="1" x14ac:dyDescent="0.25">
      <c r="A97" s="170"/>
      <c r="B97" s="178" t="s">
        <v>358</v>
      </c>
      <c r="C97" s="172">
        <v>3</v>
      </c>
      <c r="D97" s="172" t="s">
        <v>298</v>
      </c>
      <c r="E97" s="173">
        <v>1000000</v>
      </c>
      <c r="F97" s="173">
        <f t="shared" ref="F97:F99" si="11">C97*E97</f>
        <v>3000000</v>
      </c>
    </row>
    <row r="98" spans="1:8" x14ac:dyDescent="0.25">
      <c r="A98" s="170"/>
      <c r="B98" s="178" t="s">
        <v>359</v>
      </c>
      <c r="C98" s="172">
        <v>3</v>
      </c>
      <c r="D98" s="172" t="s">
        <v>298</v>
      </c>
      <c r="E98" s="173">
        <v>1000000</v>
      </c>
      <c r="F98" s="173">
        <f t="shared" si="11"/>
        <v>3000000</v>
      </c>
    </row>
    <row r="99" spans="1:8" x14ac:dyDescent="0.25">
      <c r="A99" s="170"/>
      <c r="B99" s="178" t="s">
        <v>394</v>
      </c>
      <c r="C99" s="172">
        <v>1</v>
      </c>
      <c r="D99" s="172" t="s">
        <v>330</v>
      </c>
      <c r="E99" s="173">
        <v>3025000</v>
      </c>
      <c r="F99" s="173">
        <f t="shared" si="11"/>
        <v>3025000</v>
      </c>
    </row>
    <row r="100" spans="1:8" x14ac:dyDescent="0.25">
      <c r="A100" s="166" t="s">
        <v>14</v>
      </c>
      <c r="B100" s="166" t="s">
        <v>15</v>
      </c>
      <c r="C100" s="168"/>
      <c r="D100" s="168"/>
      <c r="E100" s="169"/>
      <c r="F100" s="167">
        <f>SUM(F101:F104)</f>
        <v>21450000</v>
      </c>
    </row>
    <row r="101" spans="1:8" ht="18" customHeight="1" x14ac:dyDescent="0.25">
      <c r="A101" s="170"/>
      <c r="B101" s="176" t="s">
        <v>448</v>
      </c>
      <c r="C101" s="172">
        <v>3</v>
      </c>
      <c r="D101" s="172" t="s">
        <v>296</v>
      </c>
      <c r="E101" s="173">
        <v>450000</v>
      </c>
      <c r="F101" s="173">
        <f>C101*E101</f>
        <v>1350000</v>
      </c>
    </row>
    <row r="102" spans="1:8" ht="18" customHeight="1" x14ac:dyDescent="0.25">
      <c r="A102" s="170"/>
      <c r="B102" s="176" t="s">
        <v>449</v>
      </c>
      <c r="C102" s="172">
        <v>3</v>
      </c>
      <c r="D102" s="172" t="s">
        <v>296</v>
      </c>
      <c r="E102" s="173">
        <v>400000</v>
      </c>
      <c r="F102" s="173">
        <f t="shared" ref="F102:F104" si="12">C102*E102</f>
        <v>1200000</v>
      </c>
    </row>
    <row r="103" spans="1:8" ht="18" customHeight="1" x14ac:dyDescent="0.25">
      <c r="A103" s="170"/>
      <c r="B103" s="176" t="s">
        <v>450</v>
      </c>
      <c r="C103" s="172">
        <v>3</v>
      </c>
      <c r="D103" s="172" t="s">
        <v>296</v>
      </c>
      <c r="E103" s="173">
        <v>300000</v>
      </c>
      <c r="F103" s="173">
        <f t="shared" si="12"/>
        <v>900000</v>
      </c>
    </row>
    <row r="104" spans="1:8" ht="18" customHeight="1" x14ac:dyDescent="0.25">
      <c r="A104" s="170"/>
      <c r="B104" s="176" t="s">
        <v>451</v>
      </c>
      <c r="C104" s="172">
        <v>60</v>
      </c>
      <c r="D104" s="172" t="s">
        <v>296</v>
      </c>
      <c r="E104" s="173">
        <v>300000</v>
      </c>
      <c r="F104" s="173">
        <f t="shared" si="12"/>
        <v>18000000</v>
      </c>
    </row>
    <row r="105" spans="1:8" x14ac:dyDescent="0.25">
      <c r="A105" s="166" t="s">
        <v>16</v>
      </c>
      <c r="B105" s="166" t="s">
        <v>17</v>
      </c>
      <c r="C105" s="168"/>
      <c r="D105" s="168"/>
      <c r="E105" s="169"/>
      <c r="F105" s="167">
        <f>SUM(F106:F108)</f>
        <v>89200000</v>
      </c>
    </row>
    <row r="106" spans="1:8" ht="18" customHeight="1" x14ac:dyDescent="0.25">
      <c r="A106" s="170"/>
      <c r="B106" s="171" t="s">
        <v>364</v>
      </c>
      <c r="C106" s="172">
        <v>48</v>
      </c>
      <c r="D106" s="172" t="s">
        <v>297</v>
      </c>
      <c r="E106" s="173">
        <v>1000000</v>
      </c>
      <c r="F106" s="173">
        <f>C106*E106</f>
        <v>48000000</v>
      </c>
    </row>
    <row r="107" spans="1:8" x14ac:dyDescent="0.25">
      <c r="A107" s="170"/>
      <c r="B107" s="171" t="s">
        <v>452</v>
      </c>
      <c r="C107" s="172">
        <v>30</v>
      </c>
      <c r="D107" s="172" t="s">
        <v>297</v>
      </c>
      <c r="E107" s="173">
        <v>1000000</v>
      </c>
      <c r="F107" s="173">
        <f t="shared" ref="F107:F108" si="13">C107*E107</f>
        <v>30000000</v>
      </c>
    </row>
    <row r="108" spans="1:8" x14ac:dyDescent="0.25">
      <c r="A108" s="170"/>
      <c r="B108" s="171" t="s">
        <v>445</v>
      </c>
      <c r="C108" s="172">
        <v>16</v>
      </c>
      <c r="D108" s="172" t="s">
        <v>347</v>
      </c>
      <c r="E108" s="173">
        <v>700000</v>
      </c>
      <c r="F108" s="173">
        <f t="shared" si="13"/>
        <v>11200000</v>
      </c>
    </row>
    <row r="109" spans="1:8" x14ac:dyDescent="0.25">
      <c r="A109" s="166" t="s">
        <v>28</v>
      </c>
      <c r="B109" s="166" t="s">
        <v>29</v>
      </c>
      <c r="C109" s="168"/>
      <c r="D109" s="168"/>
      <c r="E109" s="169"/>
      <c r="F109" s="167">
        <f>SUM(F110:F114)</f>
        <v>126335000</v>
      </c>
    </row>
    <row r="110" spans="1:8" x14ac:dyDescent="0.25">
      <c r="A110" s="170"/>
      <c r="B110" s="171" t="s">
        <v>396</v>
      </c>
      <c r="C110" s="172">
        <v>65</v>
      </c>
      <c r="D110" s="172" t="s">
        <v>301</v>
      </c>
      <c r="E110" s="173">
        <v>430000</v>
      </c>
      <c r="F110" s="173">
        <f>C110*E110</f>
        <v>27950000</v>
      </c>
    </row>
    <row r="111" spans="1:8" x14ac:dyDescent="0.25">
      <c r="A111" s="170"/>
      <c r="B111" s="171" t="s">
        <v>397</v>
      </c>
      <c r="C111" s="172">
        <v>90</v>
      </c>
      <c r="D111" s="172" t="s">
        <v>296</v>
      </c>
      <c r="E111" s="173">
        <v>150000</v>
      </c>
      <c r="F111" s="173">
        <f t="shared" ref="F111:F112" si="14">C111*E111</f>
        <v>13500000</v>
      </c>
    </row>
    <row r="112" spans="1:8" s="138" customFormat="1" x14ac:dyDescent="0.25">
      <c r="A112" s="170"/>
      <c r="B112" s="171" t="s">
        <v>398</v>
      </c>
      <c r="C112" s="172">
        <v>90</v>
      </c>
      <c r="D112" s="172" t="s">
        <v>296</v>
      </c>
      <c r="E112" s="173">
        <v>284000</v>
      </c>
      <c r="F112" s="173">
        <f t="shared" si="14"/>
        <v>25560000</v>
      </c>
      <c r="G112" s="183"/>
      <c r="H112" s="183"/>
    </row>
    <row r="113" spans="1:12" s="138" customFormat="1" ht="18.75" customHeight="1" x14ac:dyDescent="0.25">
      <c r="A113" s="170"/>
      <c r="B113" s="171" t="s">
        <v>399</v>
      </c>
      <c r="C113" s="172">
        <v>75</v>
      </c>
      <c r="D113" s="172" t="s">
        <v>296</v>
      </c>
      <c r="E113" s="173">
        <v>686000</v>
      </c>
      <c r="F113" s="173">
        <f>C113*E113</f>
        <v>51450000</v>
      </c>
      <c r="G113" s="183"/>
      <c r="H113" s="183"/>
    </row>
    <row r="114" spans="1:12" s="138" customFormat="1" x14ac:dyDescent="0.25">
      <c r="A114" s="170"/>
      <c r="B114" s="171" t="s">
        <v>400</v>
      </c>
      <c r="C114" s="172">
        <v>75</v>
      </c>
      <c r="D114" s="172" t="s">
        <v>296</v>
      </c>
      <c r="E114" s="173">
        <v>105000</v>
      </c>
      <c r="F114" s="173">
        <f t="shared" ref="F114" si="15">C114*E114</f>
        <v>7875000</v>
      </c>
      <c r="G114" s="183"/>
      <c r="H114" s="183"/>
    </row>
    <row r="115" spans="1:12" s="138" customFormat="1" x14ac:dyDescent="0.25">
      <c r="A115" s="166" t="s">
        <v>18</v>
      </c>
      <c r="B115" s="166" t="s">
        <v>19</v>
      </c>
      <c r="C115" s="168"/>
      <c r="D115" s="168"/>
      <c r="E115" s="169"/>
      <c r="F115" s="167">
        <f>SUM(F116:F119)</f>
        <v>138000000</v>
      </c>
      <c r="G115" s="183"/>
      <c r="H115" s="183"/>
    </row>
    <row r="116" spans="1:12" s="138" customFormat="1" ht="20.25" customHeight="1" x14ac:dyDescent="0.25">
      <c r="A116" s="170"/>
      <c r="B116" s="171" t="s">
        <v>402</v>
      </c>
      <c r="C116" s="172">
        <v>200</v>
      </c>
      <c r="D116" s="172" t="s">
        <v>301</v>
      </c>
      <c r="E116" s="173">
        <v>210000</v>
      </c>
      <c r="F116" s="173">
        <f>C116*E116</f>
        <v>42000000</v>
      </c>
      <c r="G116" s="183"/>
      <c r="H116" s="183"/>
    </row>
    <row r="117" spans="1:12" s="138" customFormat="1" x14ac:dyDescent="0.25">
      <c r="A117" s="170"/>
      <c r="B117" s="171" t="s">
        <v>403</v>
      </c>
      <c r="C117" s="172">
        <v>200</v>
      </c>
      <c r="D117" s="172" t="s">
        <v>296</v>
      </c>
      <c r="E117" s="173">
        <v>130000</v>
      </c>
      <c r="F117" s="173">
        <f>C117*E117</f>
        <v>26000000</v>
      </c>
      <c r="G117" s="183"/>
      <c r="H117" s="183"/>
    </row>
    <row r="118" spans="1:12" s="138" customFormat="1" x14ac:dyDescent="0.25">
      <c r="A118" s="170"/>
      <c r="B118" s="171" t="s">
        <v>404</v>
      </c>
      <c r="C118" s="172">
        <v>200</v>
      </c>
      <c r="D118" s="172" t="s">
        <v>296</v>
      </c>
      <c r="E118" s="173">
        <v>180000</v>
      </c>
      <c r="F118" s="173">
        <f>C118*E118</f>
        <v>36000000</v>
      </c>
      <c r="G118" s="183"/>
      <c r="H118" s="183"/>
    </row>
    <row r="119" spans="1:12" s="138" customFormat="1" x14ac:dyDescent="0.25">
      <c r="A119" s="170"/>
      <c r="B119" s="171" t="s">
        <v>405</v>
      </c>
      <c r="C119" s="172">
        <v>200</v>
      </c>
      <c r="D119" s="172" t="s">
        <v>296</v>
      </c>
      <c r="E119" s="173">
        <v>170000</v>
      </c>
      <c r="F119" s="173">
        <f>C119*E119</f>
        <v>34000000</v>
      </c>
      <c r="G119" s="183"/>
      <c r="H119" s="183"/>
    </row>
    <row r="120" spans="1:12" ht="30" x14ac:dyDescent="0.25">
      <c r="A120" s="154" t="s">
        <v>54</v>
      </c>
      <c r="B120" s="154" t="s">
        <v>55</v>
      </c>
      <c r="C120" s="155" t="s">
        <v>56</v>
      </c>
      <c r="D120" s="155" t="s">
        <v>295</v>
      </c>
      <c r="E120" s="156"/>
      <c r="F120" s="157">
        <f>F121</f>
        <v>140000000</v>
      </c>
      <c r="G120" s="157">
        <f>G121</f>
        <v>140000000</v>
      </c>
    </row>
    <row r="121" spans="1:12" x14ac:dyDescent="0.25">
      <c r="A121" s="158" t="s">
        <v>20</v>
      </c>
      <c r="B121" s="158" t="s">
        <v>59</v>
      </c>
      <c r="C121" s="159" t="s">
        <v>11</v>
      </c>
      <c r="D121" s="159"/>
      <c r="E121" s="160"/>
      <c r="F121" s="161">
        <f>F122</f>
        <v>140000000</v>
      </c>
      <c r="G121" s="183">
        <v>140000000</v>
      </c>
      <c r="H121" s="183">
        <f>F121-G121</f>
        <v>0</v>
      </c>
    </row>
    <row r="122" spans="1:12" x14ac:dyDescent="0.25">
      <c r="A122" s="162" t="s">
        <v>12</v>
      </c>
      <c r="B122" s="162" t="s">
        <v>60</v>
      </c>
      <c r="C122" s="163"/>
      <c r="D122" s="163"/>
      <c r="E122" s="164"/>
      <c r="F122" s="165">
        <f>F123+F128+F133+F137</f>
        <v>140000000</v>
      </c>
    </row>
    <row r="123" spans="1:12" x14ac:dyDescent="0.25">
      <c r="A123" s="166" t="s">
        <v>22</v>
      </c>
      <c r="B123" s="166" t="s">
        <v>23</v>
      </c>
      <c r="C123" s="168"/>
      <c r="D123" s="168"/>
      <c r="E123" s="169"/>
      <c r="F123" s="167">
        <f>SUM(F124:F127)</f>
        <v>21732000</v>
      </c>
    </row>
    <row r="124" spans="1:12" x14ac:dyDescent="0.25">
      <c r="A124" s="170"/>
      <c r="B124" s="171" t="s">
        <v>453</v>
      </c>
      <c r="C124" s="172">
        <v>240</v>
      </c>
      <c r="D124" s="172" t="s">
        <v>296</v>
      </c>
      <c r="E124" s="173">
        <v>53000</v>
      </c>
      <c r="F124" s="173">
        <f>C124*E124</f>
        <v>12720000</v>
      </c>
    </row>
    <row r="125" spans="1:12" s="183" customFormat="1" x14ac:dyDescent="0.25">
      <c r="A125" s="170"/>
      <c r="B125" s="171" t="s">
        <v>454</v>
      </c>
      <c r="C125" s="172">
        <v>240</v>
      </c>
      <c r="D125" s="172" t="s">
        <v>296</v>
      </c>
      <c r="E125" s="173">
        <v>24000</v>
      </c>
      <c r="F125" s="173">
        <f>C125*E125</f>
        <v>5760000</v>
      </c>
      <c r="I125" s="137"/>
      <c r="J125" s="137"/>
      <c r="K125" s="137"/>
      <c r="L125" s="137"/>
    </row>
    <row r="126" spans="1:12" s="183" customFormat="1" x14ac:dyDescent="0.25">
      <c r="A126" s="170"/>
      <c r="B126" s="178" t="s">
        <v>359</v>
      </c>
      <c r="C126" s="172">
        <v>1</v>
      </c>
      <c r="D126" s="172" t="s">
        <v>298</v>
      </c>
      <c r="E126" s="173">
        <v>1000000</v>
      </c>
      <c r="F126" s="173">
        <f t="shared" ref="F126:F127" si="16">C126*E126</f>
        <v>1000000</v>
      </c>
      <c r="I126" s="137"/>
      <c r="J126" s="137"/>
      <c r="K126" s="137"/>
      <c r="L126" s="137"/>
    </row>
    <row r="127" spans="1:12" s="183" customFormat="1" x14ac:dyDescent="0.25">
      <c r="A127" s="170"/>
      <c r="B127" s="178" t="s">
        <v>394</v>
      </c>
      <c r="C127" s="172">
        <v>1</v>
      </c>
      <c r="D127" s="172" t="s">
        <v>298</v>
      </c>
      <c r="E127" s="173">
        <v>2252000</v>
      </c>
      <c r="F127" s="173">
        <f t="shared" si="16"/>
        <v>2252000</v>
      </c>
      <c r="I127" s="137"/>
      <c r="J127" s="137"/>
      <c r="K127" s="137"/>
      <c r="L127" s="137"/>
    </row>
    <row r="128" spans="1:12" s="183" customFormat="1" x14ac:dyDescent="0.25">
      <c r="A128" s="166" t="s">
        <v>14</v>
      </c>
      <c r="B128" s="166" t="s">
        <v>15</v>
      </c>
      <c r="C128" s="168"/>
      <c r="D128" s="168"/>
      <c r="E128" s="169"/>
      <c r="F128" s="167">
        <f>SUM(F129:F132)</f>
        <v>9500000</v>
      </c>
      <c r="I128" s="137"/>
      <c r="J128" s="137"/>
      <c r="K128" s="137"/>
      <c r="L128" s="137"/>
    </row>
    <row r="129" spans="1:12" s="183" customFormat="1" ht="18" customHeight="1" x14ac:dyDescent="0.25">
      <c r="A129" s="170"/>
      <c r="B129" s="176" t="s">
        <v>360</v>
      </c>
      <c r="C129" s="172">
        <v>2</v>
      </c>
      <c r="D129" s="172" t="s">
        <v>296</v>
      </c>
      <c r="E129" s="173">
        <v>450000</v>
      </c>
      <c r="F129" s="173">
        <f>C129*E129</f>
        <v>900000</v>
      </c>
      <c r="I129" s="137"/>
      <c r="J129" s="137"/>
      <c r="K129" s="137"/>
      <c r="L129" s="137"/>
    </row>
    <row r="130" spans="1:12" s="183" customFormat="1" ht="18" customHeight="1" x14ac:dyDescent="0.25">
      <c r="A130" s="170"/>
      <c r="B130" s="176" t="s">
        <v>361</v>
      </c>
      <c r="C130" s="172">
        <v>2</v>
      </c>
      <c r="D130" s="172" t="s">
        <v>296</v>
      </c>
      <c r="E130" s="173">
        <v>400000</v>
      </c>
      <c r="F130" s="173">
        <f t="shared" ref="F130:F132" si="17">C130*E130</f>
        <v>800000</v>
      </c>
      <c r="I130" s="137"/>
      <c r="J130" s="137"/>
      <c r="K130" s="137"/>
      <c r="L130" s="137"/>
    </row>
    <row r="131" spans="1:12" s="183" customFormat="1" ht="18" customHeight="1" x14ac:dyDescent="0.25">
      <c r="A131" s="170"/>
      <c r="B131" s="176" t="s">
        <v>362</v>
      </c>
      <c r="C131" s="172">
        <v>2</v>
      </c>
      <c r="D131" s="172" t="s">
        <v>296</v>
      </c>
      <c r="E131" s="173">
        <v>300000</v>
      </c>
      <c r="F131" s="173">
        <f t="shared" si="17"/>
        <v>600000</v>
      </c>
      <c r="I131" s="137"/>
      <c r="J131" s="137"/>
      <c r="K131" s="137"/>
      <c r="L131" s="137"/>
    </row>
    <row r="132" spans="1:12" s="183" customFormat="1" ht="18" customHeight="1" x14ac:dyDescent="0.25">
      <c r="A132" s="170"/>
      <c r="B132" s="176" t="s">
        <v>363</v>
      </c>
      <c r="C132" s="172">
        <v>24</v>
      </c>
      <c r="D132" s="172" t="s">
        <v>296</v>
      </c>
      <c r="E132" s="173">
        <v>300000</v>
      </c>
      <c r="F132" s="173">
        <f t="shared" si="17"/>
        <v>7200000</v>
      </c>
      <c r="I132" s="137"/>
      <c r="J132" s="137"/>
      <c r="K132" s="137"/>
      <c r="L132" s="137"/>
    </row>
    <row r="133" spans="1:12" s="183" customFormat="1" x14ac:dyDescent="0.25">
      <c r="A133" s="166" t="s">
        <v>16</v>
      </c>
      <c r="B133" s="166" t="s">
        <v>17</v>
      </c>
      <c r="C133" s="168"/>
      <c r="D133" s="168"/>
      <c r="E133" s="169"/>
      <c r="F133" s="167">
        <f>SUM(F134:F136)</f>
        <v>51600000</v>
      </c>
      <c r="I133" s="137"/>
      <c r="J133" s="137"/>
      <c r="K133" s="137"/>
      <c r="L133" s="137"/>
    </row>
    <row r="134" spans="1:12" ht="18" customHeight="1" x14ac:dyDescent="0.25">
      <c r="A134" s="170"/>
      <c r="B134" s="171" t="s">
        <v>406</v>
      </c>
      <c r="C134" s="172">
        <v>32</v>
      </c>
      <c r="D134" s="172" t="s">
        <v>297</v>
      </c>
      <c r="E134" s="173">
        <v>1000000</v>
      </c>
      <c r="F134" s="173">
        <f>C134*E134</f>
        <v>32000000</v>
      </c>
    </row>
    <row r="135" spans="1:12" x14ac:dyDescent="0.25">
      <c r="A135" s="170"/>
      <c r="B135" s="171" t="s">
        <v>458</v>
      </c>
      <c r="C135" s="172">
        <v>14</v>
      </c>
      <c r="D135" s="172" t="s">
        <v>297</v>
      </c>
      <c r="E135" s="173">
        <v>1000000</v>
      </c>
      <c r="F135" s="173">
        <f t="shared" ref="F135:F136" si="18">C135*E135</f>
        <v>14000000</v>
      </c>
    </row>
    <row r="136" spans="1:12" x14ac:dyDescent="0.25">
      <c r="A136" s="170"/>
      <c r="B136" s="171" t="s">
        <v>389</v>
      </c>
      <c r="C136" s="172">
        <v>8</v>
      </c>
      <c r="D136" s="172" t="s">
        <v>347</v>
      </c>
      <c r="E136" s="173">
        <v>700000</v>
      </c>
      <c r="F136" s="173">
        <f t="shared" si="18"/>
        <v>5600000</v>
      </c>
    </row>
    <row r="137" spans="1:12" x14ac:dyDescent="0.25">
      <c r="A137" s="166" t="s">
        <v>28</v>
      </c>
      <c r="B137" s="166" t="s">
        <v>29</v>
      </c>
      <c r="C137" s="168"/>
      <c r="D137" s="168"/>
      <c r="E137" s="169"/>
      <c r="F137" s="167">
        <f>SUM(F138:F140)</f>
        <v>57168000</v>
      </c>
    </row>
    <row r="138" spans="1:12" x14ac:dyDescent="0.25">
      <c r="A138" s="170"/>
      <c r="B138" s="171" t="s">
        <v>457</v>
      </c>
      <c r="C138" s="172">
        <v>48</v>
      </c>
      <c r="D138" s="172" t="s">
        <v>296</v>
      </c>
      <c r="E138" s="173">
        <v>150000</v>
      </c>
      <c r="F138" s="173">
        <f t="shared" ref="F138:F139" si="19">C138*E138</f>
        <v>7200000</v>
      </c>
    </row>
    <row r="139" spans="1:12" x14ac:dyDescent="0.25">
      <c r="A139" s="170"/>
      <c r="B139" s="171" t="s">
        <v>455</v>
      </c>
      <c r="C139" s="172">
        <v>60</v>
      </c>
      <c r="D139" s="172" t="s">
        <v>296</v>
      </c>
      <c r="E139" s="173">
        <v>284000</v>
      </c>
      <c r="F139" s="173">
        <f t="shared" si="19"/>
        <v>17040000</v>
      </c>
    </row>
    <row r="140" spans="1:12" x14ac:dyDescent="0.25">
      <c r="A140" s="170"/>
      <c r="B140" s="171" t="s">
        <v>456</v>
      </c>
      <c r="C140" s="172">
        <v>48</v>
      </c>
      <c r="D140" s="172" t="s">
        <v>296</v>
      </c>
      <c r="E140" s="173">
        <v>686000</v>
      </c>
      <c r="F140" s="173">
        <f>C140*E140</f>
        <v>32928000</v>
      </c>
    </row>
    <row r="141" spans="1:12" ht="30" x14ac:dyDescent="0.25">
      <c r="A141" s="179" t="s">
        <v>65</v>
      </c>
      <c r="B141" s="179" t="s">
        <v>66</v>
      </c>
      <c r="C141" s="151" t="s">
        <v>67</v>
      </c>
      <c r="D141" s="151" t="s">
        <v>306</v>
      </c>
      <c r="E141" s="152"/>
      <c r="F141" s="153">
        <f>F143</f>
        <v>55975936425</v>
      </c>
      <c r="G141" s="153">
        <f>G143</f>
        <v>55975936425</v>
      </c>
    </row>
    <row r="142" spans="1:12" x14ac:dyDescent="0.25">
      <c r="A142" s="170"/>
      <c r="B142" s="180" t="s">
        <v>68</v>
      </c>
      <c r="C142" s="172"/>
      <c r="D142" s="172"/>
      <c r="E142" s="170"/>
      <c r="F142" s="170"/>
    </row>
    <row r="143" spans="1:12" ht="30" x14ac:dyDescent="0.25">
      <c r="A143" s="154" t="s">
        <v>69</v>
      </c>
      <c r="B143" s="154" t="s">
        <v>70</v>
      </c>
      <c r="C143" s="155" t="s">
        <v>67</v>
      </c>
      <c r="D143" s="155" t="s">
        <v>306</v>
      </c>
      <c r="E143" s="156"/>
      <c r="F143" s="157">
        <f>F144</f>
        <v>55975936425</v>
      </c>
      <c r="G143" s="157">
        <f>G144</f>
        <v>55975936425</v>
      </c>
    </row>
    <row r="144" spans="1:12" x14ac:dyDescent="0.25">
      <c r="A144" s="158" t="s">
        <v>71</v>
      </c>
      <c r="B144" s="158" t="s">
        <v>72</v>
      </c>
      <c r="C144" s="159" t="s">
        <v>11</v>
      </c>
      <c r="D144" s="159"/>
      <c r="E144" s="160"/>
      <c r="F144" s="161">
        <f>F145</f>
        <v>55975936425</v>
      </c>
      <c r="G144" s="183">
        <v>55975936425</v>
      </c>
      <c r="H144" s="183">
        <f>F144-G144</f>
        <v>0</v>
      </c>
    </row>
    <row r="145" spans="1:12" x14ac:dyDescent="0.25">
      <c r="A145" s="162" t="s">
        <v>12</v>
      </c>
      <c r="B145" s="162" t="s">
        <v>73</v>
      </c>
      <c r="C145" s="163"/>
      <c r="D145" s="163"/>
      <c r="E145" s="164"/>
      <c r="F145" s="165">
        <f>F146</f>
        <v>55975936425</v>
      </c>
    </row>
    <row r="146" spans="1:12" x14ac:dyDescent="0.25">
      <c r="A146" s="166" t="s">
        <v>74</v>
      </c>
      <c r="B146" s="166" t="s">
        <v>75</v>
      </c>
      <c r="C146" s="168"/>
      <c r="D146" s="168"/>
      <c r="E146" s="169"/>
      <c r="F146" s="167">
        <f>SUM(F147:F184)</f>
        <v>55975936425</v>
      </c>
    </row>
    <row r="147" spans="1:12" x14ac:dyDescent="0.25">
      <c r="A147" s="170"/>
      <c r="B147" s="171" t="s">
        <v>464</v>
      </c>
      <c r="C147" s="172">
        <v>720</v>
      </c>
      <c r="D147" s="172" t="s">
        <v>299</v>
      </c>
      <c r="E147" s="173">
        <v>3200000</v>
      </c>
      <c r="F147" s="173">
        <f t="shared" ref="F147:F184" si="20">C147*E147</f>
        <v>2304000000</v>
      </c>
    </row>
    <row r="148" spans="1:12" x14ac:dyDescent="0.25">
      <c r="A148" s="170"/>
      <c r="B148" s="171" t="s">
        <v>465</v>
      </c>
      <c r="C148" s="172">
        <v>720</v>
      </c>
      <c r="D148" s="172" t="s">
        <v>299</v>
      </c>
      <c r="E148" s="173">
        <v>3200000</v>
      </c>
      <c r="F148" s="173">
        <f t="shared" si="20"/>
        <v>2304000000</v>
      </c>
    </row>
    <row r="149" spans="1:12" x14ac:dyDescent="0.25">
      <c r="A149" s="170"/>
      <c r="B149" s="171" t="s">
        <v>466</v>
      </c>
      <c r="C149" s="172">
        <v>720</v>
      </c>
      <c r="D149" s="172" t="s">
        <v>299</v>
      </c>
      <c r="E149" s="173">
        <v>3100000</v>
      </c>
      <c r="F149" s="173">
        <f t="shared" si="20"/>
        <v>2232000000</v>
      </c>
    </row>
    <row r="150" spans="1:12" x14ac:dyDescent="0.25">
      <c r="A150" s="170"/>
      <c r="B150" s="171" t="s">
        <v>467</v>
      </c>
      <c r="C150" s="172">
        <v>720</v>
      </c>
      <c r="D150" s="172" t="s">
        <v>299</v>
      </c>
      <c r="E150" s="173">
        <v>3200000</v>
      </c>
      <c r="F150" s="173">
        <f t="shared" si="20"/>
        <v>2304000000</v>
      </c>
    </row>
    <row r="151" spans="1:12" x14ac:dyDescent="0.25">
      <c r="A151" s="170"/>
      <c r="B151" s="171" t="s">
        <v>468</v>
      </c>
      <c r="C151" s="172">
        <v>720</v>
      </c>
      <c r="D151" s="172" t="s">
        <v>299</v>
      </c>
      <c r="E151" s="173">
        <v>3400000</v>
      </c>
      <c r="F151" s="173">
        <f t="shared" si="20"/>
        <v>2448000000</v>
      </c>
    </row>
    <row r="152" spans="1:12" s="183" customFormat="1" x14ac:dyDescent="0.25">
      <c r="A152" s="170"/>
      <c r="B152" s="171" t="s">
        <v>469</v>
      </c>
      <c r="C152" s="172">
        <v>720</v>
      </c>
      <c r="D152" s="172" t="s">
        <v>299</v>
      </c>
      <c r="E152" s="173">
        <v>3500000</v>
      </c>
      <c r="F152" s="173">
        <f t="shared" si="20"/>
        <v>2520000000</v>
      </c>
      <c r="I152" s="137"/>
      <c r="J152" s="137"/>
      <c r="K152" s="137"/>
      <c r="L152" s="137"/>
    </row>
    <row r="153" spans="1:12" s="183" customFormat="1" x14ac:dyDescent="0.25">
      <c r="A153" s="170"/>
      <c r="B153" s="171" t="s">
        <v>470</v>
      </c>
      <c r="C153" s="172">
        <v>720</v>
      </c>
      <c r="D153" s="172" t="s">
        <v>299</v>
      </c>
      <c r="E153" s="173">
        <v>3500000</v>
      </c>
      <c r="F153" s="173">
        <f t="shared" si="20"/>
        <v>2520000000</v>
      </c>
      <c r="I153" s="137"/>
      <c r="J153" s="137"/>
      <c r="K153" s="137"/>
      <c r="L153" s="137"/>
    </row>
    <row r="154" spans="1:12" s="183" customFormat="1" x14ac:dyDescent="0.25">
      <c r="A154" s="170"/>
      <c r="B154" s="171" t="s">
        <v>471</v>
      </c>
      <c r="C154" s="172">
        <v>720</v>
      </c>
      <c r="D154" s="172" t="s">
        <v>299</v>
      </c>
      <c r="E154" s="173">
        <v>3500000</v>
      </c>
      <c r="F154" s="173">
        <f t="shared" si="20"/>
        <v>2520000000</v>
      </c>
      <c r="I154" s="137"/>
      <c r="J154" s="137"/>
      <c r="K154" s="137"/>
      <c r="L154" s="137"/>
    </row>
    <row r="155" spans="1:12" s="183" customFormat="1" x14ac:dyDescent="0.25">
      <c r="A155" s="170"/>
      <c r="B155" s="171" t="s">
        <v>472</v>
      </c>
      <c r="C155" s="172">
        <v>720</v>
      </c>
      <c r="D155" s="172" t="s">
        <v>299</v>
      </c>
      <c r="E155" s="173">
        <v>3500000</v>
      </c>
      <c r="F155" s="173">
        <f t="shared" si="20"/>
        <v>2520000000</v>
      </c>
      <c r="I155" s="137"/>
      <c r="J155" s="137"/>
      <c r="K155" s="137"/>
      <c r="L155" s="137"/>
    </row>
    <row r="156" spans="1:12" s="183" customFormat="1" x14ac:dyDescent="0.25">
      <c r="A156" s="170"/>
      <c r="B156" s="171" t="s">
        <v>473</v>
      </c>
      <c r="C156" s="172">
        <v>720</v>
      </c>
      <c r="D156" s="172" t="s">
        <v>299</v>
      </c>
      <c r="E156" s="173">
        <v>3500000</v>
      </c>
      <c r="F156" s="173">
        <f t="shared" si="20"/>
        <v>2520000000</v>
      </c>
      <c r="I156" s="137"/>
      <c r="J156" s="137"/>
      <c r="K156" s="137"/>
      <c r="L156" s="137"/>
    </row>
    <row r="157" spans="1:12" s="183" customFormat="1" x14ac:dyDescent="0.25">
      <c r="A157" s="170"/>
      <c r="B157" s="171" t="s">
        <v>474</v>
      </c>
      <c r="C157" s="172">
        <v>720</v>
      </c>
      <c r="D157" s="172" t="s">
        <v>299</v>
      </c>
      <c r="E157" s="173">
        <v>3500000</v>
      </c>
      <c r="F157" s="173">
        <f t="shared" si="20"/>
        <v>2520000000</v>
      </c>
      <c r="I157" s="137"/>
      <c r="J157" s="137"/>
      <c r="K157" s="137"/>
      <c r="L157" s="137"/>
    </row>
    <row r="158" spans="1:12" s="183" customFormat="1" x14ac:dyDescent="0.25">
      <c r="A158" s="170"/>
      <c r="B158" s="171" t="s">
        <v>475</v>
      </c>
      <c r="C158" s="172">
        <v>720</v>
      </c>
      <c r="D158" s="172" t="s">
        <v>299</v>
      </c>
      <c r="E158" s="173">
        <v>3500000</v>
      </c>
      <c r="F158" s="173">
        <f t="shared" si="20"/>
        <v>2520000000</v>
      </c>
      <c r="I158" s="137"/>
      <c r="J158" s="137"/>
      <c r="K158" s="137"/>
      <c r="L158" s="137"/>
    </row>
    <row r="159" spans="1:12" s="183" customFormat="1" x14ac:dyDescent="0.25">
      <c r="A159" s="170"/>
      <c r="B159" s="171" t="s">
        <v>476</v>
      </c>
      <c r="C159" s="172">
        <v>720</v>
      </c>
      <c r="D159" s="172" t="s">
        <v>299</v>
      </c>
      <c r="E159" s="173">
        <v>3350000</v>
      </c>
      <c r="F159" s="173">
        <f t="shared" si="20"/>
        <v>2412000000</v>
      </c>
      <c r="I159" s="137"/>
      <c r="J159" s="137"/>
      <c r="K159" s="137"/>
      <c r="L159" s="137"/>
    </row>
    <row r="160" spans="1:12" s="183" customFormat="1" x14ac:dyDescent="0.25">
      <c r="A160" s="170"/>
      <c r="B160" s="171" t="s">
        <v>477</v>
      </c>
      <c r="C160" s="172">
        <v>720</v>
      </c>
      <c r="D160" s="172" t="s">
        <v>299</v>
      </c>
      <c r="E160" s="173">
        <v>3200000</v>
      </c>
      <c r="F160" s="173">
        <f t="shared" si="20"/>
        <v>2304000000</v>
      </c>
      <c r="I160" s="137"/>
      <c r="J160" s="137"/>
      <c r="K160" s="137"/>
      <c r="L160" s="137"/>
    </row>
    <row r="161" spans="1:12" s="183" customFormat="1" x14ac:dyDescent="0.25">
      <c r="A161" s="170"/>
      <c r="B161" s="171" t="s">
        <v>459</v>
      </c>
      <c r="C161" s="172">
        <v>660</v>
      </c>
      <c r="D161" s="172" t="s">
        <v>299</v>
      </c>
      <c r="E161" s="173">
        <v>3200000</v>
      </c>
      <c r="F161" s="173">
        <f t="shared" si="20"/>
        <v>2112000000</v>
      </c>
      <c r="I161" s="137"/>
      <c r="J161" s="137"/>
      <c r="K161" s="137"/>
      <c r="L161" s="137"/>
    </row>
    <row r="162" spans="1:12" s="183" customFormat="1" x14ac:dyDescent="0.25">
      <c r="A162" s="170"/>
      <c r="B162" s="171" t="s">
        <v>460</v>
      </c>
      <c r="C162" s="172">
        <v>660</v>
      </c>
      <c r="D162" s="172" t="s">
        <v>299</v>
      </c>
      <c r="E162" s="173">
        <v>3200000</v>
      </c>
      <c r="F162" s="173">
        <f t="shared" si="20"/>
        <v>2112000000</v>
      </c>
      <c r="I162" s="137"/>
      <c r="J162" s="137"/>
      <c r="K162" s="137"/>
      <c r="L162" s="137"/>
    </row>
    <row r="163" spans="1:12" s="183" customFormat="1" x14ac:dyDescent="0.25">
      <c r="A163" s="170"/>
      <c r="B163" s="171" t="s">
        <v>461</v>
      </c>
      <c r="C163" s="172">
        <v>660</v>
      </c>
      <c r="D163" s="172" t="s">
        <v>299</v>
      </c>
      <c r="E163" s="173">
        <v>3200000</v>
      </c>
      <c r="F163" s="173">
        <f t="shared" si="20"/>
        <v>2112000000</v>
      </c>
      <c r="I163" s="137"/>
      <c r="J163" s="137"/>
      <c r="K163" s="137"/>
      <c r="L163" s="137"/>
    </row>
    <row r="164" spans="1:12" s="183" customFormat="1" x14ac:dyDescent="0.25">
      <c r="A164" s="170"/>
      <c r="B164" s="171" t="s">
        <v>462</v>
      </c>
      <c r="C164" s="172">
        <v>600</v>
      </c>
      <c r="D164" s="172" t="s">
        <v>299</v>
      </c>
      <c r="E164" s="173">
        <v>3904000</v>
      </c>
      <c r="F164" s="173">
        <f t="shared" si="20"/>
        <v>2342400000</v>
      </c>
      <c r="I164" s="137"/>
      <c r="J164" s="137"/>
      <c r="K164" s="137"/>
      <c r="L164" s="137"/>
    </row>
    <row r="165" spans="1:12" s="183" customFormat="1" x14ac:dyDescent="0.25">
      <c r="A165" s="170"/>
      <c r="B165" s="177" t="s">
        <v>190</v>
      </c>
      <c r="C165" s="172">
        <v>156</v>
      </c>
      <c r="D165" s="172" t="s">
        <v>299</v>
      </c>
      <c r="E165" s="173">
        <v>4200000</v>
      </c>
      <c r="F165" s="173">
        <f t="shared" si="20"/>
        <v>655200000</v>
      </c>
      <c r="I165" s="137"/>
      <c r="J165" s="137"/>
      <c r="K165" s="137"/>
      <c r="L165" s="137"/>
    </row>
    <row r="166" spans="1:12" s="183" customFormat="1" x14ac:dyDescent="0.25">
      <c r="A166" s="170"/>
      <c r="B166" s="177" t="s">
        <v>191</v>
      </c>
      <c r="C166" s="172">
        <v>144</v>
      </c>
      <c r="D166" s="172" t="s">
        <v>299</v>
      </c>
      <c r="E166" s="173">
        <v>3900000</v>
      </c>
      <c r="F166" s="173">
        <f t="shared" si="20"/>
        <v>561600000</v>
      </c>
      <c r="I166" s="137"/>
      <c r="J166" s="137"/>
      <c r="K166" s="137"/>
      <c r="L166" s="137"/>
    </row>
    <row r="167" spans="1:12" s="183" customFormat="1" x14ac:dyDescent="0.25">
      <c r="A167" s="170"/>
      <c r="B167" s="177" t="s">
        <v>192</v>
      </c>
      <c r="C167" s="172">
        <v>216</v>
      </c>
      <c r="D167" s="172" t="s">
        <v>299</v>
      </c>
      <c r="E167" s="173">
        <v>3800000</v>
      </c>
      <c r="F167" s="173">
        <f t="shared" si="20"/>
        <v>820800000</v>
      </c>
      <c r="I167" s="137"/>
      <c r="J167" s="137"/>
      <c r="K167" s="137"/>
      <c r="L167" s="137"/>
    </row>
    <row r="168" spans="1:12" s="183" customFormat="1" x14ac:dyDescent="0.25">
      <c r="A168" s="170"/>
      <c r="B168" s="177" t="s">
        <v>193</v>
      </c>
      <c r="C168" s="172">
        <v>24</v>
      </c>
      <c r="D168" s="172" t="s">
        <v>299</v>
      </c>
      <c r="E168" s="173">
        <v>3450000</v>
      </c>
      <c r="F168" s="173">
        <f t="shared" si="20"/>
        <v>82800000</v>
      </c>
      <c r="I168" s="137"/>
      <c r="J168" s="137"/>
      <c r="K168" s="137"/>
      <c r="L168" s="137"/>
    </row>
    <row r="169" spans="1:12" s="183" customFormat="1" x14ac:dyDescent="0.25">
      <c r="A169" s="170"/>
      <c r="B169" s="177" t="s">
        <v>194</v>
      </c>
      <c r="C169" s="172">
        <v>36</v>
      </c>
      <c r="D169" s="172" t="s">
        <v>299</v>
      </c>
      <c r="E169" s="173">
        <v>3400000</v>
      </c>
      <c r="F169" s="173">
        <f t="shared" si="20"/>
        <v>122400000</v>
      </c>
      <c r="I169" s="137"/>
      <c r="J169" s="137"/>
      <c r="K169" s="137"/>
      <c r="L169" s="137"/>
    </row>
    <row r="170" spans="1:12" s="183" customFormat="1" x14ac:dyDescent="0.25">
      <c r="A170" s="170"/>
      <c r="B170" s="177" t="s">
        <v>195</v>
      </c>
      <c r="C170" s="172">
        <v>48</v>
      </c>
      <c r="D170" s="172" t="s">
        <v>299</v>
      </c>
      <c r="E170" s="173">
        <v>4300000</v>
      </c>
      <c r="F170" s="173">
        <f t="shared" si="20"/>
        <v>206400000</v>
      </c>
      <c r="I170" s="137"/>
      <c r="J170" s="137"/>
      <c r="K170" s="137"/>
      <c r="L170" s="137"/>
    </row>
    <row r="171" spans="1:12" s="183" customFormat="1" x14ac:dyDescent="0.25">
      <c r="A171" s="170"/>
      <c r="B171" s="177" t="s">
        <v>196</v>
      </c>
      <c r="C171" s="172">
        <v>48</v>
      </c>
      <c r="D171" s="172" t="s">
        <v>299</v>
      </c>
      <c r="E171" s="173">
        <v>3921000</v>
      </c>
      <c r="F171" s="173">
        <f t="shared" si="20"/>
        <v>188208000</v>
      </c>
      <c r="I171" s="137"/>
      <c r="J171" s="137"/>
      <c r="K171" s="137"/>
      <c r="L171" s="137"/>
    </row>
    <row r="172" spans="1:12" s="183" customFormat="1" x14ac:dyDescent="0.25">
      <c r="A172" s="170"/>
      <c r="B172" s="177" t="s">
        <v>197</v>
      </c>
      <c r="C172" s="172">
        <v>36</v>
      </c>
      <c r="D172" s="172" t="s">
        <v>299</v>
      </c>
      <c r="E172" s="173">
        <v>3500000</v>
      </c>
      <c r="F172" s="173">
        <f t="shared" si="20"/>
        <v>126000000</v>
      </c>
      <c r="I172" s="137"/>
      <c r="J172" s="137"/>
      <c r="K172" s="137"/>
      <c r="L172" s="137"/>
    </row>
    <row r="173" spans="1:12" s="183" customFormat="1" x14ac:dyDescent="0.25">
      <c r="A173" s="170"/>
      <c r="B173" s="177" t="s">
        <v>198</v>
      </c>
      <c r="C173" s="172">
        <v>24</v>
      </c>
      <c r="D173" s="172" t="s">
        <v>299</v>
      </c>
      <c r="E173" s="173">
        <v>3992000</v>
      </c>
      <c r="F173" s="173">
        <f t="shared" si="20"/>
        <v>95808000</v>
      </c>
      <c r="I173" s="137"/>
      <c r="J173" s="137"/>
      <c r="K173" s="137"/>
      <c r="L173" s="137"/>
    </row>
    <row r="174" spans="1:12" s="183" customFormat="1" x14ac:dyDescent="0.25">
      <c r="A174" s="170"/>
      <c r="B174" s="171" t="s">
        <v>463</v>
      </c>
      <c r="C174" s="172">
        <v>600</v>
      </c>
      <c r="D174" s="172" t="s">
        <v>299</v>
      </c>
      <c r="E174" s="173">
        <v>8205000</v>
      </c>
      <c r="F174" s="173">
        <f t="shared" si="20"/>
        <v>4923000000</v>
      </c>
      <c r="I174" s="137"/>
      <c r="J174" s="137"/>
      <c r="K174" s="137"/>
      <c r="L174" s="137"/>
    </row>
    <row r="175" spans="1:12" s="183" customFormat="1" x14ac:dyDescent="0.25">
      <c r="A175" s="170"/>
      <c r="B175" s="177" t="s">
        <v>200</v>
      </c>
      <c r="C175" s="172">
        <v>156</v>
      </c>
      <c r="D175" s="172" t="s">
        <v>299</v>
      </c>
      <c r="E175" s="173">
        <v>8220000</v>
      </c>
      <c r="F175" s="173">
        <f t="shared" si="20"/>
        <v>1282320000</v>
      </c>
      <c r="I175" s="137"/>
      <c r="J175" s="137"/>
      <c r="K175" s="137"/>
      <c r="L175" s="137"/>
    </row>
    <row r="176" spans="1:12" s="183" customFormat="1" x14ac:dyDescent="0.25">
      <c r="A176" s="170"/>
      <c r="B176" s="177" t="s">
        <v>201</v>
      </c>
      <c r="C176" s="172">
        <v>144</v>
      </c>
      <c r="D176" s="172" t="s">
        <v>299</v>
      </c>
      <c r="E176" s="173">
        <v>7648000</v>
      </c>
      <c r="F176" s="173">
        <f t="shared" si="20"/>
        <v>1101312000</v>
      </c>
      <c r="I176" s="137"/>
      <c r="J176" s="137"/>
      <c r="K176" s="137"/>
      <c r="L176" s="137"/>
    </row>
    <row r="177" spans="1:12" s="183" customFormat="1" x14ac:dyDescent="0.25">
      <c r="A177" s="170"/>
      <c r="B177" s="177" t="s">
        <v>202</v>
      </c>
      <c r="C177" s="172">
        <v>216</v>
      </c>
      <c r="D177" s="172" t="s">
        <v>299</v>
      </c>
      <c r="E177" s="173">
        <v>7528000</v>
      </c>
      <c r="F177" s="173">
        <f t="shared" si="20"/>
        <v>1626048000</v>
      </c>
      <c r="I177" s="137"/>
      <c r="J177" s="137"/>
      <c r="K177" s="137"/>
      <c r="L177" s="137"/>
    </row>
    <row r="178" spans="1:12" s="183" customFormat="1" x14ac:dyDescent="0.25">
      <c r="A178" s="170"/>
      <c r="B178" s="177" t="s">
        <v>203</v>
      </c>
      <c r="C178" s="172">
        <v>24</v>
      </c>
      <c r="D178" s="172" t="s">
        <v>299</v>
      </c>
      <c r="E178" s="173">
        <v>6929000</v>
      </c>
      <c r="F178" s="173">
        <f t="shared" si="20"/>
        <v>166296000</v>
      </c>
      <c r="I178" s="137"/>
      <c r="J178" s="137"/>
      <c r="K178" s="137"/>
      <c r="L178" s="137"/>
    </row>
    <row r="179" spans="1:12" s="183" customFormat="1" x14ac:dyDescent="0.25">
      <c r="A179" s="170"/>
      <c r="B179" s="177" t="s">
        <v>204</v>
      </c>
      <c r="C179" s="172">
        <v>36</v>
      </c>
      <c r="D179" s="172" t="s">
        <v>299</v>
      </c>
      <c r="E179" s="173">
        <v>6985000</v>
      </c>
      <c r="F179" s="173">
        <f t="shared" si="20"/>
        <v>251460000</v>
      </c>
      <c r="I179" s="137"/>
      <c r="J179" s="137"/>
      <c r="K179" s="137"/>
      <c r="L179" s="137"/>
    </row>
    <row r="180" spans="1:12" s="183" customFormat="1" x14ac:dyDescent="0.25">
      <c r="A180" s="170"/>
      <c r="B180" s="177" t="s">
        <v>205</v>
      </c>
      <c r="C180" s="172">
        <v>48</v>
      </c>
      <c r="D180" s="172" t="s">
        <v>299</v>
      </c>
      <c r="E180" s="173">
        <v>9817000</v>
      </c>
      <c r="F180" s="173">
        <f t="shared" si="20"/>
        <v>471216000</v>
      </c>
      <c r="I180" s="137"/>
      <c r="J180" s="137"/>
      <c r="K180" s="137"/>
      <c r="L180" s="137"/>
    </row>
    <row r="181" spans="1:12" s="183" customFormat="1" x14ac:dyDescent="0.25">
      <c r="A181" s="170"/>
      <c r="B181" s="177" t="s">
        <v>206</v>
      </c>
      <c r="C181" s="172">
        <v>48</v>
      </c>
      <c r="D181" s="172" t="s">
        <v>299</v>
      </c>
      <c r="E181" s="173">
        <v>8842000</v>
      </c>
      <c r="F181" s="173">
        <f t="shared" si="20"/>
        <v>424416000</v>
      </c>
      <c r="I181" s="137"/>
      <c r="J181" s="137"/>
      <c r="K181" s="137"/>
      <c r="L181" s="137"/>
    </row>
    <row r="182" spans="1:12" s="183" customFormat="1" x14ac:dyDescent="0.25">
      <c r="A182" s="170"/>
      <c r="B182" s="171" t="s">
        <v>478</v>
      </c>
      <c r="C182" s="172">
        <v>24</v>
      </c>
      <c r="D182" s="172" t="s">
        <v>299</v>
      </c>
      <c r="E182" s="173">
        <v>7528000</v>
      </c>
      <c r="F182" s="173">
        <f t="shared" si="20"/>
        <v>180672000</v>
      </c>
      <c r="I182" s="137"/>
      <c r="J182" s="137"/>
      <c r="K182" s="137"/>
      <c r="L182" s="137"/>
    </row>
    <row r="183" spans="1:12" s="183" customFormat="1" x14ac:dyDescent="0.25">
      <c r="A183" s="170"/>
      <c r="B183" s="171" t="s">
        <v>479</v>
      </c>
      <c r="C183" s="172">
        <v>8</v>
      </c>
      <c r="D183" s="172" t="s">
        <v>299</v>
      </c>
      <c r="E183" s="173">
        <v>7208000</v>
      </c>
      <c r="F183" s="173">
        <f t="shared" si="20"/>
        <v>57664000</v>
      </c>
      <c r="I183" s="137"/>
      <c r="J183" s="137"/>
      <c r="K183" s="137"/>
      <c r="L183" s="137"/>
    </row>
    <row r="184" spans="1:12" x14ac:dyDescent="0.25">
      <c r="A184" s="170"/>
      <c r="B184" s="171" t="s">
        <v>411</v>
      </c>
      <c r="C184" s="172">
        <v>1</v>
      </c>
      <c r="D184" s="172" t="s">
        <v>299</v>
      </c>
      <c r="E184" s="173">
        <v>5916425</v>
      </c>
      <c r="F184" s="173">
        <f t="shared" si="20"/>
        <v>5916425</v>
      </c>
    </row>
    <row r="185" spans="1:12" x14ac:dyDescent="0.25">
      <c r="A185" s="181" t="s">
        <v>76</v>
      </c>
      <c r="B185" s="181" t="s">
        <v>77</v>
      </c>
      <c r="C185" s="143"/>
      <c r="D185" s="143"/>
      <c r="E185" s="144"/>
      <c r="F185" s="145">
        <f>F186</f>
        <v>184289000</v>
      </c>
      <c r="G185" s="145">
        <f>G186</f>
        <v>184289000</v>
      </c>
    </row>
    <row r="186" spans="1:12" x14ac:dyDescent="0.25">
      <c r="A186" s="182" t="s">
        <v>78</v>
      </c>
      <c r="B186" s="182" t="s">
        <v>79</v>
      </c>
      <c r="C186" s="147"/>
      <c r="D186" s="147"/>
      <c r="E186" s="148"/>
      <c r="F186" s="149">
        <f>F187</f>
        <v>184289000</v>
      </c>
      <c r="G186" s="149">
        <f>G187</f>
        <v>184289000</v>
      </c>
    </row>
    <row r="187" spans="1:12" s="36" customFormat="1" ht="30" x14ac:dyDescent="0.25">
      <c r="A187" s="87" t="s">
        <v>145</v>
      </c>
      <c r="B187" s="87" t="s">
        <v>146</v>
      </c>
      <c r="C187" s="55">
        <v>1</v>
      </c>
      <c r="D187" s="55" t="s">
        <v>315</v>
      </c>
      <c r="E187" s="56"/>
      <c r="F187" s="57">
        <f>F189</f>
        <v>184289000</v>
      </c>
      <c r="G187" s="194">
        <v>184289000</v>
      </c>
      <c r="H187" s="194"/>
    </row>
    <row r="188" spans="1:12" s="36" customFormat="1" x14ac:dyDescent="0.25">
      <c r="A188" s="74"/>
      <c r="B188" s="79" t="s">
        <v>68</v>
      </c>
      <c r="C188" s="76"/>
      <c r="D188" s="76"/>
      <c r="E188" s="74"/>
      <c r="F188" s="74"/>
      <c r="G188" s="194"/>
      <c r="H188" s="194"/>
    </row>
    <row r="189" spans="1:12" s="36" customFormat="1" x14ac:dyDescent="0.25">
      <c r="A189" s="58" t="s">
        <v>147</v>
      </c>
      <c r="B189" s="58" t="s">
        <v>148</v>
      </c>
      <c r="C189" s="59">
        <v>1</v>
      </c>
      <c r="D189" s="59" t="s">
        <v>316</v>
      </c>
      <c r="E189" s="60"/>
      <c r="F189" s="61">
        <f>F190</f>
        <v>184289000</v>
      </c>
      <c r="G189" s="194"/>
      <c r="H189" s="194"/>
    </row>
    <row r="190" spans="1:12" s="36" customFormat="1" x14ac:dyDescent="0.25">
      <c r="A190" s="191" t="s">
        <v>9</v>
      </c>
      <c r="B190" s="100" t="s">
        <v>425</v>
      </c>
      <c r="C190" s="101" t="s">
        <v>11</v>
      </c>
      <c r="D190" s="101"/>
      <c r="E190" s="52"/>
      <c r="F190" s="102">
        <f>F191</f>
        <v>184289000</v>
      </c>
      <c r="G190" s="194"/>
      <c r="H190" s="194"/>
    </row>
    <row r="191" spans="1:12" s="36" customFormat="1" x14ac:dyDescent="0.25">
      <c r="A191" s="66" t="s">
        <v>12</v>
      </c>
      <c r="B191" s="66" t="s">
        <v>425</v>
      </c>
      <c r="C191" s="67"/>
      <c r="D191" s="67"/>
      <c r="E191" s="68"/>
      <c r="F191" s="69">
        <f>F192</f>
        <v>184289000</v>
      </c>
      <c r="G191" s="194"/>
      <c r="H191" s="194"/>
    </row>
    <row r="192" spans="1:12" s="36" customFormat="1" x14ac:dyDescent="0.25">
      <c r="A192" s="70" t="s">
        <v>152</v>
      </c>
      <c r="B192" s="70" t="s">
        <v>153</v>
      </c>
      <c r="C192" s="71"/>
      <c r="D192" s="71"/>
      <c r="E192" s="72"/>
      <c r="F192" s="103">
        <f>SUM(F193:F193)</f>
        <v>184289000</v>
      </c>
      <c r="G192" s="194"/>
      <c r="H192" s="194"/>
    </row>
    <row r="193" spans="1:8" s="36" customFormat="1" x14ac:dyDescent="0.25">
      <c r="A193" s="74"/>
      <c r="B193" s="75" t="s">
        <v>343</v>
      </c>
      <c r="C193" s="76">
        <v>1</v>
      </c>
      <c r="D193" s="76" t="s">
        <v>300</v>
      </c>
      <c r="E193" s="77">
        <v>184289000</v>
      </c>
      <c r="F193" s="77">
        <f>C193*E193</f>
        <v>184289000</v>
      </c>
      <c r="G193" s="194"/>
      <c r="H193" s="194"/>
    </row>
    <row r="194" spans="1:8" ht="12.95" customHeight="1" x14ac:dyDescent="0.25">
      <c r="A194" s="184"/>
      <c r="B194" s="184"/>
      <c r="C194" s="185"/>
      <c r="D194" s="185"/>
      <c r="E194" s="184"/>
      <c r="F194" s="186"/>
    </row>
    <row r="195" spans="1:8" ht="12.95" customHeight="1" x14ac:dyDescent="0.25">
      <c r="A195" s="184"/>
      <c r="B195" s="187"/>
      <c r="C195" s="185"/>
      <c r="D195" s="185"/>
      <c r="E195" s="184"/>
      <c r="F195" s="188"/>
    </row>
    <row r="196" spans="1:8" ht="12.95" customHeight="1" x14ac:dyDescent="0.25">
      <c r="A196" s="184"/>
      <c r="B196" s="187"/>
      <c r="C196" s="185"/>
      <c r="D196" s="185"/>
      <c r="E196" s="184"/>
      <c r="F196" s="186"/>
    </row>
    <row r="197" spans="1:8" ht="12.95" customHeight="1" x14ac:dyDescent="0.25">
      <c r="A197" s="184"/>
      <c r="B197" s="187"/>
      <c r="C197" s="185"/>
      <c r="D197" s="185"/>
      <c r="E197" s="184"/>
      <c r="F197" s="186"/>
    </row>
    <row r="198" spans="1:8" ht="12.95" customHeight="1" x14ac:dyDescent="0.25">
      <c r="A198" s="184"/>
      <c r="B198" s="184"/>
      <c r="C198" s="185"/>
      <c r="D198" s="185"/>
      <c r="E198" s="184"/>
      <c r="F198" s="189"/>
    </row>
    <row r="199" spans="1:8" s="138" customFormat="1" ht="12.95" customHeight="1" x14ac:dyDescent="0.25">
      <c r="A199" s="184"/>
      <c r="B199" s="184"/>
      <c r="C199" s="185"/>
      <c r="D199" s="185"/>
      <c r="E199" s="184"/>
      <c r="F199" s="186"/>
      <c r="G199" s="183"/>
      <c r="H199" s="183"/>
    </row>
  </sheetData>
  <autoFilter ref="A19:B186" xr:uid="{3672E4ED-D1AC-4CAC-ABB6-F68B3F342D3D}"/>
  <mergeCells count="9">
    <mergeCell ref="D18:D19"/>
    <mergeCell ref="E18:E19"/>
    <mergeCell ref="F18:F19"/>
    <mergeCell ref="A1:F1"/>
    <mergeCell ref="C16:F16"/>
    <mergeCell ref="A17:B17"/>
    <mergeCell ref="A18:A19"/>
    <mergeCell ref="B18:B19"/>
    <mergeCell ref="C18:C19"/>
  </mergeCells>
  <pageMargins left="0" right="0" top="0" bottom="0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01E2-259F-46C4-B1D5-82FD2A5182FF}">
  <sheetPr>
    <outlinePr summaryBelow="0"/>
    <pageSetUpPr fitToPage="1"/>
  </sheetPr>
  <dimension ref="A1:J317"/>
  <sheetViews>
    <sheetView zoomScaleNormal="100" workbookViewId="0">
      <pane xSplit="2" ySplit="16" topLeftCell="C41" activePane="bottomRight" state="frozen"/>
      <selection activeCell="F43" sqref="F43"/>
      <selection pane="topRight" activeCell="F43" sqref="F43"/>
      <selection pane="bottomLeft" activeCell="F43" sqref="F43"/>
      <selection pane="bottomRight" activeCell="F43" sqref="F43"/>
    </sheetView>
  </sheetViews>
  <sheetFormatPr defaultColWidth="9.140625" defaultRowHeight="15" x14ac:dyDescent="0.25"/>
  <cols>
    <col min="1" max="1" width="26.5703125" style="197" customWidth="1"/>
    <col min="2" max="2" width="90.85546875" style="197" customWidth="1"/>
    <col min="3" max="4" width="9.85546875" style="199" customWidth="1"/>
    <col min="5" max="5" width="12.28515625" style="197" customWidth="1"/>
    <col min="6" max="6" width="15.140625" style="197" customWidth="1"/>
    <col min="7" max="16384" width="9.140625" style="197"/>
  </cols>
  <sheetData>
    <row r="1" spans="1:6" x14ac:dyDescent="0.25">
      <c r="A1" s="412" t="s">
        <v>498</v>
      </c>
      <c r="B1" s="412"/>
      <c r="C1" s="412"/>
      <c r="D1" s="412"/>
      <c r="E1" s="412"/>
      <c r="F1" s="412"/>
    </row>
    <row r="3" spans="1:6" ht="15.75" x14ac:dyDescent="0.3">
      <c r="A3" s="196" t="s">
        <v>480</v>
      </c>
      <c r="B3" s="208" t="s">
        <v>489</v>
      </c>
      <c r="C3" s="208"/>
    </row>
    <row r="4" spans="1:6" ht="15.75" x14ac:dyDescent="0.3">
      <c r="A4" s="196" t="s">
        <v>481</v>
      </c>
      <c r="B4" s="208" t="s">
        <v>490</v>
      </c>
      <c r="C4" s="208"/>
    </row>
    <row r="5" spans="1:6" ht="15.75" x14ac:dyDescent="0.3">
      <c r="A5" s="196" t="s">
        <v>482</v>
      </c>
      <c r="B5" s="208" t="s">
        <v>491</v>
      </c>
      <c r="C5" s="208"/>
    </row>
    <row r="6" spans="1:6" ht="15.75" x14ac:dyDescent="0.3">
      <c r="A6" s="196" t="s">
        <v>483</v>
      </c>
      <c r="B6" s="208" t="s">
        <v>492</v>
      </c>
      <c r="C6" s="208"/>
    </row>
    <row r="7" spans="1:6" ht="15.75" x14ac:dyDescent="0.3">
      <c r="A7" s="196" t="s">
        <v>484</v>
      </c>
      <c r="B7" s="208" t="s">
        <v>493</v>
      </c>
      <c r="C7" s="208"/>
    </row>
    <row r="8" spans="1:6" ht="15.75" x14ac:dyDescent="0.3">
      <c r="A8" s="196" t="s">
        <v>485</v>
      </c>
      <c r="B8" s="208" t="s">
        <v>494</v>
      </c>
      <c r="C8" s="208"/>
    </row>
    <row r="9" spans="1:6" ht="15.75" x14ac:dyDescent="0.3">
      <c r="A9" s="196" t="s">
        <v>486</v>
      </c>
      <c r="B9" s="208" t="s">
        <v>495</v>
      </c>
      <c r="C9" s="208"/>
    </row>
    <row r="10" spans="1:6" ht="15.75" x14ac:dyDescent="0.3">
      <c r="A10" s="196"/>
      <c r="B10" s="208" t="s">
        <v>496</v>
      </c>
      <c r="C10" s="208"/>
    </row>
    <row r="11" spans="1:6" ht="15.75" x14ac:dyDescent="0.3">
      <c r="A11" s="196" t="s">
        <v>320</v>
      </c>
      <c r="B11" s="208" t="s">
        <v>625</v>
      </c>
      <c r="C11" s="208"/>
    </row>
    <row r="12" spans="1:6" ht="15.75" x14ac:dyDescent="0.3">
      <c r="A12" s="196" t="s">
        <v>487</v>
      </c>
      <c r="B12" s="208" t="s">
        <v>497</v>
      </c>
      <c r="C12" s="208"/>
    </row>
    <row r="13" spans="1:6" ht="15.75" x14ac:dyDescent="0.3">
      <c r="A13" s="196" t="s">
        <v>488</v>
      </c>
      <c r="B13" s="208" t="s">
        <v>589</v>
      </c>
      <c r="C13" s="208"/>
    </row>
    <row r="15" spans="1:6" s="200" customFormat="1" ht="33" customHeight="1" x14ac:dyDescent="0.25">
      <c r="A15" s="413" t="s">
        <v>318</v>
      </c>
      <c r="B15" s="413" t="s">
        <v>319</v>
      </c>
      <c r="C15" s="413" t="s">
        <v>320</v>
      </c>
      <c r="D15" s="413" t="s">
        <v>321</v>
      </c>
      <c r="E15" s="410" t="s">
        <v>322</v>
      </c>
      <c r="F15" s="410" t="s">
        <v>323</v>
      </c>
    </row>
    <row r="16" spans="1:6" s="200" customFormat="1" x14ac:dyDescent="0.25">
      <c r="A16" s="414"/>
      <c r="B16" s="414"/>
      <c r="C16" s="414"/>
      <c r="D16" s="414"/>
      <c r="E16" s="411"/>
      <c r="F16" s="411"/>
    </row>
    <row r="17" spans="1:10" ht="30" x14ac:dyDescent="0.25">
      <c r="A17" s="154" t="s">
        <v>7</v>
      </c>
      <c r="B17" s="154" t="s">
        <v>8</v>
      </c>
      <c r="C17" s="155"/>
      <c r="D17" s="155"/>
      <c r="E17" s="156"/>
      <c r="F17" s="157">
        <v>6200373000</v>
      </c>
    </row>
    <row r="18" spans="1:10" x14ac:dyDescent="0.25">
      <c r="A18" s="158" t="s">
        <v>9</v>
      </c>
      <c r="B18" s="158" t="s">
        <v>10</v>
      </c>
      <c r="C18" s="159" t="s">
        <v>11</v>
      </c>
      <c r="D18" s="159"/>
      <c r="E18" s="160"/>
      <c r="F18" s="161">
        <v>527592000</v>
      </c>
    </row>
    <row r="19" spans="1:10" x14ac:dyDescent="0.25">
      <c r="A19" s="162" t="s">
        <v>12</v>
      </c>
      <c r="B19" s="162" t="s">
        <v>13</v>
      </c>
      <c r="C19" s="163"/>
      <c r="D19" s="163"/>
      <c r="E19" s="164"/>
      <c r="F19" s="165">
        <v>527592000</v>
      </c>
    </row>
    <row r="20" spans="1:10" x14ac:dyDescent="0.25">
      <c r="A20" s="166" t="s">
        <v>22</v>
      </c>
      <c r="B20" s="166" t="s">
        <v>23</v>
      </c>
      <c r="C20" s="168"/>
      <c r="D20" s="168"/>
      <c r="E20" s="169"/>
      <c r="F20" s="167">
        <v>71420000</v>
      </c>
    </row>
    <row r="21" spans="1:10" x14ac:dyDescent="0.25">
      <c r="A21" s="170"/>
      <c r="B21" s="171" t="s">
        <v>521</v>
      </c>
      <c r="C21" s="172">
        <v>750</v>
      </c>
      <c r="D21" s="172" t="s">
        <v>296</v>
      </c>
      <c r="E21" s="173">
        <v>57000</v>
      </c>
      <c r="F21" s="173">
        <v>42750000</v>
      </c>
    </row>
    <row r="22" spans="1:10" x14ac:dyDescent="0.25">
      <c r="A22" s="170"/>
      <c r="B22" s="171" t="s">
        <v>522</v>
      </c>
      <c r="C22" s="172">
        <v>750</v>
      </c>
      <c r="D22" s="172" t="s">
        <v>296</v>
      </c>
      <c r="E22" s="173">
        <v>24000</v>
      </c>
      <c r="F22" s="173">
        <v>18000000</v>
      </c>
    </row>
    <row r="23" spans="1:10" x14ac:dyDescent="0.25">
      <c r="A23" s="170"/>
      <c r="B23" s="174" t="s">
        <v>344</v>
      </c>
      <c r="C23" s="172">
        <v>1</v>
      </c>
      <c r="D23" s="172" t="s">
        <v>298</v>
      </c>
      <c r="E23" s="173">
        <v>670000</v>
      </c>
      <c r="F23" s="173">
        <v>670000</v>
      </c>
    </row>
    <row r="24" spans="1:10" x14ac:dyDescent="0.25">
      <c r="A24" s="170"/>
      <c r="B24" s="174" t="s">
        <v>345</v>
      </c>
      <c r="C24" s="172">
        <v>5</v>
      </c>
      <c r="D24" s="172" t="s">
        <v>298</v>
      </c>
      <c r="E24" s="173">
        <v>1000000</v>
      </c>
      <c r="F24" s="173">
        <v>5000000</v>
      </c>
    </row>
    <row r="25" spans="1:10" x14ac:dyDescent="0.25">
      <c r="A25" s="170"/>
      <c r="B25" s="174" t="s">
        <v>346</v>
      </c>
      <c r="C25" s="172">
        <v>5</v>
      </c>
      <c r="D25" s="172" t="s">
        <v>298</v>
      </c>
      <c r="E25" s="173">
        <v>1000000</v>
      </c>
      <c r="F25" s="173">
        <v>5000000</v>
      </c>
    </row>
    <row r="26" spans="1:10" x14ac:dyDescent="0.25">
      <c r="A26" s="166" t="s">
        <v>14</v>
      </c>
      <c r="B26" s="166" t="s">
        <v>15</v>
      </c>
      <c r="C26" s="168"/>
      <c r="D26" s="168"/>
      <c r="E26" s="169"/>
      <c r="F26" s="167">
        <v>23750000</v>
      </c>
    </row>
    <row r="27" spans="1:10" ht="14.25" customHeight="1" x14ac:dyDescent="0.25">
      <c r="A27" s="170"/>
      <c r="B27" s="176" t="s">
        <v>512</v>
      </c>
      <c r="C27" s="172">
        <v>5</v>
      </c>
      <c r="D27" s="172" t="s">
        <v>296</v>
      </c>
      <c r="E27" s="173">
        <v>450000</v>
      </c>
      <c r="F27" s="173">
        <v>2250000</v>
      </c>
    </row>
    <row r="28" spans="1:10" s="198" customFormat="1" ht="30" x14ac:dyDescent="0.25">
      <c r="A28" s="170"/>
      <c r="B28" s="176" t="s">
        <v>513</v>
      </c>
      <c r="C28" s="172">
        <v>5</v>
      </c>
      <c r="D28" s="172" t="s">
        <v>296</v>
      </c>
      <c r="E28" s="173">
        <v>400000</v>
      </c>
      <c r="F28" s="173">
        <v>2000000</v>
      </c>
      <c r="G28" s="197"/>
      <c r="H28" s="197"/>
      <c r="I28" s="197"/>
      <c r="J28" s="197"/>
    </row>
    <row r="29" spans="1:10" s="198" customFormat="1" ht="18" customHeight="1" x14ac:dyDescent="0.25">
      <c r="A29" s="170"/>
      <c r="B29" s="176" t="s">
        <v>514</v>
      </c>
      <c r="C29" s="172">
        <v>5</v>
      </c>
      <c r="D29" s="172" t="s">
        <v>296</v>
      </c>
      <c r="E29" s="173">
        <v>300000</v>
      </c>
      <c r="F29" s="173">
        <v>1500000</v>
      </c>
      <c r="G29" s="197"/>
      <c r="H29" s="197"/>
      <c r="I29" s="197"/>
      <c r="J29" s="197"/>
    </row>
    <row r="30" spans="1:10" s="198" customFormat="1" ht="18" customHeight="1" x14ac:dyDescent="0.25">
      <c r="A30" s="170"/>
      <c r="B30" s="176" t="s">
        <v>524</v>
      </c>
      <c r="C30" s="172">
        <v>60</v>
      </c>
      <c r="D30" s="172" t="s">
        <v>296</v>
      </c>
      <c r="E30" s="173">
        <v>300000</v>
      </c>
      <c r="F30" s="173">
        <v>18000000</v>
      </c>
      <c r="G30" s="197"/>
      <c r="H30" s="197"/>
      <c r="I30" s="197"/>
      <c r="J30" s="197"/>
    </row>
    <row r="31" spans="1:10" s="198" customFormat="1" ht="18" customHeight="1" x14ac:dyDescent="0.25">
      <c r="A31" s="166" t="s">
        <v>16</v>
      </c>
      <c r="B31" s="166" t="s">
        <v>17</v>
      </c>
      <c r="C31" s="168"/>
      <c r="D31" s="168"/>
      <c r="E31" s="169"/>
      <c r="F31" s="167">
        <v>70500000</v>
      </c>
      <c r="G31" s="197"/>
      <c r="H31" s="197"/>
      <c r="I31" s="197"/>
      <c r="J31" s="197"/>
    </row>
    <row r="32" spans="1:10" s="198" customFormat="1" ht="18" customHeight="1" x14ac:dyDescent="0.25">
      <c r="A32" s="170"/>
      <c r="B32" s="171" t="s">
        <v>515</v>
      </c>
      <c r="C32" s="172">
        <v>60</v>
      </c>
      <c r="D32" s="172" t="s">
        <v>297</v>
      </c>
      <c r="E32" s="173">
        <v>1000000</v>
      </c>
      <c r="F32" s="173">
        <v>60000000</v>
      </c>
      <c r="G32" s="197"/>
      <c r="H32" s="197"/>
      <c r="I32" s="197"/>
      <c r="J32" s="197"/>
    </row>
    <row r="33" spans="1:10" s="198" customFormat="1" x14ac:dyDescent="0.25">
      <c r="A33" s="170"/>
      <c r="B33" s="171" t="s">
        <v>523</v>
      </c>
      <c r="C33" s="172">
        <v>15</v>
      </c>
      <c r="D33" s="172" t="s">
        <v>347</v>
      </c>
      <c r="E33" s="173">
        <v>700000</v>
      </c>
      <c r="F33" s="173">
        <v>10500000</v>
      </c>
      <c r="G33" s="197"/>
      <c r="H33" s="197"/>
      <c r="I33" s="197"/>
      <c r="J33" s="197"/>
    </row>
    <row r="34" spans="1:10" s="198" customFormat="1" ht="18" customHeight="1" x14ac:dyDescent="0.25">
      <c r="A34" s="166" t="s">
        <v>28</v>
      </c>
      <c r="B34" s="166" t="s">
        <v>29</v>
      </c>
      <c r="C34" s="168"/>
      <c r="D34" s="168"/>
      <c r="E34" s="169"/>
      <c r="F34" s="167">
        <v>118722000</v>
      </c>
      <c r="G34" s="197"/>
      <c r="H34" s="197"/>
      <c r="I34" s="197"/>
      <c r="J34" s="197"/>
    </row>
    <row r="35" spans="1:10" s="198" customFormat="1" x14ac:dyDescent="0.25">
      <c r="A35" s="170"/>
      <c r="B35" s="171" t="s">
        <v>525</v>
      </c>
      <c r="C35" s="172">
        <v>48</v>
      </c>
      <c r="D35" s="172" t="s">
        <v>301</v>
      </c>
      <c r="E35" s="173">
        <v>430000</v>
      </c>
      <c r="F35" s="173">
        <v>20640000</v>
      </c>
      <c r="G35" s="197"/>
      <c r="H35" s="197"/>
      <c r="I35" s="197"/>
      <c r="J35" s="197"/>
    </row>
    <row r="36" spans="1:10" s="198" customFormat="1" x14ac:dyDescent="0.25">
      <c r="A36" s="170"/>
      <c r="B36" s="171" t="s">
        <v>526</v>
      </c>
      <c r="C36" s="172">
        <v>96</v>
      </c>
      <c r="D36" s="172" t="s">
        <v>296</v>
      </c>
      <c r="E36" s="173">
        <v>284000</v>
      </c>
      <c r="F36" s="173">
        <v>27264000</v>
      </c>
      <c r="G36" s="197"/>
      <c r="H36" s="197"/>
      <c r="I36" s="197"/>
      <c r="J36" s="197"/>
    </row>
    <row r="37" spans="1:10" s="198" customFormat="1" ht="30" x14ac:dyDescent="0.25">
      <c r="A37" s="170"/>
      <c r="B37" s="177" t="s">
        <v>350</v>
      </c>
      <c r="C37" s="172">
        <v>8</v>
      </c>
      <c r="D37" s="172" t="s">
        <v>296</v>
      </c>
      <c r="E37" s="173">
        <v>2182000</v>
      </c>
      <c r="F37" s="173">
        <v>17456000</v>
      </c>
      <c r="G37" s="197"/>
      <c r="H37" s="197"/>
      <c r="I37" s="197"/>
      <c r="J37" s="197"/>
    </row>
    <row r="38" spans="1:10" s="198" customFormat="1" ht="30" x14ac:dyDescent="0.25">
      <c r="A38" s="170"/>
      <c r="B38" s="171" t="s">
        <v>351</v>
      </c>
      <c r="C38" s="172">
        <v>32</v>
      </c>
      <c r="D38" s="172" t="s">
        <v>301</v>
      </c>
      <c r="E38" s="173">
        <v>1201000</v>
      </c>
      <c r="F38" s="173">
        <v>38432000</v>
      </c>
      <c r="G38" s="197"/>
      <c r="H38" s="197"/>
      <c r="I38" s="197"/>
      <c r="J38" s="197"/>
    </row>
    <row r="39" spans="1:10" s="198" customFormat="1" x14ac:dyDescent="0.25">
      <c r="A39" s="170"/>
      <c r="B39" s="171" t="s">
        <v>516</v>
      </c>
      <c r="C39" s="172">
        <v>15</v>
      </c>
      <c r="D39" s="172" t="s">
        <v>301</v>
      </c>
      <c r="E39" s="173">
        <v>370000</v>
      </c>
      <c r="F39" s="173">
        <v>5550000</v>
      </c>
      <c r="G39" s="197"/>
      <c r="H39" s="197"/>
      <c r="I39" s="197"/>
      <c r="J39" s="197"/>
    </row>
    <row r="40" spans="1:10" x14ac:dyDescent="0.25">
      <c r="A40" s="170"/>
      <c r="B40" s="171" t="s">
        <v>517</v>
      </c>
      <c r="C40" s="172">
        <v>30</v>
      </c>
      <c r="D40" s="172" t="s">
        <v>296</v>
      </c>
      <c r="E40" s="173">
        <v>274000</v>
      </c>
      <c r="F40" s="173">
        <v>8220000</v>
      </c>
    </row>
    <row r="41" spans="1:10" x14ac:dyDescent="0.25">
      <c r="A41" s="170"/>
      <c r="B41" s="171" t="s">
        <v>518</v>
      </c>
      <c r="C41" s="172">
        <v>10</v>
      </c>
      <c r="D41" s="172" t="s">
        <v>296</v>
      </c>
      <c r="E41" s="173">
        <v>116000</v>
      </c>
      <c r="F41" s="173">
        <v>1160000</v>
      </c>
    </row>
    <row r="42" spans="1:10" x14ac:dyDescent="0.25">
      <c r="A42" s="166" t="s">
        <v>18</v>
      </c>
      <c r="B42" s="166" t="s">
        <v>19</v>
      </c>
      <c r="C42" s="168"/>
      <c r="D42" s="168"/>
      <c r="E42" s="169"/>
      <c r="F42" s="167">
        <v>243200000</v>
      </c>
    </row>
    <row r="43" spans="1:10" ht="30" x14ac:dyDescent="0.25">
      <c r="A43" s="170"/>
      <c r="B43" s="171" t="s">
        <v>519</v>
      </c>
      <c r="C43" s="172">
        <v>640</v>
      </c>
      <c r="D43" s="172" t="s">
        <v>301</v>
      </c>
      <c r="E43" s="173">
        <v>210000</v>
      </c>
      <c r="F43" s="173">
        <v>134400000</v>
      </c>
    </row>
    <row r="44" spans="1:10" ht="30" x14ac:dyDescent="0.25">
      <c r="A44" s="170"/>
      <c r="B44" s="171" t="s">
        <v>520</v>
      </c>
      <c r="C44" s="172">
        <v>640</v>
      </c>
      <c r="D44" s="172" t="s">
        <v>296</v>
      </c>
      <c r="E44" s="173">
        <v>170000</v>
      </c>
      <c r="F44" s="173">
        <v>108800000</v>
      </c>
    </row>
    <row r="45" spans="1:10" x14ac:dyDescent="0.25">
      <c r="A45" s="158" t="s">
        <v>20</v>
      </c>
      <c r="B45" s="158" t="s">
        <v>21</v>
      </c>
      <c r="C45" s="159" t="s">
        <v>11</v>
      </c>
      <c r="D45" s="159"/>
      <c r="E45" s="160"/>
      <c r="F45" s="161">
        <v>3315633000</v>
      </c>
    </row>
    <row r="46" spans="1:10" x14ac:dyDescent="0.25">
      <c r="A46" s="162" t="s">
        <v>12</v>
      </c>
      <c r="B46" s="162" t="s">
        <v>21</v>
      </c>
      <c r="C46" s="163"/>
      <c r="D46" s="163"/>
      <c r="E46" s="164"/>
      <c r="F46" s="165">
        <v>53592000</v>
      </c>
    </row>
    <row r="47" spans="1:10" x14ac:dyDescent="0.25">
      <c r="A47" s="166" t="s">
        <v>22</v>
      </c>
      <c r="B47" s="166" t="s">
        <v>23</v>
      </c>
      <c r="C47" s="168"/>
      <c r="D47" s="168"/>
      <c r="E47" s="169"/>
      <c r="F47" s="167">
        <v>22442000</v>
      </c>
    </row>
    <row r="48" spans="1:10" s="198" customFormat="1" x14ac:dyDescent="0.25">
      <c r="A48" s="170"/>
      <c r="B48" s="171" t="s">
        <v>355</v>
      </c>
      <c r="C48" s="172">
        <v>250</v>
      </c>
      <c r="D48" s="172" t="s">
        <v>296</v>
      </c>
      <c r="E48" s="173">
        <v>57000</v>
      </c>
      <c r="F48" s="173">
        <v>14250000</v>
      </c>
      <c r="G48" s="197"/>
      <c r="H48" s="197"/>
      <c r="I48" s="197"/>
      <c r="J48" s="197"/>
    </row>
    <row r="49" spans="1:10" s="198" customFormat="1" x14ac:dyDescent="0.25">
      <c r="A49" s="170"/>
      <c r="B49" s="171" t="s">
        <v>356</v>
      </c>
      <c r="C49" s="172">
        <v>250</v>
      </c>
      <c r="D49" s="172" t="s">
        <v>296</v>
      </c>
      <c r="E49" s="173">
        <v>24000</v>
      </c>
      <c r="F49" s="173">
        <v>6000000</v>
      </c>
      <c r="G49" s="197"/>
      <c r="H49" s="197"/>
      <c r="I49" s="197"/>
      <c r="J49" s="197"/>
    </row>
    <row r="50" spans="1:10" s="198" customFormat="1" x14ac:dyDescent="0.25">
      <c r="A50" s="170"/>
      <c r="B50" s="175" t="s">
        <v>444</v>
      </c>
      <c r="C50" s="172">
        <v>1</v>
      </c>
      <c r="D50" s="172" t="s">
        <v>298</v>
      </c>
      <c r="E50" s="173">
        <v>1192000</v>
      </c>
      <c r="F50" s="173">
        <v>1192000</v>
      </c>
      <c r="G50" s="197"/>
      <c r="H50" s="197"/>
      <c r="I50" s="197"/>
      <c r="J50" s="197"/>
    </row>
    <row r="51" spans="1:10" s="198" customFormat="1" x14ac:dyDescent="0.25">
      <c r="A51" s="170"/>
      <c r="B51" s="175" t="s">
        <v>359</v>
      </c>
      <c r="C51" s="172">
        <v>1</v>
      </c>
      <c r="D51" s="172" t="s">
        <v>298</v>
      </c>
      <c r="E51" s="173">
        <v>1000000</v>
      </c>
      <c r="F51" s="173">
        <v>1000000</v>
      </c>
      <c r="G51" s="197"/>
      <c r="H51" s="197"/>
      <c r="I51" s="197"/>
      <c r="J51" s="197"/>
    </row>
    <row r="52" spans="1:10" x14ac:dyDescent="0.25">
      <c r="A52" s="166" t="s">
        <v>14</v>
      </c>
      <c r="B52" s="166" t="s">
        <v>15</v>
      </c>
      <c r="C52" s="168"/>
      <c r="D52" s="168"/>
      <c r="E52" s="169"/>
      <c r="F52" s="167">
        <v>4150000</v>
      </c>
    </row>
    <row r="53" spans="1:10" s="198" customFormat="1" x14ac:dyDescent="0.25">
      <c r="A53" s="170"/>
      <c r="B53" s="176" t="s">
        <v>360</v>
      </c>
      <c r="C53" s="172">
        <v>1</v>
      </c>
      <c r="D53" s="172" t="s">
        <v>296</v>
      </c>
      <c r="E53" s="173">
        <v>450000</v>
      </c>
      <c r="F53" s="173">
        <v>450000</v>
      </c>
      <c r="G53" s="197"/>
      <c r="H53" s="197"/>
      <c r="I53" s="197"/>
      <c r="J53" s="197"/>
    </row>
    <row r="54" spans="1:10" x14ac:dyDescent="0.25">
      <c r="A54" s="170"/>
      <c r="B54" s="176" t="s">
        <v>361</v>
      </c>
      <c r="C54" s="172">
        <v>1</v>
      </c>
      <c r="D54" s="172" t="s">
        <v>296</v>
      </c>
      <c r="E54" s="173">
        <v>400000</v>
      </c>
      <c r="F54" s="173">
        <v>400000</v>
      </c>
    </row>
    <row r="55" spans="1:10" ht="18" customHeight="1" x14ac:dyDescent="0.25">
      <c r="A55" s="170"/>
      <c r="B55" s="176" t="s">
        <v>362</v>
      </c>
      <c r="C55" s="172">
        <v>1</v>
      </c>
      <c r="D55" s="172" t="s">
        <v>296</v>
      </c>
      <c r="E55" s="173">
        <v>300000</v>
      </c>
      <c r="F55" s="173">
        <v>300000</v>
      </c>
    </row>
    <row r="56" spans="1:10" ht="18" customHeight="1" x14ac:dyDescent="0.25">
      <c r="A56" s="170"/>
      <c r="B56" s="176" t="s">
        <v>363</v>
      </c>
      <c r="C56" s="172">
        <v>10</v>
      </c>
      <c r="D56" s="172" t="s">
        <v>296</v>
      </c>
      <c r="E56" s="173">
        <v>300000</v>
      </c>
      <c r="F56" s="173">
        <v>3000000</v>
      </c>
    </row>
    <row r="57" spans="1:10" ht="18" customHeight="1" x14ac:dyDescent="0.25">
      <c r="A57" s="166" t="s">
        <v>16</v>
      </c>
      <c r="B57" s="166" t="s">
        <v>17</v>
      </c>
      <c r="C57" s="168"/>
      <c r="D57" s="168"/>
      <c r="E57" s="169"/>
      <c r="F57" s="167">
        <v>19400000</v>
      </c>
    </row>
    <row r="58" spans="1:10" ht="18" customHeight="1" x14ac:dyDescent="0.25">
      <c r="A58" s="170"/>
      <c r="B58" s="171" t="s">
        <v>436</v>
      </c>
      <c r="C58" s="172">
        <v>18</v>
      </c>
      <c r="D58" s="172" t="s">
        <v>297</v>
      </c>
      <c r="E58" s="173">
        <v>1000000</v>
      </c>
      <c r="F58" s="173">
        <v>18000000</v>
      </c>
    </row>
    <row r="59" spans="1:10" x14ac:dyDescent="0.25">
      <c r="A59" s="170"/>
      <c r="B59" s="171" t="s">
        <v>530</v>
      </c>
      <c r="C59" s="172">
        <v>2</v>
      </c>
      <c r="D59" s="172" t="s">
        <v>347</v>
      </c>
      <c r="E59" s="173">
        <v>700000</v>
      </c>
      <c r="F59" s="173">
        <v>1400000</v>
      </c>
    </row>
    <row r="60" spans="1:10" ht="18" customHeight="1" x14ac:dyDescent="0.25">
      <c r="A60" s="166" t="s">
        <v>18</v>
      </c>
      <c r="B60" s="166" t="s">
        <v>19</v>
      </c>
      <c r="C60" s="168"/>
      <c r="D60" s="168"/>
      <c r="E60" s="169"/>
      <c r="F60" s="167">
        <v>7600000</v>
      </c>
    </row>
    <row r="61" spans="1:10" x14ac:dyDescent="0.25">
      <c r="A61" s="170"/>
      <c r="B61" s="171" t="s">
        <v>531</v>
      </c>
      <c r="C61" s="172">
        <v>20</v>
      </c>
      <c r="D61" s="172" t="s">
        <v>301</v>
      </c>
      <c r="E61" s="173">
        <v>210000</v>
      </c>
      <c r="F61" s="173">
        <v>4200000</v>
      </c>
    </row>
    <row r="62" spans="1:10" x14ac:dyDescent="0.25">
      <c r="A62" s="170"/>
      <c r="B62" s="171" t="s">
        <v>532</v>
      </c>
      <c r="C62" s="172">
        <v>20</v>
      </c>
      <c r="D62" s="172" t="s">
        <v>296</v>
      </c>
      <c r="E62" s="173">
        <v>170000</v>
      </c>
      <c r="F62" s="173">
        <v>3400000</v>
      </c>
    </row>
    <row r="63" spans="1:10" ht="20.25" customHeight="1" x14ac:dyDescent="0.25">
      <c r="A63" s="162" t="s">
        <v>26</v>
      </c>
      <c r="B63" s="162" t="s">
        <v>27</v>
      </c>
      <c r="C63" s="163"/>
      <c r="D63" s="163"/>
      <c r="E63" s="164"/>
      <c r="F63" s="165">
        <v>570668000</v>
      </c>
    </row>
    <row r="64" spans="1:10" s="198" customFormat="1" x14ac:dyDescent="0.25">
      <c r="A64" s="166" t="s">
        <v>22</v>
      </c>
      <c r="B64" s="166" t="s">
        <v>23</v>
      </c>
      <c r="C64" s="168"/>
      <c r="D64" s="168"/>
      <c r="E64" s="169"/>
      <c r="F64" s="167">
        <v>668000</v>
      </c>
      <c r="G64" s="197"/>
      <c r="H64" s="197"/>
      <c r="I64" s="197"/>
      <c r="J64" s="197"/>
    </row>
    <row r="65" spans="1:10" s="198" customFormat="1" x14ac:dyDescent="0.25">
      <c r="A65" s="170"/>
      <c r="B65" s="171" t="s">
        <v>332</v>
      </c>
      <c r="C65" s="172">
        <v>1</v>
      </c>
      <c r="D65" s="172" t="s">
        <v>298</v>
      </c>
      <c r="E65" s="173">
        <v>668000</v>
      </c>
      <c r="F65" s="173">
        <v>668000</v>
      </c>
      <c r="G65" s="197"/>
      <c r="H65" s="197"/>
      <c r="I65" s="197"/>
      <c r="J65" s="197"/>
    </row>
    <row r="66" spans="1:10" ht="20.25" customHeight="1" x14ac:dyDescent="0.25">
      <c r="A66" s="166" t="s">
        <v>16</v>
      </c>
      <c r="B66" s="166" t="s">
        <v>17</v>
      </c>
      <c r="C66" s="168"/>
      <c r="D66" s="168"/>
      <c r="E66" s="169"/>
      <c r="F66" s="167">
        <v>570000000</v>
      </c>
    </row>
    <row r="67" spans="1:10" ht="21" customHeight="1" x14ac:dyDescent="0.25">
      <c r="A67" s="170"/>
      <c r="B67" s="78" t="s">
        <v>324</v>
      </c>
      <c r="C67" s="76">
        <v>1080</v>
      </c>
      <c r="D67" s="76" t="s">
        <v>297</v>
      </c>
      <c r="E67" s="77">
        <v>250000</v>
      </c>
      <c r="F67" s="173">
        <v>270000000</v>
      </c>
    </row>
    <row r="68" spans="1:10" s="198" customFormat="1" x14ac:dyDescent="0.25">
      <c r="A68" s="170"/>
      <c r="B68" s="78" t="s">
        <v>325</v>
      </c>
      <c r="C68" s="76">
        <v>600</v>
      </c>
      <c r="D68" s="76" t="s">
        <v>297</v>
      </c>
      <c r="E68" s="77">
        <v>500000</v>
      </c>
      <c r="F68" s="173">
        <v>300000000</v>
      </c>
      <c r="G68" s="197"/>
      <c r="H68" s="197"/>
      <c r="I68" s="197"/>
      <c r="J68" s="197"/>
    </row>
    <row r="69" spans="1:10" s="198" customFormat="1" x14ac:dyDescent="0.25">
      <c r="A69" s="162" t="s">
        <v>32</v>
      </c>
      <c r="B69" s="162" t="s">
        <v>328</v>
      </c>
      <c r="C69" s="163"/>
      <c r="D69" s="163"/>
      <c r="E69" s="164"/>
      <c r="F69" s="165">
        <v>886413000</v>
      </c>
      <c r="G69" s="197"/>
      <c r="H69" s="197"/>
      <c r="I69" s="197"/>
      <c r="J69" s="197"/>
    </row>
    <row r="70" spans="1:10" s="198" customFormat="1" x14ac:dyDescent="0.25">
      <c r="A70" s="166" t="s">
        <v>22</v>
      </c>
      <c r="B70" s="166" t="s">
        <v>23</v>
      </c>
      <c r="C70" s="168"/>
      <c r="D70" s="168"/>
      <c r="E70" s="169"/>
      <c r="F70" s="167">
        <v>277045000</v>
      </c>
      <c r="G70" s="197"/>
      <c r="H70" s="197"/>
      <c r="I70" s="197"/>
      <c r="J70" s="197"/>
    </row>
    <row r="71" spans="1:10" s="198" customFormat="1" x14ac:dyDescent="0.25">
      <c r="A71" s="170"/>
      <c r="B71" s="171" t="s">
        <v>369</v>
      </c>
      <c r="C71" s="172">
        <v>3200</v>
      </c>
      <c r="D71" s="172" t="s">
        <v>296</v>
      </c>
      <c r="E71" s="173">
        <v>57000</v>
      </c>
      <c r="F71" s="173">
        <v>182400000</v>
      </c>
      <c r="G71" s="197"/>
      <c r="H71" s="197"/>
      <c r="I71" s="197"/>
      <c r="J71" s="197"/>
    </row>
    <row r="72" spans="1:10" s="198" customFormat="1" x14ac:dyDescent="0.25">
      <c r="A72" s="170"/>
      <c r="B72" s="171" t="s">
        <v>370</v>
      </c>
      <c r="C72" s="172">
        <v>3200</v>
      </c>
      <c r="D72" s="172" t="s">
        <v>296</v>
      </c>
      <c r="E72" s="173">
        <v>24000</v>
      </c>
      <c r="F72" s="173">
        <v>76800000</v>
      </c>
      <c r="G72" s="197"/>
      <c r="H72" s="197"/>
      <c r="I72" s="197"/>
      <c r="J72" s="197"/>
    </row>
    <row r="73" spans="1:10" x14ac:dyDescent="0.25">
      <c r="A73" s="170"/>
      <c r="B73" s="175" t="s">
        <v>444</v>
      </c>
      <c r="C73" s="172">
        <v>1</v>
      </c>
      <c r="D73" s="172" t="s">
        <v>298</v>
      </c>
      <c r="E73" s="173">
        <v>5845000</v>
      </c>
      <c r="F73" s="173">
        <v>5845000</v>
      </c>
    </row>
    <row r="74" spans="1:10" s="198" customFormat="1" x14ac:dyDescent="0.25">
      <c r="A74" s="170"/>
      <c r="B74" s="175" t="s">
        <v>358</v>
      </c>
      <c r="C74" s="172">
        <v>4</v>
      </c>
      <c r="D74" s="172" t="s">
        <v>298</v>
      </c>
      <c r="E74" s="173">
        <v>1500000</v>
      </c>
      <c r="F74" s="173">
        <v>6000000</v>
      </c>
      <c r="G74" s="197"/>
      <c r="H74" s="197"/>
      <c r="I74" s="197"/>
      <c r="J74" s="197"/>
    </row>
    <row r="75" spans="1:10" x14ac:dyDescent="0.25">
      <c r="A75" s="170"/>
      <c r="B75" s="175" t="s">
        <v>359</v>
      </c>
      <c r="C75" s="172">
        <v>4</v>
      </c>
      <c r="D75" s="172" t="s">
        <v>298</v>
      </c>
      <c r="E75" s="173">
        <v>1500000</v>
      </c>
      <c r="F75" s="173">
        <v>6000000</v>
      </c>
    </row>
    <row r="76" spans="1:10" ht="18" customHeight="1" x14ac:dyDescent="0.25">
      <c r="A76" s="166" t="s">
        <v>14</v>
      </c>
      <c r="B76" s="166" t="s">
        <v>15</v>
      </c>
      <c r="C76" s="168"/>
      <c r="D76" s="168"/>
      <c r="E76" s="169"/>
      <c r="F76" s="167">
        <v>8300000</v>
      </c>
    </row>
    <row r="77" spans="1:10" ht="18" customHeight="1" x14ac:dyDescent="0.25">
      <c r="A77" s="170"/>
      <c r="B77" s="176" t="s">
        <v>360</v>
      </c>
      <c r="C77" s="172">
        <v>2</v>
      </c>
      <c r="D77" s="172" t="s">
        <v>296</v>
      </c>
      <c r="E77" s="173">
        <v>450000</v>
      </c>
      <c r="F77" s="173">
        <v>900000</v>
      </c>
    </row>
    <row r="78" spans="1:10" ht="18" customHeight="1" x14ac:dyDescent="0.25">
      <c r="A78" s="170"/>
      <c r="B78" s="176" t="s">
        <v>361</v>
      </c>
      <c r="C78" s="172">
        <v>2</v>
      </c>
      <c r="D78" s="172" t="s">
        <v>296</v>
      </c>
      <c r="E78" s="173">
        <v>400000</v>
      </c>
      <c r="F78" s="173">
        <v>800000</v>
      </c>
    </row>
    <row r="79" spans="1:10" ht="18" customHeight="1" x14ac:dyDescent="0.25">
      <c r="A79" s="170"/>
      <c r="B79" s="176" t="s">
        <v>362</v>
      </c>
      <c r="C79" s="172">
        <v>2</v>
      </c>
      <c r="D79" s="172" t="s">
        <v>296</v>
      </c>
      <c r="E79" s="173">
        <v>300000</v>
      </c>
      <c r="F79" s="173">
        <v>600000</v>
      </c>
    </row>
    <row r="80" spans="1:10" x14ac:dyDescent="0.25">
      <c r="A80" s="170"/>
      <c r="B80" s="176" t="s">
        <v>363</v>
      </c>
      <c r="C80" s="172">
        <v>20</v>
      </c>
      <c r="D80" s="172" t="s">
        <v>296</v>
      </c>
      <c r="E80" s="173">
        <v>300000</v>
      </c>
      <c r="F80" s="173">
        <v>6000000</v>
      </c>
    </row>
    <row r="81" spans="1:10" ht="18" customHeight="1" x14ac:dyDescent="0.25">
      <c r="A81" s="166" t="s">
        <v>16</v>
      </c>
      <c r="B81" s="166" t="s">
        <v>17</v>
      </c>
      <c r="C81" s="168"/>
      <c r="D81" s="168"/>
      <c r="E81" s="169"/>
      <c r="F81" s="167">
        <v>247000000</v>
      </c>
    </row>
    <row r="82" spans="1:10" x14ac:dyDescent="0.25">
      <c r="A82" s="170"/>
      <c r="B82" s="171" t="s">
        <v>535</v>
      </c>
      <c r="C82" s="172">
        <v>240</v>
      </c>
      <c r="D82" s="172" t="s">
        <v>297</v>
      </c>
      <c r="E82" s="173">
        <v>900000</v>
      </c>
      <c r="F82" s="173">
        <v>216000000</v>
      </c>
    </row>
    <row r="83" spans="1:10" x14ac:dyDescent="0.25">
      <c r="A83" s="74"/>
      <c r="B83" s="75" t="s">
        <v>533</v>
      </c>
      <c r="C83" s="76">
        <v>160</v>
      </c>
      <c r="D83" s="76" t="s">
        <v>304</v>
      </c>
      <c r="E83" s="77">
        <v>150000</v>
      </c>
      <c r="F83" s="77">
        <v>24000000</v>
      </c>
    </row>
    <row r="84" spans="1:10" ht="20.25" customHeight="1" x14ac:dyDescent="0.25">
      <c r="A84" s="170"/>
      <c r="B84" s="171" t="s">
        <v>534</v>
      </c>
      <c r="C84" s="172">
        <v>10</v>
      </c>
      <c r="D84" s="172" t="s">
        <v>347</v>
      </c>
      <c r="E84" s="173">
        <v>700000</v>
      </c>
      <c r="F84" s="173">
        <v>7000000</v>
      </c>
    </row>
    <row r="85" spans="1:10" s="198" customFormat="1" x14ac:dyDescent="0.25">
      <c r="A85" s="166" t="s">
        <v>28</v>
      </c>
      <c r="B85" s="166" t="s">
        <v>29</v>
      </c>
      <c r="C85" s="168"/>
      <c r="D85" s="168"/>
      <c r="E85" s="169"/>
      <c r="F85" s="167">
        <v>8568000</v>
      </c>
      <c r="G85" s="197"/>
      <c r="H85" s="197"/>
      <c r="I85" s="197"/>
      <c r="J85" s="197"/>
    </row>
    <row r="86" spans="1:10" s="198" customFormat="1" ht="14.25" customHeight="1" x14ac:dyDescent="0.25">
      <c r="A86" s="170"/>
      <c r="B86" s="171" t="s">
        <v>365</v>
      </c>
      <c r="C86" s="172">
        <v>12</v>
      </c>
      <c r="D86" s="172" t="s">
        <v>301</v>
      </c>
      <c r="E86" s="173">
        <v>430000</v>
      </c>
      <c r="F86" s="173">
        <v>5160000</v>
      </c>
      <c r="G86" s="197"/>
      <c r="H86" s="197"/>
      <c r="I86" s="197"/>
      <c r="J86" s="197"/>
    </row>
    <row r="87" spans="1:10" ht="20.25" customHeight="1" x14ac:dyDescent="0.25">
      <c r="A87" s="170"/>
      <c r="B87" s="171" t="s">
        <v>366</v>
      </c>
      <c r="C87" s="172">
        <v>12</v>
      </c>
      <c r="D87" s="172" t="s">
        <v>296</v>
      </c>
      <c r="E87" s="173">
        <v>284000</v>
      </c>
      <c r="F87" s="173">
        <v>3408000</v>
      </c>
    </row>
    <row r="88" spans="1:10" x14ac:dyDescent="0.25">
      <c r="A88" s="166" t="s">
        <v>18</v>
      </c>
      <c r="B88" s="166" t="s">
        <v>19</v>
      </c>
      <c r="C88" s="168"/>
      <c r="D88" s="168"/>
      <c r="E88" s="169"/>
      <c r="F88" s="167">
        <v>118000000</v>
      </c>
    </row>
    <row r="89" spans="1:10" ht="30" x14ac:dyDescent="0.25">
      <c r="A89" s="170"/>
      <c r="B89" s="171" t="s">
        <v>536</v>
      </c>
      <c r="C89" s="172">
        <v>400</v>
      </c>
      <c r="D89" s="172" t="s">
        <v>301</v>
      </c>
      <c r="E89" s="173">
        <v>210000</v>
      </c>
      <c r="F89" s="173">
        <v>84000000</v>
      </c>
    </row>
    <row r="90" spans="1:10" x14ac:dyDescent="0.25">
      <c r="A90" s="170"/>
      <c r="B90" s="171" t="s">
        <v>537</v>
      </c>
      <c r="C90" s="172">
        <v>200</v>
      </c>
      <c r="D90" s="172" t="s">
        <v>296</v>
      </c>
      <c r="E90" s="173">
        <v>170000</v>
      </c>
      <c r="F90" s="173">
        <v>34000000</v>
      </c>
    </row>
    <row r="91" spans="1:10" x14ac:dyDescent="0.25">
      <c r="A91" s="166" t="s">
        <v>33</v>
      </c>
      <c r="B91" s="166" t="s">
        <v>34</v>
      </c>
      <c r="C91" s="168"/>
      <c r="D91" s="168"/>
      <c r="E91" s="169"/>
      <c r="F91" s="167">
        <v>227500000</v>
      </c>
    </row>
    <row r="92" spans="1:10" ht="14.25" customHeight="1" x14ac:dyDescent="0.25">
      <c r="A92" s="170"/>
      <c r="B92" s="171" t="s">
        <v>538</v>
      </c>
      <c r="C92" s="172">
        <v>500</v>
      </c>
      <c r="D92" s="172" t="s">
        <v>296</v>
      </c>
      <c r="E92" s="173">
        <v>455000</v>
      </c>
      <c r="F92" s="173">
        <v>227500000</v>
      </c>
    </row>
    <row r="93" spans="1:10" s="198" customFormat="1" x14ac:dyDescent="0.25">
      <c r="A93" s="162" t="s">
        <v>35</v>
      </c>
      <c r="B93" s="162" t="s">
        <v>337</v>
      </c>
      <c r="C93" s="163"/>
      <c r="D93" s="163"/>
      <c r="E93" s="164"/>
      <c r="F93" s="165">
        <v>328725000</v>
      </c>
      <c r="G93" s="197"/>
      <c r="H93" s="197"/>
      <c r="I93" s="197"/>
      <c r="J93" s="197"/>
    </row>
    <row r="94" spans="1:10" s="198" customFormat="1" ht="14.25" customHeight="1" x14ac:dyDescent="0.25">
      <c r="A94" s="166" t="s">
        <v>22</v>
      </c>
      <c r="B94" s="166" t="s">
        <v>23</v>
      </c>
      <c r="C94" s="168"/>
      <c r="D94" s="168"/>
      <c r="E94" s="169"/>
      <c r="F94" s="167">
        <v>106015000</v>
      </c>
      <c r="G94" s="197"/>
      <c r="H94" s="197"/>
      <c r="I94" s="197"/>
      <c r="J94" s="197"/>
    </row>
    <row r="95" spans="1:10" s="198" customFormat="1" x14ac:dyDescent="0.25">
      <c r="A95" s="170"/>
      <c r="B95" s="171" t="s">
        <v>375</v>
      </c>
      <c r="C95" s="172">
        <v>1200</v>
      </c>
      <c r="D95" s="172" t="s">
        <v>296</v>
      </c>
      <c r="E95" s="173">
        <v>57000</v>
      </c>
      <c r="F95" s="173">
        <v>68400000</v>
      </c>
      <c r="G95" s="197"/>
      <c r="H95" s="197"/>
      <c r="I95" s="197"/>
      <c r="J95" s="197"/>
    </row>
    <row r="96" spans="1:10" s="198" customFormat="1" x14ac:dyDescent="0.25">
      <c r="A96" s="170"/>
      <c r="B96" s="171" t="s">
        <v>376</v>
      </c>
      <c r="C96" s="172">
        <v>1200</v>
      </c>
      <c r="D96" s="172" t="s">
        <v>296</v>
      </c>
      <c r="E96" s="173">
        <v>24000</v>
      </c>
      <c r="F96" s="173">
        <v>28800000</v>
      </c>
      <c r="G96" s="197"/>
      <c r="H96" s="197"/>
      <c r="I96" s="197"/>
      <c r="J96" s="197"/>
    </row>
    <row r="97" spans="1:10" s="198" customFormat="1" x14ac:dyDescent="0.25">
      <c r="A97" s="170"/>
      <c r="B97" s="175" t="s">
        <v>344</v>
      </c>
      <c r="C97" s="172">
        <v>1</v>
      </c>
      <c r="D97" s="172" t="s">
        <v>298</v>
      </c>
      <c r="E97" s="173">
        <v>4815000</v>
      </c>
      <c r="F97" s="173">
        <v>4815000</v>
      </c>
      <c r="G97" s="197"/>
      <c r="H97" s="197"/>
      <c r="I97" s="197"/>
      <c r="J97" s="197"/>
    </row>
    <row r="98" spans="1:10" s="198" customFormat="1" ht="18" customHeight="1" x14ac:dyDescent="0.25">
      <c r="A98" s="170"/>
      <c r="B98" s="175" t="s">
        <v>358</v>
      </c>
      <c r="C98" s="172">
        <v>2</v>
      </c>
      <c r="D98" s="172" t="s">
        <v>298</v>
      </c>
      <c r="E98" s="173">
        <v>1000000</v>
      </c>
      <c r="F98" s="173">
        <v>2000000</v>
      </c>
      <c r="G98" s="197"/>
      <c r="H98" s="197"/>
      <c r="I98" s="197"/>
      <c r="J98" s="197"/>
    </row>
    <row r="99" spans="1:10" s="198" customFormat="1" ht="18" customHeight="1" x14ac:dyDescent="0.25">
      <c r="A99" s="170"/>
      <c r="B99" s="175" t="s">
        <v>359</v>
      </c>
      <c r="C99" s="172">
        <v>2</v>
      </c>
      <c r="D99" s="172" t="s">
        <v>298</v>
      </c>
      <c r="E99" s="173">
        <v>1000000</v>
      </c>
      <c r="F99" s="173">
        <v>2000000</v>
      </c>
      <c r="G99" s="197"/>
      <c r="H99" s="197"/>
      <c r="I99" s="197"/>
      <c r="J99" s="197"/>
    </row>
    <row r="100" spans="1:10" s="198" customFormat="1" ht="18" customHeight="1" x14ac:dyDescent="0.25">
      <c r="A100" s="166" t="s">
        <v>14</v>
      </c>
      <c r="B100" s="166" t="s">
        <v>15</v>
      </c>
      <c r="C100" s="168"/>
      <c r="D100" s="168"/>
      <c r="E100" s="169"/>
      <c r="F100" s="167">
        <v>4750000</v>
      </c>
      <c r="G100" s="197"/>
      <c r="H100" s="197"/>
      <c r="I100" s="197"/>
      <c r="J100" s="197"/>
    </row>
    <row r="101" spans="1:10" s="198" customFormat="1" ht="18" customHeight="1" x14ac:dyDescent="0.25">
      <c r="A101" s="170"/>
      <c r="B101" s="176" t="s">
        <v>360</v>
      </c>
      <c r="C101" s="172">
        <v>1</v>
      </c>
      <c r="D101" s="172" t="s">
        <v>296</v>
      </c>
      <c r="E101" s="173">
        <v>450000</v>
      </c>
      <c r="F101" s="173">
        <v>450000</v>
      </c>
      <c r="G101" s="197"/>
      <c r="H101" s="197"/>
      <c r="I101" s="197"/>
      <c r="J101" s="197"/>
    </row>
    <row r="102" spans="1:10" s="198" customFormat="1" x14ac:dyDescent="0.25">
      <c r="A102" s="170"/>
      <c r="B102" s="176" t="s">
        <v>361</v>
      </c>
      <c r="C102" s="172">
        <v>1</v>
      </c>
      <c r="D102" s="172" t="s">
        <v>296</v>
      </c>
      <c r="E102" s="173">
        <v>400000</v>
      </c>
      <c r="F102" s="173">
        <v>400000</v>
      </c>
      <c r="G102" s="197"/>
      <c r="H102" s="197"/>
      <c r="I102" s="197"/>
      <c r="J102" s="197"/>
    </row>
    <row r="103" spans="1:10" s="198" customFormat="1" ht="18" customHeight="1" x14ac:dyDescent="0.25">
      <c r="A103" s="170"/>
      <c r="B103" s="176" t="s">
        <v>362</v>
      </c>
      <c r="C103" s="172">
        <v>1</v>
      </c>
      <c r="D103" s="172" t="s">
        <v>296</v>
      </c>
      <c r="E103" s="173">
        <v>300000</v>
      </c>
      <c r="F103" s="173">
        <v>300000</v>
      </c>
      <c r="G103" s="197"/>
      <c r="H103" s="197"/>
      <c r="I103" s="197"/>
      <c r="J103" s="197"/>
    </row>
    <row r="104" spans="1:10" s="198" customFormat="1" x14ac:dyDescent="0.25">
      <c r="A104" s="170"/>
      <c r="B104" s="176" t="s">
        <v>363</v>
      </c>
      <c r="C104" s="172">
        <v>12</v>
      </c>
      <c r="D104" s="172" t="s">
        <v>296</v>
      </c>
      <c r="E104" s="173">
        <v>300000</v>
      </c>
      <c r="F104" s="173">
        <v>3600000</v>
      </c>
      <c r="G104" s="197"/>
      <c r="H104" s="197"/>
      <c r="I104" s="197"/>
      <c r="J104" s="197"/>
    </row>
    <row r="105" spans="1:10" s="198" customFormat="1" x14ac:dyDescent="0.25">
      <c r="A105" s="166" t="s">
        <v>16</v>
      </c>
      <c r="B105" s="166" t="s">
        <v>17</v>
      </c>
      <c r="C105" s="168"/>
      <c r="D105" s="168"/>
      <c r="E105" s="169"/>
      <c r="F105" s="167">
        <v>66800000</v>
      </c>
      <c r="G105" s="197"/>
      <c r="H105" s="197"/>
      <c r="I105" s="197"/>
      <c r="J105" s="197"/>
    </row>
    <row r="106" spans="1:10" s="198" customFormat="1" x14ac:dyDescent="0.25">
      <c r="A106" s="170"/>
      <c r="B106" s="171" t="s">
        <v>371</v>
      </c>
      <c r="C106" s="172">
        <v>64</v>
      </c>
      <c r="D106" s="172" t="s">
        <v>297</v>
      </c>
      <c r="E106" s="173">
        <v>1000000</v>
      </c>
      <c r="F106" s="173">
        <v>64000000</v>
      </c>
      <c r="G106" s="197"/>
      <c r="H106" s="197"/>
      <c r="I106" s="197"/>
      <c r="J106" s="197"/>
    </row>
    <row r="107" spans="1:10" s="198" customFormat="1" x14ac:dyDescent="0.25">
      <c r="A107" s="170"/>
      <c r="B107" s="171" t="s">
        <v>543</v>
      </c>
      <c r="C107" s="172">
        <v>4</v>
      </c>
      <c r="D107" s="172" t="s">
        <v>347</v>
      </c>
      <c r="E107" s="173">
        <v>700000</v>
      </c>
      <c r="F107" s="173">
        <v>2800000</v>
      </c>
      <c r="G107" s="197"/>
      <c r="H107" s="197"/>
      <c r="I107" s="197"/>
      <c r="J107" s="197"/>
    </row>
    <row r="108" spans="1:10" s="198" customFormat="1" x14ac:dyDescent="0.25">
      <c r="A108" s="166" t="s">
        <v>28</v>
      </c>
      <c r="B108" s="166" t="s">
        <v>29</v>
      </c>
      <c r="C108" s="168"/>
      <c r="D108" s="168"/>
      <c r="E108" s="169"/>
      <c r="F108" s="167">
        <v>37160000</v>
      </c>
      <c r="G108" s="197"/>
      <c r="H108" s="197"/>
      <c r="I108" s="197"/>
      <c r="J108" s="197"/>
    </row>
    <row r="109" spans="1:10" s="207" customFormat="1" x14ac:dyDescent="0.25">
      <c r="A109" s="170"/>
      <c r="B109" s="171" t="s">
        <v>541</v>
      </c>
      <c r="C109" s="172">
        <v>60</v>
      </c>
      <c r="D109" s="172" t="s">
        <v>301</v>
      </c>
      <c r="E109" s="173">
        <v>430000</v>
      </c>
      <c r="F109" s="173">
        <v>25800000</v>
      </c>
    </row>
    <row r="110" spans="1:10" s="207" customFormat="1" ht="18.75" customHeight="1" x14ac:dyDescent="0.25">
      <c r="A110" s="170"/>
      <c r="B110" s="171" t="s">
        <v>542</v>
      </c>
      <c r="C110" s="172">
        <v>40</v>
      </c>
      <c r="D110" s="172" t="s">
        <v>296</v>
      </c>
      <c r="E110" s="173">
        <v>284000</v>
      </c>
      <c r="F110" s="173">
        <v>11360000</v>
      </c>
    </row>
    <row r="111" spans="1:10" s="207" customFormat="1" x14ac:dyDescent="0.25">
      <c r="A111" s="166" t="s">
        <v>18</v>
      </c>
      <c r="B111" s="166" t="s">
        <v>19</v>
      </c>
      <c r="C111" s="168"/>
      <c r="D111" s="168"/>
      <c r="E111" s="169"/>
      <c r="F111" s="167">
        <v>114000000</v>
      </c>
    </row>
    <row r="112" spans="1:10" s="207" customFormat="1" x14ac:dyDescent="0.25">
      <c r="A112" s="170"/>
      <c r="B112" s="171" t="s">
        <v>539</v>
      </c>
      <c r="C112" s="172">
        <v>300</v>
      </c>
      <c r="D112" s="172" t="s">
        <v>301</v>
      </c>
      <c r="E112" s="173">
        <v>210000</v>
      </c>
      <c r="F112" s="173">
        <v>63000000</v>
      </c>
    </row>
    <row r="113" spans="1:6" s="207" customFormat="1" ht="20.25" customHeight="1" x14ac:dyDescent="0.25">
      <c r="A113" s="170"/>
      <c r="B113" s="171" t="s">
        <v>540</v>
      </c>
      <c r="C113" s="172">
        <v>300</v>
      </c>
      <c r="D113" s="172" t="s">
        <v>296</v>
      </c>
      <c r="E113" s="173">
        <v>170000</v>
      </c>
      <c r="F113" s="173">
        <v>51000000</v>
      </c>
    </row>
    <row r="114" spans="1:6" s="207" customFormat="1" x14ac:dyDescent="0.25">
      <c r="A114" s="162" t="s">
        <v>38</v>
      </c>
      <c r="B114" s="162" t="s">
        <v>39</v>
      </c>
      <c r="C114" s="163"/>
      <c r="D114" s="163"/>
      <c r="E114" s="164"/>
      <c r="F114" s="165">
        <v>516374000</v>
      </c>
    </row>
    <row r="115" spans="1:6" s="207" customFormat="1" x14ac:dyDescent="0.25">
      <c r="A115" s="166" t="s">
        <v>22</v>
      </c>
      <c r="B115" s="166" t="s">
        <v>23</v>
      </c>
      <c r="C115" s="168"/>
      <c r="D115" s="168"/>
      <c r="E115" s="169"/>
      <c r="F115" s="167">
        <v>110624000</v>
      </c>
    </row>
    <row r="116" spans="1:6" s="207" customFormat="1" x14ac:dyDescent="0.25">
      <c r="A116" s="170"/>
      <c r="B116" s="171" t="s">
        <v>375</v>
      </c>
      <c r="C116" s="172">
        <v>1200</v>
      </c>
      <c r="D116" s="172" t="s">
        <v>296</v>
      </c>
      <c r="E116" s="173">
        <v>57000</v>
      </c>
      <c r="F116" s="173">
        <v>68400000</v>
      </c>
    </row>
    <row r="117" spans="1:6" ht="12.95" customHeight="1" x14ac:dyDescent="0.25">
      <c r="A117" s="170"/>
      <c r="B117" s="171" t="s">
        <v>376</v>
      </c>
      <c r="C117" s="172">
        <v>1200</v>
      </c>
      <c r="D117" s="172" t="s">
        <v>296</v>
      </c>
      <c r="E117" s="173">
        <v>24000</v>
      </c>
      <c r="F117" s="173">
        <v>28800000</v>
      </c>
    </row>
    <row r="118" spans="1:6" ht="12.95" customHeight="1" x14ac:dyDescent="0.25">
      <c r="A118" s="170"/>
      <c r="B118" s="175" t="s">
        <v>344</v>
      </c>
      <c r="C118" s="172">
        <v>1</v>
      </c>
      <c r="D118" s="172" t="s">
        <v>298</v>
      </c>
      <c r="E118" s="173">
        <v>3424000</v>
      </c>
      <c r="F118" s="173">
        <v>3424000</v>
      </c>
    </row>
    <row r="119" spans="1:6" ht="12.95" customHeight="1" x14ac:dyDescent="0.25">
      <c r="A119" s="170"/>
      <c r="B119" s="175" t="s">
        <v>358</v>
      </c>
      <c r="C119" s="172">
        <v>4</v>
      </c>
      <c r="D119" s="172" t="s">
        <v>298</v>
      </c>
      <c r="E119" s="173">
        <v>1500000</v>
      </c>
      <c r="F119" s="173">
        <v>6000000</v>
      </c>
    </row>
    <row r="120" spans="1:6" ht="12.95" customHeight="1" x14ac:dyDescent="0.25">
      <c r="A120" s="170"/>
      <c r="B120" s="175" t="s">
        <v>359</v>
      </c>
      <c r="C120" s="172">
        <v>4</v>
      </c>
      <c r="D120" s="172" t="s">
        <v>298</v>
      </c>
      <c r="E120" s="173">
        <v>1000000</v>
      </c>
      <c r="F120" s="173">
        <v>4000000</v>
      </c>
    </row>
    <row r="121" spans="1:6" ht="12.95" customHeight="1" x14ac:dyDescent="0.25">
      <c r="A121" s="166" t="s">
        <v>14</v>
      </c>
      <c r="B121" s="166" t="s">
        <v>15</v>
      </c>
      <c r="C121" s="168"/>
      <c r="D121" s="168"/>
      <c r="E121" s="169"/>
      <c r="F121" s="167">
        <v>14300000</v>
      </c>
    </row>
    <row r="122" spans="1:6" s="207" customFormat="1" ht="12.95" customHeight="1" x14ac:dyDescent="0.25">
      <c r="A122" s="170"/>
      <c r="B122" s="176" t="s">
        <v>360</v>
      </c>
      <c r="C122" s="172">
        <v>2</v>
      </c>
      <c r="D122" s="172" t="s">
        <v>296</v>
      </c>
      <c r="E122" s="173">
        <v>450000</v>
      </c>
      <c r="F122" s="173">
        <v>900000</v>
      </c>
    </row>
    <row r="123" spans="1:6" x14ac:dyDescent="0.25">
      <c r="A123" s="170"/>
      <c r="B123" s="176" t="s">
        <v>361</v>
      </c>
      <c r="C123" s="172">
        <v>2</v>
      </c>
      <c r="D123" s="172" t="s">
        <v>296</v>
      </c>
      <c r="E123" s="173">
        <v>400000</v>
      </c>
      <c r="F123" s="173">
        <v>800000</v>
      </c>
    </row>
    <row r="124" spans="1:6" x14ac:dyDescent="0.25">
      <c r="A124" s="170"/>
      <c r="B124" s="176" t="s">
        <v>362</v>
      </c>
      <c r="C124" s="172">
        <v>2</v>
      </c>
      <c r="D124" s="172" t="s">
        <v>296</v>
      </c>
      <c r="E124" s="173">
        <v>300000</v>
      </c>
      <c r="F124" s="173">
        <v>600000</v>
      </c>
    </row>
    <row r="125" spans="1:6" x14ac:dyDescent="0.25">
      <c r="A125" s="170"/>
      <c r="B125" s="176" t="s">
        <v>363</v>
      </c>
      <c r="C125" s="172">
        <v>40</v>
      </c>
      <c r="D125" s="172" t="s">
        <v>296</v>
      </c>
      <c r="E125" s="173">
        <v>300000</v>
      </c>
      <c r="F125" s="173">
        <v>12000000</v>
      </c>
    </row>
    <row r="126" spans="1:6" x14ac:dyDescent="0.25">
      <c r="A126" s="166" t="s">
        <v>16</v>
      </c>
      <c r="B126" s="166" t="s">
        <v>17</v>
      </c>
      <c r="C126" s="168"/>
      <c r="D126" s="168"/>
      <c r="E126" s="169"/>
      <c r="F126" s="167">
        <v>182100000</v>
      </c>
    </row>
    <row r="127" spans="1:6" x14ac:dyDescent="0.25">
      <c r="A127" s="170"/>
      <c r="B127" s="171" t="s">
        <v>371</v>
      </c>
      <c r="C127" s="172">
        <v>64</v>
      </c>
      <c r="D127" s="172" t="s">
        <v>297</v>
      </c>
      <c r="E127" s="173">
        <v>1000000</v>
      </c>
      <c r="F127" s="173">
        <v>64000000</v>
      </c>
    </row>
    <row r="128" spans="1:6" x14ac:dyDescent="0.25">
      <c r="A128" s="170"/>
      <c r="B128" s="171" t="s">
        <v>372</v>
      </c>
      <c r="C128" s="172">
        <v>8</v>
      </c>
      <c r="D128" s="172" t="s">
        <v>347</v>
      </c>
      <c r="E128" s="173">
        <v>700000</v>
      </c>
      <c r="F128" s="173">
        <v>5600000</v>
      </c>
    </row>
    <row r="129" spans="1:6" x14ac:dyDescent="0.25">
      <c r="A129" s="170"/>
      <c r="B129" s="171" t="s">
        <v>377</v>
      </c>
      <c r="C129" s="172">
        <v>750</v>
      </c>
      <c r="D129" s="172" t="s">
        <v>297</v>
      </c>
      <c r="E129" s="173">
        <v>150000</v>
      </c>
      <c r="F129" s="173">
        <v>112500000</v>
      </c>
    </row>
    <row r="130" spans="1:6" x14ac:dyDescent="0.25">
      <c r="A130" s="166" t="s">
        <v>28</v>
      </c>
      <c r="B130" s="166" t="s">
        <v>29</v>
      </c>
      <c r="C130" s="168"/>
      <c r="D130" s="168"/>
      <c r="E130" s="169"/>
      <c r="F130" s="167">
        <v>80750000</v>
      </c>
    </row>
    <row r="131" spans="1:6" x14ac:dyDescent="0.25">
      <c r="A131" s="170"/>
      <c r="B131" s="171" t="s">
        <v>378</v>
      </c>
      <c r="C131" s="172">
        <v>75</v>
      </c>
      <c r="D131" s="172" t="s">
        <v>301</v>
      </c>
      <c r="E131" s="173">
        <v>430000</v>
      </c>
      <c r="F131" s="173">
        <v>32250000</v>
      </c>
    </row>
    <row r="132" spans="1:6" x14ac:dyDescent="0.25">
      <c r="A132" s="170"/>
      <c r="B132" s="171" t="s">
        <v>379</v>
      </c>
      <c r="C132" s="172">
        <v>50</v>
      </c>
      <c r="D132" s="172" t="s">
        <v>296</v>
      </c>
      <c r="E132" s="173">
        <v>284000</v>
      </c>
      <c r="F132" s="173">
        <v>14200000</v>
      </c>
    </row>
    <row r="133" spans="1:6" x14ac:dyDescent="0.25">
      <c r="A133" s="170"/>
      <c r="B133" s="171" t="s">
        <v>544</v>
      </c>
      <c r="C133" s="172">
        <v>50</v>
      </c>
      <c r="D133" s="172" t="s">
        <v>296</v>
      </c>
      <c r="E133" s="173">
        <v>686000</v>
      </c>
      <c r="F133" s="173">
        <v>34300000</v>
      </c>
    </row>
    <row r="134" spans="1:6" x14ac:dyDescent="0.25">
      <c r="A134" s="166" t="s">
        <v>18</v>
      </c>
      <c r="B134" s="166" t="s">
        <v>19</v>
      </c>
      <c r="C134" s="168"/>
      <c r="D134" s="168"/>
      <c r="E134" s="169"/>
      <c r="F134" s="167">
        <v>128600000</v>
      </c>
    </row>
    <row r="135" spans="1:6" x14ac:dyDescent="0.25">
      <c r="A135" s="170"/>
      <c r="B135" s="171" t="s">
        <v>539</v>
      </c>
      <c r="C135" s="172">
        <v>300</v>
      </c>
      <c r="D135" s="172" t="s">
        <v>301</v>
      </c>
      <c r="E135" s="173">
        <v>210000</v>
      </c>
      <c r="F135" s="173">
        <v>63000000</v>
      </c>
    </row>
    <row r="136" spans="1:6" x14ac:dyDescent="0.25">
      <c r="A136" s="170"/>
      <c r="B136" s="171" t="s">
        <v>540</v>
      </c>
      <c r="C136" s="172">
        <v>300</v>
      </c>
      <c r="D136" s="172" t="s">
        <v>296</v>
      </c>
      <c r="E136" s="173">
        <v>170000</v>
      </c>
      <c r="F136" s="173">
        <v>51000000</v>
      </c>
    </row>
    <row r="137" spans="1:6" x14ac:dyDescent="0.25">
      <c r="A137" s="170"/>
      <c r="B137" s="171" t="s">
        <v>545</v>
      </c>
      <c r="C137" s="172">
        <v>20</v>
      </c>
      <c r="D137" s="172" t="s">
        <v>296</v>
      </c>
      <c r="E137" s="173">
        <v>730000</v>
      </c>
      <c r="F137" s="173">
        <v>14600000</v>
      </c>
    </row>
    <row r="138" spans="1:6" x14ac:dyDescent="0.25">
      <c r="A138" s="162" t="s">
        <v>40</v>
      </c>
      <c r="B138" s="162" t="s">
        <v>41</v>
      </c>
      <c r="C138" s="163"/>
      <c r="D138" s="163"/>
      <c r="E138" s="164"/>
      <c r="F138" s="165">
        <v>321266000</v>
      </c>
    </row>
    <row r="139" spans="1:6" x14ac:dyDescent="0.25">
      <c r="A139" s="166" t="s">
        <v>22</v>
      </c>
      <c r="B139" s="166" t="s">
        <v>23</v>
      </c>
      <c r="C139" s="168"/>
      <c r="D139" s="168"/>
      <c r="E139" s="169"/>
      <c r="F139" s="167">
        <v>108136000</v>
      </c>
    </row>
    <row r="140" spans="1:6" x14ac:dyDescent="0.25">
      <c r="A140" s="170"/>
      <c r="B140" s="171" t="s">
        <v>375</v>
      </c>
      <c r="C140" s="172">
        <v>1200</v>
      </c>
      <c r="D140" s="172" t="s">
        <v>296</v>
      </c>
      <c r="E140" s="173">
        <v>57000</v>
      </c>
      <c r="F140" s="173">
        <v>68400000</v>
      </c>
    </row>
    <row r="141" spans="1:6" x14ac:dyDescent="0.25">
      <c r="A141" s="170"/>
      <c r="B141" s="171" t="s">
        <v>376</v>
      </c>
      <c r="C141" s="172">
        <v>1200</v>
      </c>
      <c r="D141" s="172" t="s">
        <v>296</v>
      </c>
      <c r="E141" s="173">
        <v>24000</v>
      </c>
      <c r="F141" s="173">
        <v>28800000</v>
      </c>
    </row>
    <row r="142" spans="1:6" x14ac:dyDescent="0.25">
      <c r="A142" s="170"/>
      <c r="B142" s="175" t="s">
        <v>344</v>
      </c>
      <c r="C142" s="172">
        <v>1</v>
      </c>
      <c r="D142" s="172" t="s">
        <v>298</v>
      </c>
      <c r="E142" s="173">
        <v>2936000</v>
      </c>
      <c r="F142" s="173">
        <v>2936000</v>
      </c>
    </row>
    <row r="143" spans="1:6" x14ac:dyDescent="0.25">
      <c r="A143" s="170"/>
      <c r="B143" s="175" t="s">
        <v>358</v>
      </c>
      <c r="C143" s="172">
        <v>4</v>
      </c>
      <c r="D143" s="172" t="s">
        <v>298</v>
      </c>
      <c r="E143" s="173">
        <v>1000000</v>
      </c>
      <c r="F143" s="173">
        <v>4000000</v>
      </c>
    </row>
    <row r="144" spans="1:6" x14ac:dyDescent="0.25">
      <c r="A144" s="170"/>
      <c r="B144" s="175" t="s">
        <v>359</v>
      </c>
      <c r="C144" s="172">
        <v>4</v>
      </c>
      <c r="D144" s="172" t="s">
        <v>298</v>
      </c>
      <c r="E144" s="173">
        <v>1000000</v>
      </c>
      <c r="F144" s="173">
        <v>4000000</v>
      </c>
    </row>
    <row r="145" spans="1:6" x14ac:dyDescent="0.25">
      <c r="A145" s="166" t="s">
        <v>14</v>
      </c>
      <c r="B145" s="166" t="s">
        <v>15</v>
      </c>
      <c r="C145" s="168"/>
      <c r="D145" s="168"/>
      <c r="E145" s="169"/>
      <c r="F145" s="167">
        <v>22600000</v>
      </c>
    </row>
    <row r="146" spans="1:6" x14ac:dyDescent="0.25">
      <c r="A146" s="170"/>
      <c r="B146" s="176" t="s">
        <v>360</v>
      </c>
      <c r="C146" s="172">
        <v>4</v>
      </c>
      <c r="D146" s="172" t="s">
        <v>296</v>
      </c>
      <c r="E146" s="173">
        <v>450000</v>
      </c>
      <c r="F146" s="173">
        <v>1800000</v>
      </c>
    </row>
    <row r="147" spans="1:6" x14ac:dyDescent="0.25">
      <c r="A147" s="170"/>
      <c r="B147" s="176" t="s">
        <v>361</v>
      </c>
      <c r="C147" s="172">
        <v>4</v>
      </c>
      <c r="D147" s="172" t="s">
        <v>296</v>
      </c>
      <c r="E147" s="173">
        <v>400000</v>
      </c>
      <c r="F147" s="173">
        <v>1600000</v>
      </c>
    </row>
    <row r="148" spans="1:6" x14ac:dyDescent="0.25">
      <c r="A148" s="170"/>
      <c r="B148" s="176" t="s">
        <v>362</v>
      </c>
      <c r="C148" s="172">
        <v>4</v>
      </c>
      <c r="D148" s="172" t="s">
        <v>296</v>
      </c>
      <c r="E148" s="173">
        <v>300000</v>
      </c>
      <c r="F148" s="173">
        <v>1200000</v>
      </c>
    </row>
    <row r="149" spans="1:6" x14ac:dyDescent="0.25">
      <c r="A149" s="170"/>
      <c r="B149" s="176" t="s">
        <v>363</v>
      </c>
      <c r="C149" s="172">
        <v>60</v>
      </c>
      <c r="D149" s="172" t="s">
        <v>296</v>
      </c>
      <c r="E149" s="173">
        <v>300000</v>
      </c>
      <c r="F149" s="173">
        <v>18000000</v>
      </c>
    </row>
    <row r="150" spans="1:6" x14ac:dyDescent="0.25">
      <c r="A150" s="166" t="s">
        <v>16</v>
      </c>
      <c r="B150" s="166" t="s">
        <v>17</v>
      </c>
      <c r="C150" s="168"/>
      <c r="D150" s="168"/>
      <c r="E150" s="169"/>
      <c r="F150" s="167">
        <v>69600000</v>
      </c>
    </row>
    <row r="151" spans="1:6" x14ac:dyDescent="0.25">
      <c r="A151" s="170"/>
      <c r="B151" s="171" t="s">
        <v>371</v>
      </c>
      <c r="C151" s="172">
        <v>64</v>
      </c>
      <c r="D151" s="172" t="s">
        <v>297</v>
      </c>
      <c r="E151" s="173">
        <v>1000000</v>
      </c>
      <c r="F151" s="173">
        <v>64000000</v>
      </c>
    </row>
    <row r="152" spans="1:6" x14ac:dyDescent="0.25">
      <c r="A152" s="170"/>
      <c r="B152" s="171" t="s">
        <v>372</v>
      </c>
      <c r="C152" s="172">
        <v>8</v>
      </c>
      <c r="D152" s="172" t="s">
        <v>347</v>
      </c>
      <c r="E152" s="173">
        <v>700000</v>
      </c>
      <c r="F152" s="173">
        <v>5600000</v>
      </c>
    </row>
    <row r="153" spans="1:6" x14ac:dyDescent="0.25">
      <c r="A153" s="166" t="s">
        <v>28</v>
      </c>
      <c r="B153" s="166" t="s">
        <v>29</v>
      </c>
      <c r="C153" s="168"/>
      <c r="D153" s="168"/>
      <c r="E153" s="169"/>
      <c r="F153" s="167">
        <v>80750000</v>
      </c>
    </row>
    <row r="154" spans="1:6" x14ac:dyDescent="0.25">
      <c r="A154" s="170"/>
      <c r="B154" s="171" t="s">
        <v>378</v>
      </c>
      <c r="C154" s="172">
        <v>75</v>
      </c>
      <c r="D154" s="172" t="s">
        <v>301</v>
      </c>
      <c r="E154" s="173">
        <v>430000</v>
      </c>
      <c r="F154" s="173">
        <v>32250000</v>
      </c>
    </row>
    <row r="155" spans="1:6" x14ac:dyDescent="0.25">
      <c r="A155" s="170"/>
      <c r="B155" s="171" t="s">
        <v>379</v>
      </c>
      <c r="C155" s="172">
        <v>50</v>
      </c>
      <c r="D155" s="172" t="s">
        <v>296</v>
      </c>
      <c r="E155" s="173">
        <v>284000</v>
      </c>
      <c r="F155" s="173">
        <v>14200000</v>
      </c>
    </row>
    <row r="156" spans="1:6" x14ac:dyDescent="0.25">
      <c r="A156" s="170"/>
      <c r="B156" s="171" t="s">
        <v>544</v>
      </c>
      <c r="C156" s="172">
        <v>50</v>
      </c>
      <c r="D156" s="172" t="s">
        <v>296</v>
      </c>
      <c r="E156" s="173">
        <v>686000</v>
      </c>
      <c r="F156" s="173">
        <v>34300000</v>
      </c>
    </row>
    <row r="157" spans="1:6" x14ac:dyDescent="0.25">
      <c r="A157" s="166" t="s">
        <v>18</v>
      </c>
      <c r="B157" s="166" t="s">
        <v>19</v>
      </c>
      <c r="C157" s="168"/>
      <c r="D157" s="168"/>
      <c r="E157" s="169"/>
      <c r="F157" s="167">
        <v>40180000</v>
      </c>
    </row>
    <row r="158" spans="1:6" x14ac:dyDescent="0.25">
      <c r="A158" s="170"/>
      <c r="B158" s="171" t="s">
        <v>546</v>
      </c>
      <c r="C158" s="172">
        <v>50</v>
      </c>
      <c r="D158" s="172" t="s">
        <v>301</v>
      </c>
      <c r="E158" s="173">
        <v>210000</v>
      </c>
      <c r="F158" s="173">
        <v>10500000</v>
      </c>
    </row>
    <row r="159" spans="1:6" x14ac:dyDescent="0.25">
      <c r="A159" s="170"/>
      <c r="B159" s="171" t="s">
        <v>547</v>
      </c>
      <c r="C159" s="172">
        <v>50</v>
      </c>
      <c r="D159" s="172" t="s">
        <v>296</v>
      </c>
      <c r="E159" s="173">
        <v>170000</v>
      </c>
      <c r="F159" s="173">
        <v>8500000</v>
      </c>
    </row>
    <row r="160" spans="1:6" x14ac:dyDescent="0.25">
      <c r="A160" s="170"/>
      <c r="B160" s="171" t="s">
        <v>548</v>
      </c>
      <c r="C160" s="172">
        <v>100</v>
      </c>
      <c r="D160" s="172" t="s">
        <v>301</v>
      </c>
      <c r="E160" s="173">
        <v>95000</v>
      </c>
      <c r="F160" s="173">
        <v>9500000</v>
      </c>
    </row>
    <row r="161" spans="1:6" x14ac:dyDescent="0.25">
      <c r="A161" s="170"/>
      <c r="B161" s="171" t="s">
        <v>549</v>
      </c>
      <c r="C161" s="172">
        <v>16</v>
      </c>
      <c r="D161" s="172" t="s">
        <v>296</v>
      </c>
      <c r="E161" s="173">
        <v>730000</v>
      </c>
      <c r="F161" s="173">
        <v>11680000</v>
      </c>
    </row>
    <row r="162" spans="1:6" x14ac:dyDescent="0.25">
      <c r="A162" s="162" t="s">
        <v>42</v>
      </c>
      <c r="B162" s="162" t="s">
        <v>43</v>
      </c>
      <c r="C162" s="163"/>
      <c r="D162" s="163"/>
      <c r="E162" s="164"/>
      <c r="F162" s="165">
        <v>199297000</v>
      </c>
    </row>
    <row r="163" spans="1:6" x14ac:dyDescent="0.25">
      <c r="A163" s="166" t="s">
        <v>22</v>
      </c>
      <c r="B163" s="166" t="s">
        <v>23</v>
      </c>
      <c r="C163" s="168"/>
      <c r="D163" s="168"/>
      <c r="E163" s="169"/>
      <c r="F163" s="167">
        <v>106379000</v>
      </c>
    </row>
    <row r="164" spans="1:6" x14ac:dyDescent="0.25">
      <c r="A164" s="170"/>
      <c r="B164" s="171" t="s">
        <v>375</v>
      </c>
      <c r="C164" s="172">
        <v>1200</v>
      </c>
      <c r="D164" s="172" t="s">
        <v>296</v>
      </c>
      <c r="E164" s="173">
        <v>57000</v>
      </c>
      <c r="F164" s="173">
        <v>68400000</v>
      </c>
    </row>
    <row r="165" spans="1:6" x14ac:dyDescent="0.25">
      <c r="A165" s="170"/>
      <c r="B165" s="171" t="s">
        <v>376</v>
      </c>
      <c r="C165" s="172">
        <v>1200</v>
      </c>
      <c r="D165" s="172" t="s">
        <v>296</v>
      </c>
      <c r="E165" s="173">
        <v>24000</v>
      </c>
      <c r="F165" s="173">
        <v>28800000</v>
      </c>
    </row>
    <row r="166" spans="1:6" x14ac:dyDescent="0.25">
      <c r="A166" s="170"/>
      <c r="B166" s="175" t="s">
        <v>344</v>
      </c>
      <c r="C166" s="172">
        <v>1</v>
      </c>
      <c r="D166" s="172" t="s">
        <v>298</v>
      </c>
      <c r="E166" s="173">
        <v>1179000</v>
      </c>
      <c r="F166" s="173">
        <v>1179000</v>
      </c>
    </row>
    <row r="167" spans="1:6" x14ac:dyDescent="0.25">
      <c r="A167" s="170"/>
      <c r="B167" s="175" t="s">
        <v>358</v>
      </c>
      <c r="C167" s="172">
        <v>4</v>
      </c>
      <c r="D167" s="172" t="s">
        <v>298</v>
      </c>
      <c r="E167" s="173">
        <v>1000000</v>
      </c>
      <c r="F167" s="173">
        <v>4000000</v>
      </c>
    </row>
    <row r="168" spans="1:6" x14ac:dyDescent="0.25">
      <c r="A168" s="170"/>
      <c r="B168" s="175" t="s">
        <v>359</v>
      </c>
      <c r="C168" s="172">
        <v>4</v>
      </c>
      <c r="D168" s="172" t="s">
        <v>298</v>
      </c>
      <c r="E168" s="173">
        <v>1000000</v>
      </c>
      <c r="F168" s="173">
        <v>4000000</v>
      </c>
    </row>
    <row r="169" spans="1:6" x14ac:dyDescent="0.25">
      <c r="A169" s="166" t="s">
        <v>14</v>
      </c>
      <c r="B169" s="166" t="s">
        <v>15</v>
      </c>
      <c r="C169" s="168"/>
      <c r="D169" s="168"/>
      <c r="E169" s="169"/>
      <c r="F169" s="167">
        <v>4750000</v>
      </c>
    </row>
    <row r="170" spans="1:6" x14ac:dyDescent="0.25">
      <c r="A170" s="170"/>
      <c r="B170" s="176" t="s">
        <v>360</v>
      </c>
      <c r="C170" s="172">
        <v>1</v>
      </c>
      <c r="D170" s="172" t="s">
        <v>296</v>
      </c>
      <c r="E170" s="173">
        <v>450000</v>
      </c>
      <c r="F170" s="173">
        <v>450000</v>
      </c>
    </row>
    <row r="171" spans="1:6" x14ac:dyDescent="0.25">
      <c r="A171" s="170"/>
      <c r="B171" s="176" t="s">
        <v>361</v>
      </c>
      <c r="C171" s="172">
        <v>1</v>
      </c>
      <c r="D171" s="172" t="s">
        <v>296</v>
      </c>
      <c r="E171" s="173">
        <v>400000</v>
      </c>
      <c r="F171" s="173">
        <v>400000</v>
      </c>
    </row>
    <row r="172" spans="1:6" x14ac:dyDescent="0.25">
      <c r="A172" s="170"/>
      <c r="B172" s="176" t="s">
        <v>362</v>
      </c>
      <c r="C172" s="172">
        <v>1</v>
      </c>
      <c r="D172" s="172" t="s">
        <v>296</v>
      </c>
      <c r="E172" s="173">
        <v>300000</v>
      </c>
      <c r="F172" s="173">
        <v>300000</v>
      </c>
    </row>
    <row r="173" spans="1:6" x14ac:dyDescent="0.25">
      <c r="A173" s="170"/>
      <c r="B173" s="176" t="s">
        <v>363</v>
      </c>
      <c r="C173" s="172">
        <v>12</v>
      </c>
      <c r="D173" s="172" t="s">
        <v>296</v>
      </c>
      <c r="E173" s="173">
        <v>300000</v>
      </c>
      <c r="F173" s="173">
        <v>3600000</v>
      </c>
    </row>
    <row r="174" spans="1:6" x14ac:dyDescent="0.25">
      <c r="A174" s="166" t="s">
        <v>16</v>
      </c>
      <c r="B174" s="166" t="s">
        <v>17</v>
      </c>
      <c r="C174" s="168"/>
      <c r="D174" s="168"/>
      <c r="E174" s="169"/>
      <c r="F174" s="167">
        <v>41600000</v>
      </c>
    </row>
    <row r="175" spans="1:6" x14ac:dyDescent="0.25">
      <c r="A175" s="170"/>
      <c r="B175" s="171" t="s">
        <v>529</v>
      </c>
      <c r="C175" s="172">
        <v>36</v>
      </c>
      <c r="D175" s="172" t="s">
        <v>297</v>
      </c>
      <c r="E175" s="173">
        <v>1000000</v>
      </c>
      <c r="F175" s="173">
        <v>36000000</v>
      </c>
    </row>
    <row r="176" spans="1:6" x14ac:dyDescent="0.25">
      <c r="A176" s="170"/>
      <c r="B176" s="171" t="s">
        <v>372</v>
      </c>
      <c r="C176" s="172">
        <v>8</v>
      </c>
      <c r="D176" s="172" t="s">
        <v>347</v>
      </c>
      <c r="E176" s="173">
        <v>700000</v>
      </c>
      <c r="F176" s="173">
        <v>5600000</v>
      </c>
    </row>
    <row r="177" spans="1:6" x14ac:dyDescent="0.25">
      <c r="A177" s="166" t="s">
        <v>28</v>
      </c>
      <c r="B177" s="166" t="s">
        <v>29</v>
      </c>
      <c r="C177" s="168"/>
      <c r="D177" s="168"/>
      <c r="E177" s="169"/>
      <c r="F177" s="167">
        <v>8568000</v>
      </c>
    </row>
    <row r="178" spans="1:6" x14ac:dyDescent="0.25">
      <c r="A178" s="170"/>
      <c r="B178" s="171" t="s">
        <v>365</v>
      </c>
      <c r="C178" s="172">
        <v>12</v>
      </c>
      <c r="D178" s="172" t="s">
        <v>301</v>
      </c>
      <c r="E178" s="173">
        <v>430000</v>
      </c>
      <c r="F178" s="173">
        <v>5160000</v>
      </c>
    </row>
    <row r="179" spans="1:6" x14ac:dyDescent="0.25">
      <c r="A179" s="170"/>
      <c r="B179" s="171" t="s">
        <v>366</v>
      </c>
      <c r="C179" s="172">
        <v>12</v>
      </c>
      <c r="D179" s="172" t="s">
        <v>296</v>
      </c>
      <c r="E179" s="173">
        <v>284000</v>
      </c>
      <c r="F179" s="173">
        <v>3408000</v>
      </c>
    </row>
    <row r="180" spans="1:6" x14ac:dyDescent="0.25">
      <c r="A180" s="166" t="s">
        <v>18</v>
      </c>
      <c r="B180" s="166" t="s">
        <v>19</v>
      </c>
      <c r="C180" s="168"/>
      <c r="D180" s="168"/>
      <c r="E180" s="169"/>
      <c r="F180" s="167">
        <v>38000000</v>
      </c>
    </row>
    <row r="181" spans="1:6" x14ac:dyDescent="0.25">
      <c r="A181" s="170"/>
      <c r="B181" s="171" t="s">
        <v>373</v>
      </c>
      <c r="C181" s="172">
        <v>100</v>
      </c>
      <c r="D181" s="172" t="s">
        <v>301</v>
      </c>
      <c r="E181" s="173">
        <v>210000</v>
      </c>
      <c r="F181" s="173">
        <v>21000000</v>
      </c>
    </row>
    <row r="182" spans="1:6" x14ac:dyDescent="0.25">
      <c r="A182" s="170"/>
      <c r="B182" s="171" t="s">
        <v>374</v>
      </c>
      <c r="C182" s="172">
        <v>100</v>
      </c>
      <c r="D182" s="172" t="s">
        <v>296</v>
      </c>
      <c r="E182" s="173">
        <v>170000</v>
      </c>
      <c r="F182" s="173">
        <v>17000000</v>
      </c>
    </row>
    <row r="183" spans="1:6" x14ac:dyDescent="0.25">
      <c r="A183" s="170"/>
      <c r="B183" s="171" t="s">
        <v>380</v>
      </c>
      <c r="C183" s="172">
        <v>5</v>
      </c>
      <c r="D183" s="172" t="s">
        <v>296</v>
      </c>
      <c r="E183" s="173">
        <v>730000</v>
      </c>
      <c r="F183" s="173">
        <v>3650000</v>
      </c>
    </row>
    <row r="184" spans="1:6" x14ac:dyDescent="0.25">
      <c r="A184" s="170"/>
      <c r="B184" s="171" t="s">
        <v>528</v>
      </c>
      <c r="C184" s="172">
        <v>100</v>
      </c>
      <c r="D184" s="172" t="s">
        <v>301</v>
      </c>
      <c r="E184" s="173">
        <v>95000</v>
      </c>
      <c r="F184" s="173">
        <v>9500000</v>
      </c>
    </row>
    <row r="185" spans="1:6" x14ac:dyDescent="0.25">
      <c r="A185" s="162" t="s">
        <v>44</v>
      </c>
      <c r="B185" s="162" t="s">
        <v>45</v>
      </c>
      <c r="C185" s="163"/>
      <c r="D185" s="163"/>
      <c r="E185" s="164"/>
      <c r="F185" s="165">
        <v>439298000</v>
      </c>
    </row>
    <row r="186" spans="1:6" x14ac:dyDescent="0.25">
      <c r="A186" s="166" t="s">
        <v>22</v>
      </c>
      <c r="B186" s="166" t="s">
        <v>23</v>
      </c>
      <c r="C186" s="168"/>
      <c r="D186" s="168"/>
      <c r="E186" s="169"/>
      <c r="F186" s="167">
        <v>117198000</v>
      </c>
    </row>
    <row r="187" spans="1:6" x14ac:dyDescent="0.25">
      <c r="A187" s="170"/>
      <c r="B187" s="171" t="s">
        <v>375</v>
      </c>
      <c r="C187" s="172">
        <v>1200</v>
      </c>
      <c r="D187" s="172" t="s">
        <v>296</v>
      </c>
      <c r="E187" s="173">
        <v>57000</v>
      </c>
      <c r="F187" s="173">
        <v>68400000</v>
      </c>
    </row>
    <row r="188" spans="1:6" x14ac:dyDescent="0.25">
      <c r="A188" s="170"/>
      <c r="B188" s="171" t="s">
        <v>376</v>
      </c>
      <c r="C188" s="172">
        <v>1200</v>
      </c>
      <c r="D188" s="172" t="s">
        <v>296</v>
      </c>
      <c r="E188" s="173">
        <v>24000</v>
      </c>
      <c r="F188" s="173">
        <v>28800000</v>
      </c>
    </row>
    <row r="189" spans="1:6" x14ac:dyDescent="0.25">
      <c r="A189" s="170"/>
      <c r="B189" s="175" t="s">
        <v>344</v>
      </c>
      <c r="C189" s="172">
        <v>1</v>
      </c>
      <c r="D189" s="172" t="s">
        <v>298</v>
      </c>
      <c r="E189" s="173">
        <v>1998000</v>
      </c>
      <c r="F189" s="173">
        <v>1998000</v>
      </c>
    </row>
    <row r="190" spans="1:6" x14ac:dyDescent="0.25">
      <c r="A190" s="170"/>
      <c r="B190" s="175" t="s">
        <v>381</v>
      </c>
      <c r="C190" s="172">
        <v>150</v>
      </c>
      <c r="D190" s="172" t="s">
        <v>296</v>
      </c>
      <c r="E190" s="173">
        <v>40000</v>
      </c>
      <c r="F190" s="173">
        <v>6000000</v>
      </c>
    </row>
    <row r="191" spans="1:6" x14ac:dyDescent="0.25">
      <c r="A191" s="170"/>
      <c r="B191" s="175" t="s">
        <v>358</v>
      </c>
      <c r="C191" s="172">
        <v>4</v>
      </c>
      <c r="D191" s="172" t="s">
        <v>298</v>
      </c>
      <c r="E191" s="173">
        <v>2000000</v>
      </c>
      <c r="F191" s="173">
        <v>8000000</v>
      </c>
    </row>
    <row r="192" spans="1:6" x14ac:dyDescent="0.25">
      <c r="A192" s="170"/>
      <c r="B192" s="175" t="s">
        <v>359</v>
      </c>
      <c r="C192" s="172">
        <v>4</v>
      </c>
      <c r="D192" s="172" t="s">
        <v>298</v>
      </c>
      <c r="E192" s="173">
        <v>1000000</v>
      </c>
      <c r="F192" s="173">
        <v>4000000</v>
      </c>
    </row>
    <row r="193" spans="1:6" x14ac:dyDescent="0.25">
      <c r="A193" s="166" t="s">
        <v>14</v>
      </c>
      <c r="B193" s="166" t="s">
        <v>15</v>
      </c>
      <c r="C193" s="168"/>
      <c r="D193" s="168"/>
      <c r="E193" s="169"/>
      <c r="F193" s="167">
        <v>4750000</v>
      </c>
    </row>
    <row r="194" spans="1:6" x14ac:dyDescent="0.25">
      <c r="A194" s="170"/>
      <c r="B194" s="176" t="s">
        <v>360</v>
      </c>
      <c r="C194" s="172">
        <v>1</v>
      </c>
      <c r="D194" s="172" t="s">
        <v>296</v>
      </c>
      <c r="E194" s="173">
        <v>450000</v>
      </c>
      <c r="F194" s="173">
        <v>450000</v>
      </c>
    </row>
    <row r="195" spans="1:6" x14ac:dyDescent="0.25">
      <c r="A195" s="170"/>
      <c r="B195" s="176" t="s">
        <v>361</v>
      </c>
      <c r="C195" s="172">
        <v>1</v>
      </c>
      <c r="D195" s="172" t="s">
        <v>296</v>
      </c>
      <c r="E195" s="173">
        <v>400000</v>
      </c>
      <c r="F195" s="173">
        <v>400000</v>
      </c>
    </row>
    <row r="196" spans="1:6" x14ac:dyDescent="0.25">
      <c r="A196" s="170"/>
      <c r="B196" s="176" t="s">
        <v>362</v>
      </c>
      <c r="C196" s="172">
        <v>1</v>
      </c>
      <c r="D196" s="172" t="s">
        <v>296</v>
      </c>
      <c r="E196" s="173">
        <v>300000</v>
      </c>
      <c r="F196" s="173">
        <v>300000</v>
      </c>
    </row>
    <row r="197" spans="1:6" x14ac:dyDescent="0.25">
      <c r="A197" s="170"/>
      <c r="B197" s="176" t="s">
        <v>363</v>
      </c>
      <c r="C197" s="172">
        <v>12</v>
      </c>
      <c r="D197" s="172" t="s">
        <v>296</v>
      </c>
      <c r="E197" s="173">
        <v>300000</v>
      </c>
      <c r="F197" s="173">
        <v>3600000</v>
      </c>
    </row>
    <row r="198" spans="1:6" x14ac:dyDescent="0.25">
      <c r="A198" s="166" t="s">
        <v>16</v>
      </c>
      <c r="B198" s="166" t="s">
        <v>17</v>
      </c>
      <c r="C198" s="168"/>
      <c r="D198" s="168"/>
      <c r="E198" s="169"/>
      <c r="F198" s="167">
        <v>69600000</v>
      </c>
    </row>
    <row r="199" spans="1:6" x14ac:dyDescent="0.25">
      <c r="A199" s="170"/>
      <c r="B199" s="171" t="s">
        <v>371</v>
      </c>
      <c r="C199" s="172">
        <v>64</v>
      </c>
      <c r="D199" s="172" t="s">
        <v>297</v>
      </c>
      <c r="E199" s="173">
        <v>1000000</v>
      </c>
      <c r="F199" s="173">
        <v>64000000</v>
      </c>
    </row>
    <row r="200" spans="1:6" x14ac:dyDescent="0.25">
      <c r="A200" s="170"/>
      <c r="B200" s="171" t="s">
        <v>372</v>
      </c>
      <c r="C200" s="172">
        <v>8</v>
      </c>
      <c r="D200" s="172" t="s">
        <v>347</v>
      </c>
      <c r="E200" s="173">
        <v>700000</v>
      </c>
      <c r="F200" s="173">
        <v>5600000</v>
      </c>
    </row>
    <row r="201" spans="1:6" x14ac:dyDescent="0.25">
      <c r="A201" s="166" t="s">
        <v>28</v>
      </c>
      <c r="B201" s="166" t="s">
        <v>29</v>
      </c>
      <c r="C201" s="168"/>
      <c r="D201" s="168"/>
      <c r="E201" s="169"/>
      <c r="F201" s="167">
        <v>80750000</v>
      </c>
    </row>
    <row r="202" spans="1:6" x14ac:dyDescent="0.25">
      <c r="A202" s="170"/>
      <c r="B202" s="171" t="s">
        <v>378</v>
      </c>
      <c r="C202" s="172">
        <v>75</v>
      </c>
      <c r="D202" s="172" t="s">
        <v>301</v>
      </c>
      <c r="E202" s="173">
        <v>430000</v>
      </c>
      <c r="F202" s="173">
        <v>32250000</v>
      </c>
    </row>
    <row r="203" spans="1:6" x14ac:dyDescent="0.25">
      <c r="A203" s="170"/>
      <c r="B203" s="171" t="s">
        <v>379</v>
      </c>
      <c r="C203" s="172">
        <v>50</v>
      </c>
      <c r="D203" s="172" t="s">
        <v>296</v>
      </c>
      <c r="E203" s="173">
        <v>284000</v>
      </c>
      <c r="F203" s="173">
        <v>14200000</v>
      </c>
    </row>
    <row r="204" spans="1:6" x14ac:dyDescent="0.25">
      <c r="A204" s="170"/>
      <c r="B204" s="171" t="s">
        <v>544</v>
      </c>
      <c r="C204" s="172">
        <v>50</v>
      </c>
      <c r="D204" s="172" t="s">
        <v>296</v>
      </c>
      <c r="E204" s="173">
        <v>686000</v>
      </c>
      <c r="F204" s="173">
        <v>34300000</v>
      </c>
    </row>
    <row r="205" spans="1:6" x14ac:dyDescent="0.25">
      <c r="A205" s="166" t="s">
        <v>18</v>
      </c>
      <c r="B205" s="166" t="s">
        <v>19</v>
      </c>
      <c r="C205" s="168"/>
      <c r="D205" s="168"/>
      <c r="E205" s="169"/>
      <c r="F205" s="167">
        <v>38000000</v>
      </c>
    </row>
    <row r="206" spans="1:6" x14ac:dyDescent="0.25">
      <c r="A206" s="170"/>
      <c r="B206" s="171" t="s">
        <v>373</v>
      </c>
      <c r="C206" s="172">
        <v>100</v>
      </c>
      <c r="D206" s="172" t="s">
        <v>301</v>
      </c>
      <c r="E206" s="173">
        <v>210000</v>
      </c>
      <c r="F206" s="173">
        <v>21000000</v>
      </c>
    </row>
    <row r="207" spans="1:6" x14ac:dyDescent="0.25">
      <c r="A207" s="170"/>
      <c r="B207" s="171" t="s">
        <v>374</v>
      </c>
      <c r="C207" s="172">
        <v>100</v>
      </c>
      <c r="D207" s="172" t="s">
        <v>296</v>
      </c>
      <c r="E207" s="173">
        <v>170000</v>
      </c>
      <c r="F207" s="173">
        <v>17000000</v>
      </c>
    </row>
    <row r="208" spans="1:6" x14ac:dyDescent="0.25">
      <c r="A208" s="166" t="s">
        <v>33</v>
      </c>
      <c r="B208" s="166" t="s">
        <v>34</v>
      </c>
      <c r="C208" s="168"/>
      <c r="D208" s="168"/>
      <c r="E208" s="169"/>
      <c r="F208" s="167">
        <v>129000000</v>
      </c>
    </row>
    <row r="209" spans="1:6" x14ac:dyDescent="0.25">
      <c r="A209" s="170"/>
      <c r="B209" s="171" t="s">
        <v>373</v>
      </c>
      <c r="C209" s="172">
        <v>100</v>
      </c>
      <c r="D209" s="172" t="s">
        <v>301</v>
      </c>
      <c r="E209" s="173">
        <v>210000</v>
      </c>
      <c r="F209" s="173">
        <v>21000000</v>
      </c>
    </row>
    <row r="210" spans="1:6" x14ac:dyDescent="0.25">
      <c r="A210" s="170"/>
      <c r="B210" s="171" t="s">
        <v>374</v>
      </c>
      <c r="C210" s="172">
        <v>100</v>
      </c>
      <c r="D210" s="172" t="s">
        <v>296</v>
      </c>
      <c r="E210" s="173">
        <v>170000</v>
      </c>
      <c r="F210" s="173">
        <v>17000000</v>
      </c>
    </row>
    <row r="211" spans="1:6" x14ac:dyDescent="0.25">
      <c r="A211" s="170"/>
      <c r="B211" s="171" t="s">
        <v>527</v>
      </c>
      <c r="C211" s="172">
        <v>200</v>
      </c>
      <c r="D211" s="172" t="s">
        <v>296</v>
      </c>
      <c r="E211" s="173">
        <v>455000</v>
      </c>
      <c r="F211" s="173">
        <v>91000000</v>
      </c>
    </row>
    <row r="212" spans="1:6" x14ac:dyDescent="0.25">
      <c r="A212" s="158" t="s">
        <v>46</v>
      </c>
      <c r="B212" s="158" t="s">
        <v>47</v>
      </c>
      <c r="C212" s="159" t="s">
        <v>11</v>
      </c>
      <c r="D212" s="159"/>
      <c r="E212" s="160"/>
      <c r="F212" s="161">
        <v>564875000</v>
      </c>
    </row>
    <row r="213" spans="1:6" x14ac:dyDescent="0.25">
      <c r="A213" s="162" t="s">
        <v>12</v>
      </c>
      <c r="B213" s="162" t="s">
        <v>48</v>
      </c>
      <c r="C213" s="163"/>
      <c r="D213" s="163"/>
      <c r="E213" s="164"/>
      <c r="F213" s="165">
        <v>92883000</v>
      </c>
    </row>
    <row r="214" spans="1:6" x14ac:dyDescent="0.25">
      <c r="A214" s="166" t="s">
        <v>22</v>
      </c>
      <c r="B214" s="166" t="s">
        <v>23</v>
      </c>
      <c r="C214" s="168"/>
      <c r="D214" s="168"/>
      <c r="E214" s="169"/>
      <c r="F214" s="167">
        <v>16865000</v>
      </c>
    </row>
    <row r="215" spans="1:6" x14ac:dyDescent="0.25">
      <c r="A215" s="170"/>
      <c r="B215" s="171" t="s">
        <v>355</v>
      </c>
      <c r="C215" s="172">
        <v>150</v>
      </c>
      <c r="D215" s="172" t="s">
        <v>296</v>
      </c>
      <c r="E215" s="173">
        <v>57000</v>
      </c>
      <c r="F215" s="173">
        <v>8550000</v>
      </c>
    </row>
    <row r="216" spans="1:6" x14ac:dyDescent="0.25">
      <c r="A216" s="170"/>
      <c r="B216" s="171" t="s">
        <v>550</v>
      </c>
      <c r="C216" s="172">
        <v>150</v>
      </c>
      <c r="D216" s="172" t="s">
        <v>296</v>
      </c>
      <c r="E216" s="173">
        <v>24000</v>
      </c>
      <c r="F216" s="173">
        <v>3600000</v>
      </c>
    </row>
    <row r="217" spans="1:6" x14ac:dyDescent="0.25">
      <c r="A217" s="170"/>
      <c r="B217" s="175" t="s">
        <v>344</v>
      </c>
      <c r="C217" s="172">
        <v>1</v>
      </c>
      <c r="D217" s="172" t="s">
        <v>298</v>
      </c>
      <c r="E217" s="173">
        <v>2715000</v>
      </c>
      <c r="F217" s="173">
        <v>2715000</v>
      </c>
    </row>
    <row r="218" spans="1:6" x14ac:dyDescent="0.25">
      <c r="A218" s="170"/>
      <c r="B218" s="178" t="s">
        <v>358</v>
      </c>
      <c r="C218" s="172">
        <v>1</v>
      </c>
      <c r="D218" s="172" t="s">
        <v>298</v>
      </c>
      <c r="E218" s="173">
        <v>1000000</v>
      </c>
      <c r="F218" s="173">
        <v>1000000</v>
      </c>
    </row>
    <row r="219" spans="1:6" x14ac:dyDescent="0.25">
      <c r="A219" s="170"/>
      <c r="B219" s="178" t="s">
        <v>359</v>
      </c>
      <c r="C219" s="172">
        <v>1</v>
      </c>
      <c r="D219" s="172" t="s">
        <v>298</v>
      </c>
      <c r="E219" s="173">
        <v>1000000</v>
      </c>
      <c r="F219" s="173">
        <v>1000000</v>
      </c>
    </row>
    <row r="220" spans="1:6" x14ac:dyDescent="0.25">
      <c r="A220" s="166" t="s">
        <v>14</v>
      </c>
      <c r="B220" s="166" t="s">
        <v>15</v>
      </c>
      <c r="C220" s="168"/>
      <c r="D220" s="168"/>
      <c r="E220" s="169"/>
      <c r="F220" s="167">
        <v>2650000</v>
      </c>
    </row>
    <row r="221" spans="1:6" x14ac:dyDescent="0.25">
      <c r="A221" s="170"/>
      <c r="B221" s="176" t="s">
        <v>360</v>
      </c>
      <c r="C221" s="172">
        <v>1</v>
      </c>
      <c r="D221" s="172" t="s">
        <v>296</v>
      </c>
      <c r="E221" s="173">
        <v>450000</v>
      </c>
      <c r="F221" s="173">
        <v>450000</v>
      </c>
    </row>
    <row r="222" spans="1:6" x14ac:dyDescent="0.25">
      <c r="A222" s="170"/>
      <c r="B222" s="176" t="s">
        <v>361</v>
      </c>
      <c r="C222" s="172">
        <v>1</v>
      </c>
      <c r="D222" s="172" t="s">
        <v>296</v>
      </c>
      <c r="E222" s="173">
        <v>400000</v>
      </c>
      <c r="F222" s="173">
        <v>400000</v>
      </c>
    </row>
    <row r="223" spans="1:6" x14ac:dyDescent="0.25">
      <c r="A223" s="170"/>
      <c r="B223" s="176" t="s">
        <v>362</v>
      </c>
      <c r="C223" s="172">
        <v>1</v>
      </c>
      <c r="D223" s="172" t="s">
        <v>296</v>
      </c>
      <c r="E223" s="173">
        <v>300000</v>
      </c>
      <c r="F223" s="173">
        <v>300000</v>
      </c>
    </row>
    <row r="224" spans="1:6" x14ac:dyDescent="0.25">
      <c r="A224" s="170"/>
      <c r="B224" s="176" t="s">
        <v>363</v>
      </c>
      <c r="C224" s="172">
        <v>5</v>
      </c>
      <c r="D224" s="172" t="s">
        <v>296</v>
      </c>
      <c r="E224" s="173">
        <v>300000</v>
      </c>
      <c r="F224" s="173">
        <v>1500000</v>
      </c>
    </row>
    <row r="225" spans="1:6" x14ac:dyDescent="0.25">
      <c r="A225" s="166" t="s">
        <v>16</v>
      </c>
      <c r="B225" s="166" t="s">
        <v>17</v>
      </c>
      <c r="C225" s="168"/>
      <c r="D225" s="168"/>
      <c r="E225" s="169"/>
      <c r="F225" s="167">
        <v>26800000</v>
      </c>
    </row>
    <row r="226" spans="1:6" x14ac:dyDescent="0.25">
      <c r="A226" s="170"/>
      <c r="B226" s="171" t="s">
        <v>551</v>
      </c>
      <c r="C226" s="172">
        <v>24</v>
      </c>
      <c r="D226" s="172" t="s">
        <v>297</v>
      </c>
      <c r="E226" s="173">
        <v>1000000</v>
      </c>
      <c r="F226" s="173">
        <v>24000000</v>
      </c>
    </row>
    <row r="227" spans="1:6" x14ac:dyDescent="0.25">
      <c r="A227" s="170"/>
      <c r="B227" s="171" t="s">
        <v>552</v>
      </c>
      <c r="C227" s="172">
        <v>4</v>
      </c>
      <c r="D227" s="172" t="s">
        <v>347</v>
      </c>
      <c r="E227" s="173">
        <v>700000</v>
      </c>
      <c r="F227" s="173">
        <v>2800000</v>
      </c>
    </row>
    <row r="228" spans="1:6" x14ac:dyDescent="0.25">
      <c r="A228" s="166" t="s">
        <v>28</v>
      </c>
      <c r="B228" s="166" t="s">
        <v>29</v>
      </c>
      <c r="C228" s="168"/>
      <c r="D228" s="168"/>
      <c r="E228" s="169"/>
      <c r="F228" s="167">
        <v>8568000</v>
      </c>
    </row>
    <row r="229" spans="1:6" x14ac:dyDescent="0.25">
      <c r="A229" s="170"/>
      <c r="B229" s="171" t="s">
        <v>365</v>
      </c>
      <c r="C229" s="172">
        <v>12</v>
      </c>
      <c r="D229" s="172" t="s">
        <v>301</v>
      </c>
      <c r="E229" s="173">
        <v>430000</v>
      </c>
      <c r="F229" s="173">
        <v>5160000</v>
      </c>
    </row>
    <row r="230" spans="1:6" x14ac:dyDescent="0.25">
      <c r="A230" s="170"/>
      <c r="B230" s="171" t="s">
        <v>366</v>
      </c>
      <c r="C230" s="172">
        <v>12</v>
      </c>
      <c r="D230" s="172" t="s">
        <v>296</v>
      </c>
      <c r="E230" s="173">
        <v>284000</v>
      </c>
      <c r="F230" s="173">
        <v>3408000</v>
      </c>
    </row>
    <row r="231" spans="1:6" x14ac:dyDescent="0.25">
      <c r="A231" s="166" t="s">
        <v>18</v>
      </c>
      <c r="B231" s="166" t="s">
        <v>19</v>
      </c>
      <c r="C231" s="168"/>
      <c r="D231" s="168"/>
      <c r="E231" s="169"/>
      <c r="F231" s="167">
        <v>38000000</v>
      </c>
    </row>
    <row r="232" spans="1:6" x14ac:dyDescent="0.25">
      <c r="A232" s="170"/>
      <c r="B232" s="171" t="s">
        <v>373</v>
      </c>
      <c r="C232" s="172">
        <v>100</v>
      </c>
      <c r="D232" s="172" t="s">
        <v>301</v>
      </c>
      <c r="E232" s="173">
        <v>210000</v>
      </c>
      <c r="F232" s="173">
        <v>21000000</v>
      </c>
    </row>
    <row r="233" spans="1:6" x14ac:dyDescent="0.25">
      <c r="A233" s="170"/>
      <c r="B233" s="171" t="s">
        <v>374</v>
      </c>
      <c r="C233" s="172">
        <v>100</v>
      </c>
      <c r="D233" s="172" t="s">
        <v>296</v>
      </c>
      <c r="E233" s="173">
        <v>170000</v>
      </c>
      <c r="F233" s="173">
        <v>17000000</v>
      </c>
    </row>
    <row r="234" spans="1:6" x14ac:dyDescent="0.25">
      <c r="A234" s="162" t="s">
        <v>26</v>
      </c>
      <c r="B234" s="162" t="s">
        <v>49</v>
      </c>
      <c r="C234" s="163"/>
      <c r="D234" s="163"/>
      <c r="E234" s="164"/>
      <c r="F234" s="165">
        <v>471992000</v>
      </c>
    </row>
    <row r="235" spans="1:6" x14ac:dyDescent="0.25">
      <c r="A235" s="166" t="s">
        <v>22</v>
      </c>
      <c r="B235" s="166" t="s">
        <v>23</v>
      </c>
      <c r="C235" s="168"/>
      <c r="D235" s="168"/>
      <c r="E235" s="169"/>
      <c r="F235" s="167">
        <v>158492000</v>
      </c>
    </row>
    <row r="236" spans="1:6" x14ac:dyDescent="0.25">
      <c r="A236" s="170"/>
      <c r="B236" s="171" t="s">
        <v>554</v>
      </c>
      <c r="C236" s="172">
        <v>600</v>
      </c>
      <c r="D236" s="172" t="s">
        <v>296</v>
      </c>
      <c r="E236" s="173">
        <v>57000</v>
      </c>
      <c r="F236" s="173">
        <v>34200000</v>
      </c>
    </row>
    <row r="237" spans="1:6" x14ac:dyDescent="0.25">
      <c r="A237" s="170"/>
      <c r="B237" s="171" t="s">
        <v>555</v>
      </c>
      <c r="C237" s="172">
        <v>600</v>
      </c>
      <c r="D237" s="172" t="s">
        <v>296</v>
      </c>
      <c r="E237" s="173">
        <v>24000</v>
      </c>
      <c r="F237" s="173">
        <v>14400000</v>
      </c>
    </row>
    <row r="238" spans="1:6" x14ac:dyDescent="0.25">
      <c r="A238" s="170"/>
      <c r="B238" s="175" t="s">
        <v>344</v>
      </c>
      <c r="C238" s="172">
        <v>1</v>
      </c>
      <c r="D238" s="172" t="s">
        <v>298</v>
      </c>
      <c r="E238" s="173">
        <v>3892000</v>
      </c>
      <c r="F238" s="173">
        <v>3892000</v>
      </c>
    </row>
    <row r="239" spans="1:6" x14ac:dyDescent="0.25">
      <c r="A239" s="170"/>
      <c r="B239" s="178" t="s">
        <v>553</v>
      </c>
      <c r="C239" s="172">
        <v>600</v>
      </c>
      <c r="D239" s="172" t="s">
        <v>296</v>
      </c>
      <c r="E239" s="173">
        <v>175000</v>
      </c>
      <c r="F239" s="173">
        <v>105000000</v>
      </c>
    </row>
    <row r="240" spans="1:6" x14ac:dyDescent="0.25">
      <c r="A240" s="170"/>
      <c r="B240" s="178" t="s">
        <v>346</v>
      </c>
      <c r="C240" s="172">
        <v>1</v>
      </c>
      <c r="D240" s="172" t="s">
        <v>298</v>
      </c>
      <c r="E240" s="173">
        <v>1000000</v>
      </c>
      <c r="F240" s="173">
        <v>1000000</v>
      </c>
    </row>
    <row r="241" spans="1:6" x14ac:dyDescent="0.25">
      <c r="A241" s="166" t="s">
        <v>14</v>
      </c>
      <c r="B241" s="166" t="s">
        <v>15</v>
      </c>
      <c r="C241" s="168"/>
      <c r="D241" s="168"/>
      <c r="E241" s="169"/>
      <c r="F241" s="167">
        <v>18250000</v>
      </c>
    </row>
    <row r="242" spans="1:6" x14ac:dyDescent="0.25">
      <c r="A242" s="170"/>
      <c r="B242" s="176" t="s">
        <v>360</v>
      </c>
      <c r="C242" s="172">
        <v>1</v>
      </c>
      <c r="D242" s="172" t="s">
        <v>296</v>
      </c>
      <c r="E242" s="173">
        <v>450000</v>
      </c>
      <c r="F242" s="173">
        <v>450000</v>
      </c>
    </row>
    <row r="243" spans="1:6" x14ac:dyDescent="0.25">
      <c r="A243" s="170"/>
      <c r="B243" s="176" t="s">
        <v>361</v>
      </c>
      <c r="C243" s="172">
        <v>1</v>
      </c>
      <c r="D243" s="172" t="s">
        <v>296</v>
      </c>
      <c r="E243" s="173">
        <v>400000</v>
      </c>
      <c r="F243" s="173">
        <v>400000</v>
      </c>
    </row>
    <row r="244" spans="1:6" x14ac:dyDescent="0.25">
      <c r="A244" s="170"/>
      <c r="B244" s="176" t="s">
        <v>362</v>
      </c>
      <c r="C244" s="172">
        <v>1</v>
      </c>
      <c r="D244" s="172" t="s">
        <v>296</v>
      </c>
      <c r="E244" s="173">
        <v>300000</v>
      </c>
      <c r="F244" s="173">
        <v>300000</v>
      </c>
    </row>
    <row r="245" spans="1:6" x14ac:dyDescent="0.25">
      <c r="A245" s="170"/>
      <c r="B245" s="176" t="s">
        <v>363</v>
      </c>
      <c r="C245" s="172">
        <v>57</v>
      </c>
      <c r="D245" s="172" t="s">
        <v>296</v>
      </c>
      <c r="E245" s="173">
        <v>300000</v>
      </c>
      <c r="F245" s="173">
        <v>17100000</v>
      </c>
    </row>
    <row r="246" spans="1:6" x14ac:dyDescent="0.25">
      <c r="A246" s="166" t="s">
        <v>24</v>
      </c>
      <c r="B246" s="166" t="s">
        <v>25</v>
      </c>
      <c r="C246" s="168"/>
      <c r="D246" s="168"/>
      <c r="E246" s="169"/>
      <c r="F246" s="167">
        <v>100000000</v>
      </c>
    </row>
    <row r="247" spans="1:6" x14ac:dyDescent="0.25">
      <c r="A247" s="170"/>
      <c r="B247" s="171" t="s">
        <v>168</v>
      </c>
      <c r="C247" s="172">
        <v>2</v>
      </c>
      <c r="D247" s="172" t="s">
        <v>303</v>
      </c>
      <c r="E247" s="173">
        <v>30000000</v>
      </c>
      <c r="F247" s="173">
        <v>60000000</v>
      </c>
    </row>
    <row r="248" spans="1:6" x14ac:dyDescent="0.25">
      <c r="A248" s="170"/>
      <c r="B248" s="171" t="s">
        <v>387</v>
      </c>
      <c r="C248" s="172">
        <v>2</v>
      </c>
      <c r="D248" s="172" t="s">
        <v>303</v>
      </c>
      <c r="E248" s="173">
        <v>20000000</v>
      </c>
      <c r="F248" s="173">
        <v>40000000</v>
      </c>
    </row>
    <row r="249" spans="1:6" x14ac:dyDescent="0.25">
      <c r="A249" s="166" t="s">
        <v>16</v>
      </c>
      <c r="B249" s="166" t="s">
        <v>17</v>
      </c>
      <c r="C249" s="168"/>
      <c r="D249" s="168"/>
      <c r="E249" s="169"/>
      <c r="F249" s="167">
        <v>95800000</v>
      </c>
    </row>
    <row r="250" spans="1:6" x14ac:dyDescent="0.25">
      <c r="A250" s="170"/>
      <c r="B250" s="171" t="s">
        <v>388</v>
      </c>
      <c r="C250" s="172">
        <v>4</v>
      </c>
      <c r="D250" s="172" t="s">
        <v>297</v>
      </c>
      <c r="E250" s="173">
        <v>1300000</v>
      </c>
      <c r="F250" s="173">
        <v>5200000</v>
      </c>
    </row>
    <row r="251" spans="1:6" x14ac:dyDescent="0.25">
      <c r="A251" s="170"/>
      <c r="B251" s="171" t="s">
        <v>371</v>
      </c>
      <c r="C251" s="172">
        <v>64</v>
      </c>
      <c r="D251" s="172" t="s">
        <v>297</v>
      </c>
      <c r="E251" s="173">
        <v>1000000</v>
      </c>
      <c r="F251" s="173">
        <v>64000000</v>
      </c>
    </row>
    <row r="252" spans="1:6" x14ac:dyDescent="0.25">
      <c r="A252" s="170"/>
      <c r="B252" s="171" t="s">
        <v>384</v>
      </c>
      <c r="C252" s="172">
        <v>21</v>
      </c>
      <c r="D252" s="172" t="s">
        <v>297</v>
      </c>
      <c r="E252" s="173">
        <v>1000000</v>
      </c>
      <c r="F252" s="173">
        <v>21000000</v>
      </c>
    </row>
    <row r="253" spans="1:6" x14ac:dyDescent="0.25">
      <c r="A253" s="170"/>
      <c r="B253" s="171" t="s">
        <v>389</v>
      </c>
      <c r="C253" s="172">
        <v>8</v>
      </c>
      <c r="D253" s="172" t="s">
        <v>347</v>
      </c>
      <c r="E253" s="173">
        <v>700000</v>
      </c>
      <c r="F253" s="173">
        <v>5600000</v>
      </c>
    </row>
    <row r="254" spans="1:6" x14ac:dyDescent="0.25">
      <c r="A254" s="166" t="s">
        <v>28</v>
      </c>
      <c r="B254" s="166" t="s">
        <v>29</v>
      </c>
      <c r="C254" s="168"/>
      <c r="D254" s="168"/>
      <c r="E254" s="169"/>
      <c r="F254" s="167">
        <v>99450000</v>
      </c>
    </row>
    <row r="255" spans="1:6" x14ac:dyDescent="0.25">
      <c r="A255" s="170"/>
      <c r="B255" s="171" t="s">
        <v>390</v>
      </c>
      <c r="C255" s="172">
        <v>65</v>
      </c>
      <c r="D255" s="172" t="s">
        <v>301</v>
      </c>
      <c r="E255" s="173">
        <v>430000</v>
      </c>
      <c r="F255" s="173">
        <v>27950000</v>
      </c>
    </row>
    <row r="256" spans="1:6" x14ac:dyDescent="0.25">
      <c r="A256" s="170"/>
      <c r="B256" s="171" t="s">
        <v>391</v>
      </c>
      <c r="C256" s="172">
        <v>65</v>
      </c>
      <c r="D256" s="172" t="s">
        <v>296</v>
      </c>
      <c r="E256" s="173">
        <v>130000</v>
      </c>
      <c r="F256" s="173">
        <v>8450000</v>
      </c>
    </row>
    <row r="257" spans="1:6" x14ac:dyDescent="0.25">
      <c r="A257" s="170"/>
      <c r="B257" s="171" t="s">
        <v>392</v>
      </c>
      <c r="C257" s="172">
        <v>65</v>
      </c>
      <c r="D257" s="172" t="s">
        <v>296</v>
      </c>
      <c r="E257" s="173">
        <v>284000</v>
      </c>
      <c r="F257" s="173">
        <v>18460000</v>
      </c>
    </row>
    <row r="258" spans="1:6" x14ac:dyDescent="0.25">
      <c r="A258" s="170"/>
      <c r="B258" s="171" t="s">
        <v>393</v>
      </c>
      <c r="C258" s="172">
        <v>65</v>
      </c>
      <c r="D258" s="172" t="s">
        <v>296</v>
      </c>
      <c r="E258" s="173">
        <v>686000</v>
      </c>
      <c r="F258" s="173">
        <v>44590000</v>
      </c>
    </row>
    <row r="259" spans="1:6" x14ac:dyDescent="0.25">
      <c r="A259" s="158" t="s">
        <v>50</v>
      </c>
      <c r="B259" s="158" t="s">
        <v>51</v>
      </c>
      <c r="C259" s="159" t="s">
        <v>11</v>
      </c>
      <c r="D259" s="159"/>
      <c r="E259" s="160"/>
      <c r="F259" s="161">
        <v>1792273000</v>
      </c>
    </row>
    <row r="260" spans="1:6" x14ac:dyDescent="0.25">
      <c r="A260" s="162" t="s">
        <v>12</v>
      </c>
      <c r="B260" s="162" t="s">
        <v>52</v>
      </c>
      <c r="C260" s="163"/>
      <c r="D260" s="163"/>
      <c r="E260" s="164"/>
      <c r="F260" s="165">
        <v>1514998000</v>
      </c>
    </row>
    <row r="261" spans="1:6" x14ac:dyDescent="0.25">
      <c r="A261" s="166" t="s">
        <v>22</v>
      </c>
      <c r="B261" s="166" t="s">
        <v>23</v>
      </c>
      <c r="C261" s="168"/>
      <c r="D261" s="168"/>
      <c r="E261" s="169"/>
      <c r="F261" s="167">
        <v>173888000</v>
      </c>
    </row>
    <row r="262" spans="1:6" x14ac:dyDescent="0.25">
      <c r="A262" s="170"/>
      <c r="B262" s="171" t="s">
        <v>382</v>
      </c>
      <c r="C262" s="172">
        <v>2000</v>
      </c>
      <c r="D262" s="172" t="s">
        <v>296</v>
      </c>
      <c r="E262" s="173">
        <v>57000</v>
      </c>
      <c r="F262" s="173">
        <v>114000000</v>
      </c>
    </row>
    <row r="263" spans="1:6" x14ac:dyDescent="0.25">
      <c r="A263" s="170"/>
      <c r="B263" s="171" t="s">
        <v>383</v>
      </c>
      <c r="C263" s="172">
        <v>2000</v>
      </c>
      <c r="D263" s="172" t="s">
        <v>296</v>
      </c>
      <c r="E263" s="173">
        <v>24000</v>
      </c>
      <c r="F263" s="173">
        <v>48000000</v>
      </c>
    </row>
    <row r="264" spans="1:6" x14ac:dyDescent="0.25">
      <c r="A264" s="170"/>
      <c r="B264" s="178" t="s">
        <v>358</v>
      </c>
      <c r="C264" s="172">
        <v>4</v>
      </c>
      <c r="D264" s="172" t="s">
        <v>298</v>
      </c>
      <c r="E264" s="173">
        <v>1000000</v>
      </c>
      <c r="F264" s="173">
        <v>4000000</v>
      </c>
    </row>
    <row r="265" spans="1:6" x14ac:dyDescent="0.25">
      <c r="A265" s="170"/>
      <c r="B265" s="178" t="s">
        <v>359</v>
      </c>
      <c r="C265" s="172">
        <v>4</v>
      </c>
      <c r="D265" s="172" t="s">
        <v>298</v>
      </c>
      <c r="E265" s="173">
        <v>1000000</v>
      </c>
      <c r="F265" s="173">
        <v>4000000</v>
      </c>
    </row>
    <row r="266" spans="1:6" x14ac:dyDescent="0.25">
      <c r="A266" s="170"/>
      <c r="B266" s="178" t="s">
        <v>394</v>
      </c>
      <c r="C266" s="172">
        <v>1</v>
      </c>
      <c r="D266" s="172" t="s">
        <v>330</v>
      </c>
      <c r="E266" s="173">
        <v>3888000</v>
      </c>
      <c r="F266" s="173">
        <v>3888000</v>
      </c>
    </row>
    <row r="267" spans="1:6" x14ac:dyDescent="0.25">
      <c r="A267" s="166" t="s">
        <v>14</v>
      </c>
      <c r="B267" s="166" t="s">
        <v>15</v>
      </c>
      <c r="C267" s="168"/>
      <c r="D267" s="168"/>
      <c r="E267" s="169"/>
      <c r="F267" s="167">
        <v>4150000</v>
      </c>
    </row>
    <row r="268" spans="1:6" x14ac:dyDescent="0.25">
      <c r="A268" s="170"/>
      <c r="B268" s="176" t="s">
        <v>360</v>
      </c>
      <c r="C268" s="172">
        <v>1</v>
      </c>
      <c r="D268" s="172" t="s">
        <v>296</v>
      </c>
      <c r="E268" s="173">
        <v>450000</v>
      </c>
      <c r="F268" s="173">
        <v>450000</v>
      </c>
    </row>
    <row r="269" spans="1:6" x14ac:dyDescent="0.25">
      <c r="A269" s="170"/>
      <c r="B269" s="176" t="s">
        <v>361</v>
      </c>
      <c r="C269" s="172">
        <v>1</v>
      </c>
      <c r="D269" s="172" t="s">
        <v>296</v>
      </c>
      <c r="E269" s="173">
        <v>400000</v>
      </c>
      <c r="F269" s="173">
        <v>400000</v>
      </c>
    </row>
    <row r="270" spans="1:6" x14ac:dyDescent="0.25">
      <c r="A270" s="170"/>
      <c r="B270" s="176" t="s">
        <v>362</v>
      </c>
      <c r="C270" s="172">
        <v>1</v>
      </c>
      <c r="D270" s="172" t="s">
        <v>296</v>
      </c>
      <c r="E270" s="173">
        <v>300000</v>
      </c>
      <c r="F270" s="173">
        <v>300000</v>
      </c>
    </row>
    <row r="271" spans="1:6" x14ac:dyDescent="0.25">
      <c r="A271" s="170"/>
      <c r="B271" s="176" t="s">
        <v>363</v>
      </c>
      <c r="C271" s="172">
        <v>10</v>
      </c>
      <c r="D271" s="172" t="s">
        <v>296</v>
      </c>
      <c r="E271" s="173">
        <v>300000</v>
      </c>
      <c r="F271" s="173">
        <v>3000000</v>
      </c>
    </row>
    <row r="272" spans="1:6" x14ac:dyDescent="0.25">
      <c r="A272" s="166" t="s">
        <v>16</v>
      </c>
      <c r="B272" s="166" t="s">
        <v>17</v>
      </c>
      <c r="C272" s="168"/>
      <c r="D272" s="168"/>
      <c r="E272" s="169"/>
      <c r="F272" s="167">
        <v>166400000</v>
      </c>
    </row>
    <row r="273" spans="1:6" x14ac:dyDescent="0.25">
      <c r="A273" s="170"/>
      <c r="B273" s="171" t="s">
        <v>395</v>
      </c>
      <c r="C273" s="172">
        <v>144</v>
      </c>
      <c r="D273" s="172" t="s">
        <v>297</v>
      </c>
      <c r="E273" s="173">
        <v>1000000</v>
      </c>
      <c r="F273" s="173">
        <v>144000000</v>
      </c>
    </row>
    <row r="274" spans="1:6" x14ac:dyDescent="0.25">
      <c r="A274" s="170"/>
      <c r="B274" s="171" t="s">
        <v>385</v>
      </c>
      <c r="C274" s="172">
        <v>32</v>
      </c>
      <c r="D274" s="172" t="s">
        <v>347</v>
      </c>
      <c r="E274" s="173">
        <v>700000</v>
      </c>
      <c r="F274" s="173">
        <v>22400000</v>
      </c>
    </row>
    <row r="275" spans="1:6" x14ac:dyDescent="0.25">
      <c r="A275" s="166" t="s">
        <v>28</v>
      </c>
      <c r="B275" s="166" t="s">
        <v>29</v>
      </c>
      <c r="C275" s="168"/>
      <c r="D275" s="168"/>
      <c r="E275" s="169"/>
      <c r="F275" s="167">
        <v>686560000</v>
      </c>
    </row>
    <row r="276" spans="1:6" x14ac:dyDescent="0.25">
      <c r="A276" s="170"/>
      <c r="B276" s="171" t="s">
        <v>396</v>
      </c>
      <c r="C276" s="172">
        <v>300</v>
      </c>
      <c r="D276" s="172" t="s">
        <v>301</v>
      </c>
      <c r="E276" s="173">
        <v>430000</v>
      </c>
      <c r="F276" s="173">
        <v>129000000</v>
      </c>
    </row>
    <row r="277" spans="1:6" x14ac:dyDescent="0.25">
      <c r="A277" s="170"/>
      <c r="B277" s="171" t="s">
        <v>397</v>
      </c>
      <c r="C277" s="172">
        <v>500</v>
      </c>
      <c r="D277" s="172" t="s">
        <v>296</v>
      </c>
      <c r="E277" s="173">
        <v>130000</v>
      </c>
      <c r="F277" s="173">
        <v>65000000</v>
      </c>
    </row>
    <row r="278" spans="1:6" x14ac:dyDescent="0.25">
      <c r="A278" s="170"/>
      <c r="B278" s="171" t="s">
        <v>398</v>
      </c>
      <c r="C278" s="172">
        <v>500</v>
      </c>
      <c r="D278" s="172" t="s">
        <v>296</v>
      </c>
      <c r="E278" s="173">
        <v>284000</v>
      </c>
      <c r="F278" s="173">
        <v>142000000</v>
      </c>
    </row>
    <row r="279" spans="1:6" x14ac:dyDescent="0.25">
      <c r="A279" s="170"/>
      <c r="B279" s="171" t="s">
        <v>399</v>
      </c>
      <c r="C279" s="172">
        <v>160</v>
      </c>
      <c r="D279" s="172" t="s">
        <v>296</v>
      </c>
      <c r="E279" s="173">
        <v>686000</v>
      </c>
      <c r="F279" s="173">
        <v>109760000</v>
      </c>
    </row>
    <row r="280" spans="1:6" x14ac:dyDescent="0.25">
      <c r="A280" s="170"/>
      <c r="B280" s="171" t="s">
        <v>400</v>
      </c>
      <c r="C280" s="172">
        <v>520</v>
      </c>
      <c r="D280" s="172" t="s">
        <v>296</v>
      </c>
      <c r="E280" s="173">
        <v>105000</v>
      </c>
      <c r="F280" s="173">
        <v>54600000</v>
      </c>
    </row>
    <row r="281" spans="1:6" x14ac:dyDescent="0.25">
      <c r="A281" s="170"/>
      <c r="B281" s="171" t="s">
        <v>401</v>
      </c>
      <c r="C281" s="172">
        <v>200</v>
      </c>
      <c r="D281" s="172" t="s">
        <v>301</v>
      </c>
      <c r="E281" s="173">
        <v>931000</v>
      </c>
      <c r="F281" s="173">
        <v>186200000</v>
      </c>
    </row>
    <row r="282" spans="1:6" x14ac:dyDescent="0.25">
      <c r="A282" s="166" t="s">
        <v>18</v>
      </c>
      <c r="B282" s="166" t="s">
        <v>19</v>
      </c>
      <c r="C282" s="168"/>
      <c r="D282" s="168"/>
      <c r="E282" s="169"/>
      <c r="F282" s="167">
        <v>484000000</v>
      </c>
    </row>
    <row r="283" spans="1:6" x14ac:dyDescent="0.25">
      <c r="A283" s="170"/>
      <c r="B283" s="171" t="s">
        <v>402</v>
      </c>
      <c r="C283" s="172">
        <v>800</v>
      </c>
      <c r="D283" s="172" t="s">
        <v>301</v>
      </c>
      <c r="E283" s="173">
        <v>210000</v>
      </c>
      <c r="F283" s="173">
        <v>168000000</v>
      </c>
    </row>
    <row r="284" spans="1:6" x14ac:dyDescent="0.25">
      <c r="A284" s="170"/>
      <c r="B284" s="171" t="s">
        <v>403</v>
      </c>
      <c r="C284" s="172">
        <v>800</v>
      </c>
      <c r="D284" s="172" t="s">
        <v>296</v>
      </c>
      <c r="E284" s="173">
        <v>95000</v>
      </c>
      <c r="F284" s="173">
        <v>76000000</v>
      </c>
    </row>
    <row r="285" spans="1:6" x14ac:dyDescent="0.25">
      <c r="A285" s="170"/>
      <c r="B285" s="171" t="s">
        <v>404</v>
      </c>
      <c r="C285" s="172">
        <v>800</v>
      </c>
      <c r="D285" s="172" t="s">
        <v>296</v>
      </c>
      <c r="E285" s="173">
        <v>130000</v>
      </c>
      <c r="F285" s="173">
        <v>104000000</v>
      </c>
    </row>
    <row r="286" spans="1:6" x14ac:dyDescent="0.25">
      <c r="A286" s="170"/>
      <c r="B286" s="171" t="s">
        <v>405</v>
      </c>
      <c r="C286" s="172">
        <v>800</v>
      </c>
      <c r="D286" s="172" t="s">
        <v>296</v>
      </c>
      <c r="E286" s="173">
        <v>170000</v>
      </c>
      <c r="F286" s="173">
        <v>136000000</v>
      </c>
    </row>
    <row r="287" spans="1:6" x14ac:dyDescent="0.25">
      <c r="A287" s="162" t="s">
        <v>26</v>
      </c>
      <c r="B287" s="162" t="s">
        <v>53</v>
      </c>
      <c r="C287" s="163"/>
      <c r="D287" s="163"/>
      <c r="E287" s="164"/>
      <c r="F287" s="165">
        <v>277275000</v>
      </c>
    </row>
    <row r="288" spans="1:6" x14ac:dyDescent="0.25">
      <c r="A288" s="166" t="s">
        <v>22</v>
      </c>
      <c r="B288" s="166" t="s">
        <v>23</v>
      </c>
      <c r="C288" s="168"/>
      <c r="D288" s="168"/>
      <c r="E288" s="169"/>
      <c r="F288" s="167">
        <v>47425000</v>
      </c>
    </row>
    <row r="289" spans="1:6" x14ac:dyDescent="0.25">
      <c r="A289" s="170"/>
      <c r="B289" s="171" t="s">
        <v>584</v>
      </c>
      <c r="C289" s="172">
        <v>500</v>
      </c>
      <c r="D289" s="172" t="s">
        <v>296</v>
      </c>
      <c r="E289" s="173">
        <v>57000</v>
      </c>
      <c r="F289" s="173">
        <v>28500000</v>
      </c>
    </row>
    <row r="290" spans="1:6" x14ac:dyDescent="0.25">
      <c r="A290" s="170"/>
      <c r="B290" s="171" t="s">
        <v>585</v>
      </c>
      <c r="C290" s="172">
        <v>500</v>
      </c>
      <c r="D290" s="172" t="s">
        <v>296</v>
      </c>
      <c r="E290" s="173">
        <v>24000</v>
      </c>
      <c r="F290" s="173">
        <v>12000000</v>
      </c>
    </row>
    <row r="291" spans="1:6" x14ac:dyDescent="0.25">
      <c r="A291" s="170"/>
      <c r="B291" s="178" t="s">
        <v>344</v>
      </c>
      <c r="C291" s="172">
        <v>1</v>
      </c>
      <c r="D291" s="172" t="s">
        <v>330</v>
      </c>
      <c r="E291" s="173">
        <v>925000</v>
      </c>
      <c r="F291" s="173">
        <v>925000</v>
      </c>
    </row>
    <row r="292" spans="1:6" x14ac:dyDescent="0.25">
      <c r="A292" s="170"/>
      <c r="B292" s="178" t="s">
        <v>358</v>
      </c>
      <c r="C292" s="172">
        <v>3</v>
      </c>
      <c r="D292" s="172" t="s">
        <v>298</v>
      </c>
      <c r="E292" s="173">
        <v>1000000</v>
      </c>
      <c r="F292" s="173">
        <v>3000000</v>
      </c>
    </row>
    <row r="293" spans="1:6" x14ac:dyDescent="0.25">
      <c r="A293" s="170"/>
      <c r="B293" s="178" t="s">
        <v>359</v>
      </c>
      <c r="C293" s="172">
        <v>3</v>
      </c>
      <c r="D293" s="172" t="s">
        <v>298</v>
      </c>
      <c r="E293" s="173">
        <v>1000000</v>
      </c>
      <c r="F293" s="173">
        <v>3000000</v>
      </c>
    </row>
    <row r="294" spans="1:6" x14ac:dyDescent="0.25">
      <c r="A294" s="166" t="s">
        <v>14</v>
      </c>
      <c r="B294" s="166" t="s">
        <v>15</v>
      </c>
      <c r="C294" s="168"/>
      <c r="D294" s="168"/>
      <c r="E294" s="169"/>
      <c r="F294" s="167">
        <v>14650000</v>
      </c>
    </row>
    <row r="295" spans="1:6" x14ac:dyDescent="0.25">
      <c r="A295" s="170"/>
      <c r="B295" s="176" t="s">
        <v>360</v>
      </c>
      <c r="C295" s="172">
        <v>1</v>
      </c>
      <c r="D295" s="172" t="s">
        <v>296</v>
      </c>
      <c r="E295" s="173">
        <v>450000</v>
      </c>
      <c r="F295" s="173">
        <v>450000</v>
      </c>
    </row>
    <row r="296" spans="1:6" x14ac:dyDescent="0.25">
      <c r="A296" s="170"/>
      <c r="B296" s="176" t="s">
        <v>361</v>
      </c>
      <c r="C296" s="172">
        <v>1</v>
      </c>
      <c r="D296" s="172" t="s">
        <v>296</v>
      </c>
      <c r="E296" s="173">
        <v>400000</v>
      </c>
      <c r="F296" s="173">
        <v>400000</v>
      </c>
    </row>
    <row r="297" spans="1:6" x14ac:dyDescent="0.25">
      <c r="A297" s="170"/>
      <c r="B297" s="176" t="s">
        <v>362</v>
      </c>
      <c r="C297" s="172">
        <v>1</v>
      </c>
      <c r="D297" s="172" t="s">
        <v>296</v>
      </c>
      <c r="E297" s="173">
        <v>300000</v>
      </c>
      <c r="F297" s="173">
        <v>300000</v>
      </c>
    </row>
    <row r="298" spans="1:6" x14ac:dyDescent="0.25">
      <c r="A298" s="170"/>
      <c r="B298" s="176" t="s">
        <v>363</v>
      </c>
      <c r="C298" s="172">
        <v>45</v>
      </c>
      <c r="D298" s="172" t="s">
        <v>296</v>
      </c>
      <c r="E298" s="173">
        <v>300000</v>
      </c>
      <c r="F298" s="173">
        <v>13500000</v>
      </c>
    </row>
    <row r="299" spans="1:6" x14ac:dyDescent="0.25">
      <c r="A299" s="166" t="s">
        <v>16</v>
      </c>
      <c r="B299" s="166" t="s">
        <v>17</v>
      </c>
      <c r="C299" s="168"/>
      <c r="D299" s="168"/>
      <c r="E299" s="169"/>
      <c r="F299" s="167">
        <v>118400000</v>
      </c>
    </row>
    <row r="300" spans="1:6" x14ac:dyDescent="0.25">
      <c r="A300" s="170"/>
      <c r="B300" s="171" t="s">
        <v>618</v>
      </c>
      <c r="C300" s="172">
        <v>96</v>
      </c>
      <c r="D300" s="172" t="s">
        <v>297</v>
      </c>
      <c r="E300" s="173">
        <v>1000000</v>
      </c>
      <c r="F300" s="173">
        <v>96000000</v>
      </c>
    </row>
    <row r="301" spans="1:6" x14ac:dyDescent="0.25">
      <c r="A301" s="170"/>
      <c r="B301" s="171" t="s">
        <v>385</v>
      </c>
      <c r="C301" s="172">
        <v>32</v>
      </c>
      <c r="D301" s="172" t="s">
        <v>347</v>
      </c>
      <c r="E301" s="173">
        <v>700000</v>
      </c>
      <c r="F301" s="173">
        <v>22400000</v>
      </c>
    </row>
    <row r="302" spans="1:6" x14ac:dyDescent="0.25">
      <c r="A302" s="166" t="s">
        <v>28</v>
      </c>
      <c r="B302" s="166" t="s">
        <v>29</v>
      </c>
      <c r="C302" s="168"/>
      <c r="D302" s="168"/>
      <c r="E302" s="169"/>
      <c r="F302" s="167">
        <v>57350000</v>
      </c>
    </row>
    <row r="303" spans="1:6" x14ac:dyDescent="0.25">
      <c r="A303" s="170"/>
      <c r="B303" s="171" t="s">
        <v>586</v>
      </c>
      <c r="C303" s="172">
        <v>200</v>
      </c>
      <c r="D303" s="172" t="s">
        <v>301</v>
      </c>
      <c r="E303" s="173">
        <v>130000</v>
      </c>
      <c r="F303" s="173">
        <v>26000000</v>
      </c>
    </row>
    <row r="304" spans="1:6" x14ac:dyDescent="0.25">
      <c r="A304" s="170"/>
      <c r="B304" s="171" t="s">
        <v>379</v>
      </c>
      <c r="C304" s="172">
        <v>50</v>
      </c>
      <c r="D304" s="172" t="s">
        <v>296</v>
      </c>
      <c r="E304" s="173">
        <v>284000</v>
      </c>
      <c r="F304" s="173">
        <v>14200000</v>
      </c>
    </row>
    <row r="305" spans="1:6" x14ac:dyDescent="0.25">
      <c r="A305" s="170"/>
      <c r="B305" s="171" t="s">
        <v>386</v>
      </c>
      <c r="C305" s="172">
        <v>25</v>
      </c>
      <c r="D305" s="172" t="s">
        <v>296</v>
      </c>
      <c r="E305" s="173">
        <v>686000</v>
      </c>
      <c r="F305" s="173">
        <v>17150000</v>
      </c>
    </row>
    <row r="306" spans="1:6" x14ac:dyDescent="0.25">
      <c r="A306" s="166" t="s">
        <v>18</v>
      </c>
      <c r="B306" s="166" t="s">
        <v>19</v>
      </c>
      <c r="C306" s="168"/>
      <c r="D306" s="168"/>
      <c r="E306" s="169"/>
      <c r="F306" s="167">
        <v>39450000</v>
      </c>
    </row>
    <row r="307" spans="1:6" x14ac:dyDescent="0.25">
      <c r="A307" s="170"/>
      <c r="B307" s="171" t="s">
        <v>367</v>
      </c>
      <c r="C307" s="172">
        <v>75</v>
      </c>
      <c r="D307" s="172" t="s">
        <v>301</v>
      </c>
      <c r="E307" s="173">
        <v>210000</v>
      </c>
      <c r="F307" s="173">
        <v>15750000</v>
      </c>
    </row>
    <row r="308" spans="1:6" x14ac:dyDescent="0.25">
      <c r="A308" s="170"/>
      <c r="B308" s="171" t="s">
        <v>587</v>
      </c>
      <c r="C308" s="172">
        <v>15</v>
      </c>
      <c r="D308" s="172" t="s">
        <v>296</v>
      </c>
      <c r="E308" s="173">
        <v>730000</v>
      </c>
      <c r="F308" s="173">
        <v>10950000</v>
      </c>
    </row>
    <row r="309" spans="1:6" x14ac:dyDescent="0.25">
      <c r="A309" s="170"/>
      <c r="B309" s="171" t="s">
        <v>368</v>
      </c>
      <c r="C309" s="172">
        <v>75</v>
      </c>
      <c r="D309" s="172" t="s">
        <v>296</v>
      </c>
      <c r="E309" s="173">
        <v>170000</v>
      </c>
      <c r="F309" s="173">
        <v>12750000</v>
      </c>
    </row>
    <row r="311" spans="1:6" ht="15.75" x14ac:dyDescent="0.3">
      <c r="C311" s="196" t="s">
        <v>500</v>
      </c>
    </row>
    <row r="312" spans="1:6" ht="15.75" x14ac:dyDescent="0.3">
      <c r="C312" s="196"/>
    </row>
    <row r="313" spans="1:6" ht="15.75" x14ac:dyDescent="0.3">
      <c r="C313" s="196"/>
    </row>
    <row r="314" spans="1:6" ht="15.75" x14ac:dyDescent="0.3">
      <c r="C314" s="196"/>
    </row>
    <row r="315" spans="1:6" ht="15.75" x14ac:dyDescent="0.3">
      <c r="C315" s="196"/>
    </row>
    <row r="316" spans="1:6" ht="15.75" x14ac:dyDescent="0.3">
      <c r="C316" s="196" t="s">
        <v>501</v>
      </c>
    </row>
    <row r="317" spans="1:6" ht="15.75" x14ac:dyDescent="0.3">
      <c r="C317" s="196" t="s">
        <v>502</v>
      </c>
    </row>
  </sheetData>
  <autoFilter ref="A16:B116" xr:uid="{3672E4ED-D1AC-4CAC-ABB6-F68B3F342D3D}"/>
  <mergeCells count="7">
    <mergeCell ref="F15:F16"/>
    <mergeCell ref="A1:F1"/>
    <mergeCell ref="A15:A16"/>
    <mergeCell ref="B15:B16"/>
    <mergeCell ref="C15:C16"/>
    <mergeCell ref="D15:D16"/>
    <mergeCell ref="E15:E16"/>
  </mergeCells>
  <pageMargins left="0.37" right="0.27559055118110237" top="0.32" bottom="0.35433070866141736" header="0" footer="0"/>
  <pageSetup paperSize="9" scale="59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1F37-59EA-4590-B663-9F273577424B}">
  <sheetPr>
    <outlinePr summaryBelow="0"/>
    <pageSetUpPr fitToPage="1"/>
  </sheetPr>
  <dimension ref="A1:L84"/>
  <sheetViews>
    <sheetView zoomScaleNormal="100" workbookViewId="0">
      <pane xSplit="2" ySplit="17" topLeftCell="C70" activePane="bottomRight" state="frozen"/>
      <selection activeCell="F43" sqref="F43"/>
      <selection pane="topRight" activeCell="F43" sqref="F43"/>
      <selection pane="bottomLeft" activeCell="F43" sqref="F43"/>
      <selection pane="bottomRight" activeCell="F43" sqref="F43"/>
    </sheetView>
  </sheetViews>
  <sheetFormatPr defaultColWidth="9.140625" defaultRowHeight="15" x14ac:dyDescent="0.25"/>
  <cols>
    <col min="1" max="1" width="26.28515625" style="197" customWidth="1"/>
    <col min="2" max="2" width="85.85546875" style="197" customWidth="1"/>
    <col min="3" max="4" width="9.85546875" style="199" customWidth="1"/>
    <col min="5" max="5" width="14.85546875" style="197" customWidth="1"/>
    <col min="6" max="6" width="14.5703125" style="197" customWidth="1"/>
    <col min="7" max="16384" width="9.140625" style="197"/>
  </cols>
  <sheetData>
    <row r="1" spans="1:12" s="198" customFormat="1" x14ac:dyDescent="0.25">
      <c r="A1" s="412" t="s">
        <v>498</v>
      </c>
      <c r="B1" s="412"/>
      <c r="C1" s="412"/>
      <c r="D1" s="412"/>
      <c r="E1" s="412"/>
      <c r="F1" s="412"/>
      <c r="G1" s="197"/>
      <c r="H1" s="197"/>
      <c r="I1" s="197"/>
      <c r="J1" s="197"/>
      <c r="K1" s="197"/>
      <c r="L1" s="197"/>
    </row>
    <row r="3" spans="1:12" s="198" customFormat="1" ht="15.75" x14ac:dyDescent="0.3">
      <c r="A3" s="196" t="s">
        <v>480</v>
      </c>
      <c r="B3" s="197" t="s">
        <v>499</v>
      </c>
      <c r="C3" s="199"/>
      <c r="D3" s="199"/>
      <c r="E3" s="197"/>
      <c r="F3" s="197"/>
      <c r="G3" s="197"/>
      <c r="H3" s="197"/>
      <c r="I3" s="197"/>
      <c r="J3" s="197"/>
      <c r="K3" s="197"/>
      <c r="L3" s="197"/>
    </row>
    <row r="4" spans="1:12" s="198" customFormat="1" ht="15.75" x14ac:dyDescent="0.3">
      <c r="A4" s="196" t="s">
        <v>481</v>
      </c>
      <c r="B4" s="197" t="s">
        <v>490</v>
      </c>
      <c r="C4" s="199"/>
      <c r="D4" s="199"/>
      <c r="E4" s="197"/>
      <c r="F4" s="197"/>
      <c r="G4" s="197"/>
      <c r="H4" s="197"/>
      <c r="I4" s="197"/>
      <c r="J4" s="197"/>
      <c r="K4" s="197"/>
      <c r="L4" s="197"/>
    </row>
    <row r="5" spans="1:12" s="198" customFormat="1" ht="15.75" x14ac:dyDescent="0.3">
      <c r="A5" s="196" t="s">
        <v>482</v>
      </c>
      <c r="B5" s="197" t="s">
        <v>491</v>
      </c>
      <c r="C5" s="199"/>
      <c r="D5" s="199"/>
      <c r="E5" s="197"/>
      <c r="F5" s="197"/>
      <c r="G5" s="197"/>
      <c r="H5" s="197"/>
      <c r="I5" s="197"/>
      <c r="J5" s="197"/>
      <c r="K5" s="197"/>
      <c r="L5" s="197"/>
    </row>
    <row r="6" spans="1:12" s="198" customFormat="1" ht="15.75" x14ac:dyDescent="0.3">
      <c r="A6" s="196" t="s">
        <v>483</v>
      </c>
      <c r="B6" s="197" t="s">
        <v>492</v>
      </c>
      <c r="C6" s="199"/>
      <c r="D6" s="199"/>
      <c r="E6" s="197"/>
      <c r="F6" s="197"/>
      <c r="G6" s="197"/>
      <c r="H6" s="197"/>
      <c r="I6" s="197"/>
      <c r="J6" s="197"/>
      <c r="K6" s="197"/>
      <c r="L6" s="197"/>
    </row>
    <row r="7" spans="1:12" s="198" customFormat="1" ht="15.75" x14ac:dyDescent="0.3">
      <c r="A7" s="196" t="s">
        <v>484</v>
      </c>
      <c r="B7" s="197" t="s">
        <v>493</v>
      </c>
      <c r="C7" s="199"/>
      <c r="D7" s="199"/>
      <c r="E7" s="197"/>
      <c r="F7" s="197"/>
      <c r="G7" s="197"/>
      <c r="H7" s="197"/>
      <c r="I7" s="197"/>
      <c r="J7" s="197"/>
      <c r="K7" s="197"/>
      <c r="L7" s="197"/>
    </row>
    <row r="8" spans="1:12" s="198" customFormat="1" ht="15.75" x14ac:dyDescent="0.3">
      <c r="A8" s="196" t="s">
        <v>485</v>
      </c>
      <c r="B8" s="197" t="s">
        <v>494</v>
      </c>
      <c r="C8" s="199"/>
      <c r="D8" s="199"/>
      <c r="E8" s="197"/>
      <c r="F8" s="197"/>
      <c r="G8" s="197"/>
      <c r="H8" s="197"/>
      <c r="I8" s="197"/>
      <c r="J8" s="197"/>
      <c r="K8" s="197"/>
      <c r="L8" s="197"/>
    </row>
    <row r="9" spans="1:12" s="198" customFormat="1" ht="15.75" x14ac:dyDescent="0.3">
      <c r="A9" s="196" t="s">
        <v>486</v>
      </c>
      <c r="B9" s="197" t="s">
        <v>495</v>
      </c>
      <c r="C9" s="199"/>
      <c r="D9" s="199"/>
      <c r="E9" s="197"/>
      <c r="F9" s="197"/>
      <c r="G9" s="197"/>
      <c r="H9" s="197"/>
      <c r="I9" s="197"/>
      <c r="J9" s="197"/>
      <c r="K9" s="197"/>
      <c r="L9" s="197"/>
    </row>
    <row r="10" spans="1:12" s="198" customFormat="1" ht="15.75" x14ac:dyDescent="0.3">
      <c r="A10" s="196"/>
      <c r="B10" s="197" t="s">
        <v>496</v>
      </c>
      <c r="C10" s="199"/>
      <c r="D10" s="199"/>
      <c r="E10" s="197"/>
      <c r="F10" s="197"/>
      <c r="G10" s="197"/>
      <c r="H10" s="197"/>
      <c r="I10" s="197"/>
      <c r="J10" s="197"/>
      <c r="K10" s="197"/>
      <c r="L10" s="197"/>
    </row>
    <row r="11" spans="1:12" s="198" customFormat="1" ht="15.75" x14ac:dyDescent="0.3">
      <c r="A11" s="196" t="s">
        <v>320</v>
      </c>
      <c r="B11" s="197" t="s">
        <v>624</v>
      </c>
      <c r="C11" s="199"/>
      <c r="D11" s="199"/>
      <c r="E11" s="197"/>
      <c r="F11" s="197"/>
      <c r="G11" s="197"/>
      <c r="H11" s="197"/>
      <c r="I11" s="197"/>
      <c r="J11" s="197"/>
      <c r="K11" s="197"/>
      <c r="L11" s="197"/>
    </row>
    <row r="12" spans="1:12" s="198" customFormat="1" ht="15.75" x14ac:dyDescent="0.3">
      <c r="A12" s="196" t="s">
        <v>487</v>
      </c>
      <c r="B12" s="197" t="s">
        <v>497</v>
      </c>
      <c r="C12" s="199"/>
      <c r="D12" s="199"/>
      <c r="E12" s="197"/>
      <c r="F12" s="197"/>
      <c r="G12" s="197"/>
      <c r="H12" s="197"/>
      <c r="I12" s="197"/>
      <c r="J12" s="197"/>
      <c r="K12" s="197"/>
      <c r="L12" s="197"/>
    </row>
    <row r="13" spans="1:12" s="198" customFormat="1" ht="15.75" x14ac:dyDescent="0.3">
      <c r="A13" s="196" t="s">
        <v>488</v>
      </c>
      <c r="B13" s="197" t="s">
        <v>588</v>
      </c>
      <c r="C13" s="199"/>
      <c r="D13" s="199"/>
      <c r="E13" s="197"/>
      <c r="F13" s="197"/>
      <c r="G13" s="197"/>
      <c r="H13" s="197"/>
      <c r="I13" s="197"/>
      <c r="J13" s="197"/>
      <c r="K13" s="197"/>
      <c r="L13" s="197"/>
    </row>
    <row r="16" spans="1:12" s="200" customFormat="1" ht="33" customHeight="1" x14ac:dyDescent="0.25">
      <c r="A16" s="413" t="s">
        <v>318</v>
      </c>
      <c r="B16" s="413" t="s">
        <v>319</v>
      </c>
      <c r="C16" s="413" t="s">
        <v>320</v>
      </c>
      <c r="D16" s="413" t="s">
        <v>321</v>
      </c>
      <c r="E16" s="410" t="s">
        <v>322</v>
      </c>
      <c r="F16" s="410" t="s">
        <v>323</v>
      </c>
    </row>
    <row r="17" spans="1:10" s="200" customFormat="1" x14ac:dyDescent="0.25">
      <c r="A17" s="414"/>
      <c r="B17" s="414"/>
      <c r="C17" s="414"/>
      <c r="D17" s="414"/>
      <c r="E17" s="411"/>
      <c r="F17" s="411"/>
    </row>
    <row r="18" spans="1:10" ht="30" x14ac:dyDescent="0.25">
      <c r="A18" s="154" t="s">
        <v>54</v>
      </c>
      <c r="B18" s="154" t="s">
        <v>55</v>
      </c>
      <c r="C18" s="155" t="s">
        <v>56</v>
      </c>
      <c r="D18" s="155" t="s">
        <v>295</v>
      </c>
      <c r="E18" s="156"/>
      <c r="F18" s="157">
        <v>410352000</v>
      </c>
    </row>
    <row r="19" spans="1:10" x14ac:dyDescent="0.25">
      <c r="A19" s="158" t="s">
        <v>9</v>
      </c>
      <c r="B19" s="158" t="s">
        <v>57</v>
      </c>
      <c r="C19" s="159" t="s">
        <v>11</v>
      </c>
      <c r="D19" s="159"/>
      <c r="E19" s="160"/>
      <c r="F19" s="161">
        <v>83990000</v>
      </c>
    </row>
    <row r="20" spans="1:10" ht="30" x14ac:dyDescent="0.25">
      <c r="A20" s="162" t="s">
        <v>12</v>
      </c>
      <c r="B20" s="162" t="s">
        <v>58</v>
      </c>
      <c r="C20" s="163"/>
      <c r="D20" s="163"/>
      <c r="E20" s="164"/>
      <c r="F20" s="165">
        <v>83990000</v>
      </c>
    </row>
    <row r="21" spans="1:10" x14ac:dyDescent="0.25">
      <c r="A21" s="166" t="s">
        <v>22</v>
      </c>
      <c r="B21" s="166" t="s">
        <v>23</v>
      </c>
      <c r="C21" s="168"/>
      <c r="D21" s="168"/>
      <c r="E21" s="169"/>
      <c r="F21" s="167">
        <v>15940000</v>
      </c>
    </row>
    <row r="22" spans="1:10" x14ac:dyDescent="0.25">
      <c r="A22" s="170"/>
      <c r="B22" s="171" t="s">
        <v>355</v>
      </c>
      <c r="C22" s="172">
        <v>150</v>
      </c>
      <c r="D22" s="172" t="s">
        <v>296</v>
      </c>
      <c r="E22" s="173">
        <v>57000</v>
      </c>
      <c r="F22" s="173">
        <v>8550000</v>
      </c>
    </row>
    <row r="23" spans="1:10" x14ac:dyDescent="0.25">
      <c r="A23" s="170"/>
      <c r="B23" s="171" t="s">
        <v>356</v>
      </c>
      <c r="C23" s="172">
        <v>150</v>
      </c>
      <c r="D23" s="172" t="s">
        <v>296</v>
      </c>
      <c r="E23" s="173">
        <v>24000</v>
      </c>
      <c r="F23" s="173">
        <v>3600000</v>
      </c>
    </row>
    <row r="24" spans="1:10" x14ac:dyDescent="0.25">
      <c r="A24" s="170"/>
      <c r="B24" s="178" t="s">
        <v>344</v>
      </c>
      <c r="C24" s="172">
        <v>1</v>
      </c>
      <c r="D24" s="172" t="s">
        <v>330</v>
      </c>
      <c r="E24" s="173">
        <v>1790000</v>
      </c>
      <c r="F24" s="173">
        <v>1790000</v>
      </c>
    </row>
    <row r="25" spans="1:10" x14ac:dyDescent="0.25">
      <c r="A25" s="170"/>
      <c r="B25" s="175" t="s">
        <v>358</v>
      </c>
      <c r="C25" s="172">
        <v>1</v>
      </c>
      <c r="D25" s="172" t="s">
        <v>298</v>
      </c>
      <c r="E25" s="173">
        <v>1000000</v>
      </c>
      <c r="F25" s="173">
        <v>1000000</v>
      </c>
    </row>
    <row r="26" spans="1:10" s="198" customFormat="1" x14ac:dyDescent="0.25">
      <c r="A26" s="170"/>
      <c r="B26" s="175" t="s">
        <v>359</v>
      </c>
      <c r="C26" s="172">
        <v>1</v>
      </c>
      <c r="D26" s="172" t="s">
        <v>298</v>
      </c>
      <c r="E26" s="173">
        <v>1000000</v>
      </c>
      <c r="F26" s="173">
        <v>1000000</v>
      </c>
      <c r="G26" s="197"/>
      <c r="H26" s="197"/>
      <c r="I26" s="197"/>
      <c r="J26" s="197"/>
    </row>
    <row r="27" spans="1:10" s="198" customFormat="1" x14ac:dyDescent="0.25">
      <c r="A27" s="166" t="s">
        <v>14</v>
      </c>
      <c r="B27" s="166" t="s">
        <v>15</v>
      </c>
      <c r="C27" s="168"/>
      <c r="D27" s="168"/>
      <c r="E27" s="169"/>
      <c r="F27" s="167">
        <v>4750000</v>
      </c>
      <c r="G27" s="197"/>
      <c r="H27" s="197"/>
      <c r="I27" s="197"/>
      <c r="J27" s="197"/>
    </row>
    <row r="28" spans="1:10" s="198" customFormat="1" x14ac:dyDescent="0.25">
      <c r="A28" s="170"/>
      <c r="B28" s="176" t="s">
        <v>360</v>
      </c>
      <c r="C28" s="172">
        <v>1</v>
      </c>
      <c r="D28" s="172" t="s">
        <v>296</v>
      </c>
      <c r="E28" s="173">
        <v>450000</v>
      </c>
      <c r="F28" s="173">
        <v>450000</v>
      </c>
      <c r="G28" s="197"/>
      <c r="H28" s="197"/>
      <c r="I28" s="197"/>
      <c r="J28" s="197"/>
    </row>
    <row r="29" spans="1:10" s="198" customFormat="1" x14ac:dyDescent="0.25">
      <c r="A29" s="170"/>
      <c r="B29" s="176" t="s">
        <v>361</v>
      </c>
      <c r="C29" s="172">
        <v>1</v>
      </c>
      <c r="D29" s="172" t="s">
        <v>296</v>
      </c>
      <c r="E29" s="173">
        <v>400000</v>
      </c>
      <c r="F29" s="173">
        <v>400000</v>
      </c>
      <c r="G29" s="197"/>
      <c r="H29" s="197"/>
      <c r="I29" s="197"/>
      <c r="J29" s="197"/>
    </row>
    <row r="30" spans="1:10" s="198" customFormat="1" ht="18" customHeight="1" x14ac:dyDescent="0.25">
      <c r="A30" s="170"/>
      <c r="B30" s="176" t="s">
        <v>362</v>
      </c>
      <c r="C30" s="172">
        <v>1</v>
      </c>
      <c r="D30" s="172" t="s">
        <v>296</v>
      </c>
      <c r="E30" s="173">
        <v>300000</v>
      </c>
      <c r="F30" s="173">
        <v>300000</v>
      </c>
      <c r="G30" s="197"/>
      <c r="H30" s="197"/>
      <c r="I30" s="197"/>
      <c r="J30" s="197"/>
    </row>
    <row r="31" spans="1:10" s="198" customFormat="1" ht="18" customHeight="1" x14ac:dyDescent="0.25">
      <c r="A31" s="170"/>
      <c r="B31" s="176" t="s">
        <v>363</v>
      </c>
      <c r="C31" s="172">
        <v>12</v>
      </c>
      <c r="D31" s="172" t="s">
        <v>296</v>
      </c>
      <c r="E31" s="173">
        <v>300000</v>
      </c>
      <c r="F31" s="173">
        <v>3600000</v>
      </c>
      <c r="G31" s="197"/>
      <c r="H31" s="197"/>
      <c r="I31" s="197"/>
      <c r="J31" s="197"/>
    </row>
    <row r="32" spans="1:10" s="198" customFormat="1" ht="18" customHeight="1" x14ac:dyDescent="0.25">
      <c r="A32" s="166" t="s">
        <v>16</v>
      </c>
      <c r="B32" s="166" t="s">
        <v>17</v>
      </c>
      <c r="C32" s="168"/>
      <c r="D32" s="168"/>
      <c r="E32" s="169"/>
      <c r="F32" s="167">
        <v>34800000</v>
      </c>
      <c r="G32" s="197"/>
      <c r="H32" s="197"/>
      <c r="I32" s="197"/>
      <c r="J32" s="197"/>
    </row>
    <row r="33" spans="1:10" s="198" customFormat="1" ht="18" customHeight="1" x14ac:dyDescent="0.25">
      <c r="A33" s="170"/>
      <c r="B33" s="171" t="s">
        <v>406</v>
      </c>
      <c r="C33" s="172">
        <v>32</v>
      </c>
      <c r="D33" s="172" t="s">
        <v>297</v>
      </c>
      <c r="E33" s="173">
        <v>1000000</v>
      </c>
      <c r="F33" s="173">
        <v>32000000</v>
      </c>
      <c r="G33" s="197"/>
      <c r="H33" s="197"/>
      <c r="I33" s="197"/>
      <c r="J33" s="197"/>
    </row>
    <row r="34" spans="1:10" s="198" customFormat="1" x14ac:dyDescent="0.25">
      <c r="A34" s="170"/>
      <c r="B34" s="171" t="s">
        <v>407</v>
      </c>
      <c r="C34" s="172">
        <v>4</v>
      </c>
      <c r="D34" s="172" t="s">
        <v>347</v>
      </c>
      <c r="E34" s="173">
        <v>700000</v>
      </c>
      <c r="F34" s="173">
        <v>2800000</v>
      </c>
      <c r="G34" s="197"/>
      <c r="H34" s="197"/>
      <c r="I34" s="197"/>
      <c r="J34" s="197"/>
    </row>
    <row r="35" spans="1:10" ht="18" customHeight="1" x14ac:dyDescent="0.25">
      <c r="A35" s="166" t="s">
        <v>18</v>
      </c>
      <c r="B35" s="166" t="s">
        <v>19</v>
      </c>
      <c r="C35" s="168"/>
      <c r="D35" s="168"/>
      <c r="E35" s="169"/>
      <c r="F35" s="167">
        <v>28500000</v>
      </c>
    </row>
    <row r="36" spans="1:10" x14ac:dyDescent="0.25">
      <c r="A36" s="170"/>
      <c r="B36" s="171" t="s">
        <v>367</v>
      </c>
      <c r="C36" s="172">
        <v>75</v>
      </c>
      <c r="D36" s="172" t="s">
        <v>301</v>
      </c>
      <c r="E36" s="173">
        <v>210000</v>
      </c>
      <c r="F36" s="173">
        <v>15750000</v>
      </c>
    </row>
    <row r="37" spans="1:10" x14ac:dyDescent="0.25">
      <c r="A37" s="170"/>
      <c r="B37" s="171" t="s">
        <v>368</v>
      </c>
      <c r="C37" s="172">
        <v>75</v>
      </c>
      <c r="D37" s="172" t="s">
        <v>296</v>
      </c>
      <c r="E37" s="173">
        <v>170000</v>
      </c>
      <c r="F37" s="173">
        <v>12750000</v>
      </c>
    </row>
    <row r="38" spans="1:10" x14ac:dyDescent="0.25">
      <c r="A38" s="158" t="s">
        <v>20</v>
      </c>
      <c r="B38" s="158" t="s">
        <v>59</v>
      </c>
      <c r="C38" s="159" t="s">
        <v>11</v>
      </c>
      <c r="D38" s="159"/>
      <c r="E38" s="160"/>
      <c r="F38" s="161">
        <v>256698000</v>
      </c>
    </row>
    <row r="39" spans="1:10" x14ac:dyDescent="0.25">
      <c r="A39" s="162" t="s">
        <v>12</v>
      </c>
      <c r="B39" s="162" t="s">
        <v>60</v>
      </c>
      <c r="C39" s="163"/>
      <c r="D39" s="163"/>
      <c r="E39" s="164"/>
      <c r="F39" s="165">
        <v>256698000</v>
      </c>
    </row>
    <row r="40" spans="1:10" x14ac:dyDescent="0.25">
      <c r="A40" s="166" t="s">
        <v>22</v>
      </c>
      <c r="B40" s="166" t="s">
        <v>23</v>
      </c>
      <c r="C40" s="168"/>
      <c r="D40" s="168"/>
      <c r="E40" s="169"/>
      <c r="F40" s="167">
        <v>82258000</v>
      </c>
    </row>
    <row r="41" spans="1:10" x14ac:dyDescent="0.25">
      <c r="A41" s="170"/>
      <c r="B41" s="171" t="s">
        <v>559</v>
      </c>
      <c r="C41" s="172">
        <v>900</v>
      </c>
      <c r="D41" s="172" t="s">
        <v>296</v>
      </c>
      <c r="E41" s="173">
        <v>57000</v>
      </c>
      <c r="F41" s="173">
        <v>51300000</v>
      </c>
    </row>
    <row r="42" spans="1:10" ht="12.95" customHeight="1" x14ac:dyDescent="0.25">
      <c r="A42" s="170"/>
      <c r="B42" s="171" t="s">
        <v>560</v>
      </c>
      <c r="C42" s="172">
        <v>900</v>
      </c>
      <c r="D42" s="172" t="s">
        <v>296</v>
      </c>
      <c r="E42" s="173">
        <v>24000</v>
      </c>
      <c r="F42" s="173">
        <v>21600000</v>
      </c>
    </row>
    <row r="43" spans="1:10" ht="12.95" customHeight="1" x14ac:dyDescent="0.25">
      <c r="A43" s="170"/>
      <c r="B43" s="178" t="s">
        <v>569</v>
      </c>
      <c r="C43" s="172">
        <v>1</v>
      </c>
      <c r="D43" s="172" t="s">
        <v>303</v>
      </c>
      <c r="E43" s="173">
        <v>1358000</v>
      </c>
      <c r="F43" s="173">
        <v>1358000</v>
      </c>
    </row>
    <row r="44" spans="1:10" ht="12.95" customHeight="1" x14ac:dyDescent="0.25">
      <c r="A44" s="170"/>
      <c r="B44" s="178" t="s">
        <v>568</v>
      </c>
      <c r="C44" s="172">
        <v>4</v>
      </c>
      <c r="D44" s="172" t="s">
        <v>298</v>
      </c>
      <c r="E44" s="173">
        <v>1000000</v>
      </c>
      <c r="F44" s="173">
        <v>4000000</v>
      </c>
    </row>
    <row r="45" spans="1:10" ht="12.95" customHeight="1" x14ac:dyDescent="0.25">
      <c r="A45" s="170"/>
      <c r="B45" s="178" t="s">
        <v>570</v>
      </c>
      <c r="C45" s="172">
        <v>4</v>
      </c>
      <c r="D45" s="172" t="s">
        <v>298</v>
      </c>
      <c r="E45" s="173">
        <v>1000000</v>
      </c>
      <c r="F45" s="173">
        <v>4000000</v>
      </c>
    </row>
    <row r="46" spans="1:10" ht="12.95" customHeight="1" x14ac:dyDescent="0.25">
      <c r="A46" s="166" t="s">
        <v>14</v>
      </c>
      <c r="B46" s="166" t="s">
        <v>15</v>
      </c>
      <c r="C46" s="168"/>
      <c r="D46" s="168"/>
      <c r="E46" s="169"/>
      <c r="F46" s="167">
        <v>13150000</v>
      </c>
    </row>
    <row r="47" spans="1:10" s="207" customFormat="1" ht="12.95" customHeight="1" x14ac:dyDescent="0.25">
      <c r="A47" s="170"/>
      <c r="B47" s="176" t="s">
        <v>360</v>
      </c>
      <c r="C47" s="172">
        <v>1</v>
      </c>
      <c r="D47" s="172" t="s">
        <v>296</v>
      </c>
      <c r="E47" s="173">
        <v>450000</v>
      </c>
      <c r="F47" s="173">
        <v>450000</v>
      </c>
    </row>
    <row r="48" spans="1:10" x14ac:dyDescent="0.25">
      <c r="A48" s="170"/>
      <c r="B48" s="176" t="s">
        <v>361</v>
      </c>
      <c r="C48" s="172">
        <v>1</v>
      </c>
      <c r="D48" s="172" t="s">
        <v>296</v>
      </c>
      <c r="E48" s="173">
        <v>400000</v>
      </c>
      <c r="F48" s="173">
        <v>400000</v>
      </c>
    </row>
    <row r="49" spans="1:6" x14ac:dyDescent="0.25">
      <c r="A49" s="170"/>
      <c r="B49" s="176" t="s">
        <v>362</v>
      </c>
      <c r="C49" s="172">
        <v>1</v>
      </c>
      <c r="D49" s="172" t="s">
        <v>296</v>
      </c>
      <c r="E49" s="173">
        <v>300000</v>
      </c>
      <c r="F49" s="173">
        <v>300000</v>
      </c>
    </row>
    <row r="50" spans="1:6" x14ac:dyDescent="0.25">
      <c r="A50" s="170"/>
      <c r="B50" s="176" t="s">
        <v>363</v>
      </c>
      <c r="C50" s="172">
        <v>40</v>
      </c>
      <c r="D50" s="172" t="s">
        <v>296</v>
      </c>
      <c r="E50" s="173">
        <v>300000</v>
      </c>
      <c r="F50" s="173">
        <v>12000000</v>
      </c>
    </row>
    <row r="51" spans="1:6" x14ac:dyDescent="0.25">
      <c r="A51" s="166" t="s">
        <v>16</v>
      </c>
      <c r="B51" s="166" t="s">
        <v>17</v>
      </c>
      <c r="C51" s="168"/>
      <c r="D51" s="168"/>
      <c r="E51" s="169"/>
      <c r="F51" s="167">
        <v>23600000</v>
      </c>
    </row>
    <row r="52" spans="1:6" x14ac:dyDescent="0.25">
      <c r="A52" s="170"/>
      <c r="B52" s="171" t="s">
        <v>436</v>
      </c>
      <c r="C52" s="172">
        <v>18</v>
      </c>
      <c r="D52" s="172" t="s">
        <v>297</v>
      </c>
      <c r="E52" s="173">
        <v>1000000</v>
      </c>
      <c r="F52" s="173">
        <v>18000000</v>
      </c>
    </row>
    <row r="53" spans="1:6" x14ac:dyDescent="0.25">
      <c r="A53" s="170"/>
      <c r="B53" s="171" t="s">
        <v>389</v>
      </c>
      <c r="C53" s="172">
        <v>8</v>
      </c>
      <c r="D53" s="172" t="s">
        <v>347</v>
      </c>
      <c r="E53" s="173">
        <v>700000</v>
      </c>
      <c r="F53" s="173">
        <v>5600000</v>
      </c>
    </row>
    <row r="54" spans="1:6" x14ac:dyDescent="0.25">
      <c r="A54" s="166" t="s">
        <v>28</v>
      </c>
      <c r="B54" s="166" t="s">
        <v>29</v>
      </c>
      <c r="C54" s="168"/>
      <c r="D54" s="168"/>
      <c r="E54" s="169"/>
      <c r="F54" s="167">
        <v>72990000</v>
      </c>
    </row>
    <row r="55" spans="1:6" x14ac:dyDescent="0.25">
      <c r="A55" s="170"/>
      <c r="B55" s="171" t="s">
        <v>562</v>
      </c>
      <c r="C55" s="172">
        <v>5</v>
      </c>
      <c r="D55" s="172" t="s">
        <v>301</v>
      </c>
      <c r="E55" s="173">
        <v>430000</v>
      </c>
      <c r="F55" s="173">
        <v>2150000</v>
      </c>
    </row>
    <row r="56" spans="1:6" x14ac:dyDescent="0.25">
      <c r="A56" s="170"/>
      <c r="B56" s="171" t="s">
        <v>564</v>
      </c>
      <c r="C56" s="172">
        <v>230</v>
      </c>
      <c r="D56" s="172" t="s">
        <v>296</v>
      </c>
      <c r="E56" s="173">
        <v>130000</v>
      </c>
      <c r="F56" s="173">
        <v>29900000</v>
      </c>
    </row>
    <row r="57" spans="1:6" x14ac:dyDescent="0.25">
      <c r="A57" s="170"/>
      <c r="B57" s="171" t="s">
        <v>563</v>
      </c>
      <c r="C57" s="172">
        <v>120</v>
      </c>
      <c r="D57" s="172" t="s">
        <v>296</v>
      </c>
      <c r="E57" s="173">
        <v>284000</v>
      </c>
      <c r="F57" s="173">
        <v>34080000</v>
      </c>
    </row>
    <row r="58" spans="1:6" x14ac:dyDescent="0.25">
      <c r="A58" s="170"/>
      <c r="B58" s="171" t="s">
        <v>561</v>
      </c>
      <c r="C58" s="172">
        <v>10</v>
      </c>
      <c r="D58" s="172" t="s">
        <v>296</v>
      </c>
      <c r="E58" s="173">
        <v>686000</v>
      </c>
      <c r="F58" s="173">
        <v>6860000</v>
      </c>
    </row>
    <row r="59" spans="1:6" x14ac:dyDescent="0.25">
      <c r="A59" s="166" t="s">
        <v>18</v>
      </c>
      <c r="B59" s="166" t="s">
        <v>19</v>
      </c>
      <c r="C59" s="168"/>
      <c r="D59" s="168"/>
      <c r="E59" s="169"/>
      <c r="F59" s="167">
        <v>64700000</v>
      </c>
    </row>
    <row r="60" spans="1:6" x14ac:dyDescent="0.25">
      <c r="A60" s="170"/>
      <c r="B60" s="171" t="s">
        <v>567</v>
      </c>
      <c r="C60" s="172">
        <v>60</v>
      </c>
      <c r="D60" s="172" t="s">
        <v>301</v>
      </c>
      <c r="E60" s="173">
        <v>210000</v>
      </c>
      <c r="F60" s="173">
        <v>12600000</v>
      </c>
    </row>
    <row r="61" spans="1:6" x14ac:dyDescent="0.25">
      <c r="A61" s="170"/>
      <c r="B61" s="171" t="s">
        <v>571</v>
      </c>
      <c r="C61" s="172">
        <v>120</v>
      </c>
      <c r="D61" s="172" t="s">
        <v>296</v>
      </c>
      <c r="E61" s="173">
        <v>170000</v>
      </c>
      <c r="F61" s="173">
        <v>20400000</v>
      </c>
    </row>
    <row r="62" spans="1:6" x14ac:dyDescent="0.25">
      <c r="A62" s="170"/>
      <c r="B62" s="171" t="s">
        <v>565</v>
      </c>
      <c r="C62" s="172">
        <v>180</v>
      </c>
      <c r="D62" s="172" t="s">
        <v>296</v>
      </c>
      <c r="E62" s="173">
        <v>95000</v>
      </c>
      <c r="F62" s="173">
        <v>17100000</v>
      </c>
    </row>
    <row r="63" spans="1:6" x14ac:dyDescent="0.25">
      <c r="A63" s="170"/>
      <c r="B63" s="171" t="s">
        <v>566</v>
      </c>
      <c r="C63" s="172">
        <v>20</v>
      </c>
      <c r="D63" s="172" t="s">
        <v>296</v>
      </c>
      <c r="E63" s="173">
        <v>730000</v>
      </c>
      <c r="F63" s="173">
        <v>14600000</v>
      </c>
    </row>
    <row r="64" spans="1:6" x14ac:dyDescent="0.25">
      <c r="A64" s="158" t="s">
        <v>46</v>
      </c>
      <c r="B64" s="158" t="s">
        <v>63</v>
      </c>
      <c r="C64" s="159" t="s">
        <v>11</v>
      </c>
      <c r="D64" s="159"/>
      <c r="E64" s="160"/>
      <c r="F64" s="161">
        <v>69664000</v>
      </c>
    </row>
    <row r="65" spans="1:6" x14ac:dyDescent="0.25">
      <c r="A65" s="162" t="s">
        <v>12</v>
      </c>
      <c r="B65" s="162" t="s">
        <v>64</v>
      </c>
      <c r="C65" s="163"/>
      <c r="D65" s="163"/>
      <c r="E65" s="164"/>
      <c r="F65" s="165">
        <v>69664000</v>
      </c>
    </row>
    <row r="66" spans="1:6" x14ac:dyDescent="0.25">
      <c r="A66" s="166" t="s">
        <v>22</v>
      </c>
      <c r="B66" s="166" t="s">
        <v>23</v>
      </c>
      <c r="C66" s="168"/>
      <c r="D66" s="168"/>
      <c r="E66" s="169"/>
      <c r="F66" s="167">
        <v>22024000</v>
      </c>
    </row>
    <row r="67" spans="1:6" x14ac:dyDescent="0.25">
      <c r="A67" s="170"/>
      <c r="B67" s="171" t="s">
        <v>557</v>
      </c>
      <c r="C67" s="172">
        <v>200</v>
      </c>
      <c r="D67" s="172" t="s">
        <v>296</v>
      </c>
      <c r="E67" s="173">
        <v>57000</v>
      </c>
      <c r="F67" s="173">
        <v>11400000</v>
      </c>
    </row>
    <row r="68" spans="1:6" x14ac:dyDescent="0.25">
      <c r="A68" s="170"/>
      <c r="B68" s="171" t="s">
        <v>558</v>
      </c>
      <c r="C68" s="172">
        <v>200</v>
      </c>
      <c r="D68" s="172" t="s">
        <v>296</v>
      </c>
      <c r="E68" s="173">
        <v>24000</v>
      </c>
      <c r="F68" s="173">
        <v>4800000</v>
      </c>
    </row>
    <row r="69" spans="1:6" x14ac:dyDescent="0.25">
      <c r="A69" s="170"/>
      <c r="B69" s="178" t="s">
        <v>359</v>
      </c>
      <c r="C69" s="172">
        <v>1</v>
      </c>
      <c r="D69" s="172" t="s">
        <v>298</v>
      </c>
      <c r="E69" s="173">
        <v>1000000</v>
      </c>
      <c r="F69" s="173">
        <v>1000000</v>
      </c>
    </row>
    <row r="70" spans="1:6" x14ac:dyDescent="0.25">
      <c r="A70" s="170"/>
      <c r="B70" s="178" t="s">
        <v>394</v>
      </c>
      <c r="C70" s="172">
        <v>1</v>
      </c>
      <c r="D70" s="172" t="s">
        <v>303</v>
      </c>
      <c r="E70" s="173">
        <v>4824000</v>
      </c>
      <c r="F70" s="173">
        <v>4824000</v>
      </c>
    </row>
    <row r="71" spans="1:6" x14ac:dyDescent="0.25">
      <c r="A71" s="166" t="s">
        <v>28</v>
      </c>
      <c r="B71" s="166" t="s">
        <v>29</v>
      </c>
      <c r="C71" s="168"/>
      <c r="D71" s="168"/>
      <c r="E71" s="169"/>
      <c r="F71" s="167">
        <v>24840000</v>
      </c>
    </row>
    <row r="72" spans="1:6" x14ac:dyDescent="0.25">
      <c r="A72" s="170"/>
      <c r="B72" s="171" t="s">
        <v>408</v>
      </c>
      <c r="C72" s="172">
        <v>60</v>
      </c>
      <c r="D72" s="172" t="s">
        <v>301</v>
      </c>
      <c r="E72" s="173">
        <v>130000</v>
      </c>
      <c r="F72" s="173">
        <v>7800000</v>
      </c>
    </row>
    <row r="73" spans="1:6" x14ac:dyDescent="0.25">
      <c r="A73" s="170"/>
      <c r="B73" s="171" t="s">
        <v>556</v>
      </c>
      <c r="C73" s="172">
        <v>60</v>
      </c>
      <c r="D73" s="172" t="s">
        <v>296</v>
      </c>
      <c r="E73" s="173">
        <v>284000</v>
      </c>
      <c r="F73" s="173">
        <v>17040000</v>
      </c>
    </row>
    <row r="74" spans="1:6" x14ac:dyDescent="0.25">
      <c r="A74" s="166" t="s">
        <v>18</v>
      </c>
      <c r="B74" s="166" t="s">
        <v>19</v>
      </c>
      <c r="C74" s="168"/>
      <c r="D74" s="168"/>
      <c r="E74" s="169"/>
      <c r="F74" s="167">
        <v>22800000</v>
      </c>
    </row>
    <row r="75" spans="1:6" x14ac:dyDescent="0.25">
      <c r="A75" s="170"/>
      <c r="B75" s="171" t="s">
        <v>409</v>
      </c>
      <c r="C75" s="172">
        <v>60</v>
      </c>
      <c r="D75" s="172" t="s">
        <v>301</v>
      </c>
      <c r="E75" s="173">
        <v>210000</v>
      </c>
      <c r="F75" s="173">
        <v>12600000</v>
      </c>
    </row>
    <row r="76" spans="1:6" x14ac:dyDescent="0.25">
      <c r="A76" s="170"/>
      <c r="B76" s="171" t="s">
        <v>410</v>
      </c>
      <c r="C76" s="172">
        <v>60</v>
      </c>
      <c r="D76" s="172" t="s">
        <v>296</v>
      </c>
      <c r="E76" s="173">
        <v>170000</v>
      </c>
      <c r="F76" s="173">
        <v>10200000</v>
      </c>
    </row>
    <row r="78" spans="1:6" ht="15.75" x14ac:dyDescent="0.3">
      <c r="C78" s="196" t="s">
        <v>500</v>
      </c>
    </row>
    <row r="79" spans="1:6" ht="15.75" x14ac:dyDescent="0.3">
      <c r="C79" s="196"/>
    </row>
    <row r="80" spans="1:6" ht="15.75" x14ac:dyDescent="0.3">
      <c r="C80" s="196"/>
    </row>
    <row r="81" spans="3:3" ht="15.75" x14ac:dyDescent="0.3">
      <c r="C81" s="196"/>
    </row>
    <row r="82" spans="3:3" ht="15.75" x14ac:dyDescent="0.3">
      <c r="C82" s="196"/>
    </row>
    <row r="83" spans="3:3" ht="15.75" x14ac:dyDescent="0.3">
      <c r="C83" s="196" t="s">
        <v>501</v>
      </c>
    </row>
    <row r="84" spans="3:3" ht="15.75" x14ac:dyDescent="0.3">
      <c r="C84" s="196" t="s">
        <v>502</v>
      </c>
    </row>
  </sheetData>
  <autoFilter ref="A17:B41" xr:uid="{3672E4ED-D1AC-4CAC-ABB6-F68B3F342D3D}"/>
  <mergeCells count="7">
    <mergeCell ref="A1:F1"/>
    <mergeCell ref="A16:A17"/>
    <mergeCell ref="B16:B17"/>
    <mergeCell ref="C16:C17"/>
    <mergeCell ref="D16:D17"/>
    <mergeCell ref="E16:E17"/>
    <mergeCell ref="F16:F17"/>
  </mergeCells>
  <pageMargins left="0.33" right="0.16" top="0.41" bottom="0" header="0" footer="0"/>
  <pageSetup paperSize="9" scale="61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D280-543F-4AA1-95ED-9EF214AB7338}">
  <dimension ref="A3:T81"/>
  <sheetViews>
    <sheetView topLeftCell="A27" workbookViewId="0">
      <pane xSplit="3" ySplit="2" topLeftCell="L29" activePane="bottomRight" state="frozen"/>
      <selection activeCell="A27" sqref="A27"/>
      <selection pane="topRight" activeCell="D27" sqref="D27"/>
      <selection pane="bottomLeft" activeCell="A29" sqref="A29"/>
      <selection pane="bottomRight" activeCell="D42" sqref="D42"/>
    </sheetView>
  </sheetViews>
  <sheetFormatPr defaultRowHeight="15" x14ac:dyDescent="0.25"/>
  <cols>
    <col min="1" max="1" width="6.140625" style="347" hidden="1" customWidth="1"/>
    <col min="2" max="2" width="3.7109375" style="347" hidden="1" customWidth="1"/>
    <col min="3" max="3" width="18.7109375" style="347" customWidth="1"/>
    <col min="4" max="5" width="15.5703125" style="347" bestFit="1" customWidth="1"/>
    <col min="6" max="7" width="13.5703125" style="347" bestFit="1" customWidth="1"/>
    <col min="8" max="8" width="14.7109375" style="347" customWidth="1"/>
    <col min="9" max="12" width="14.5703125" style="347" bestFit="1" customWidth="1"/>
    <col min="13" max="13" width="14.28515625" style="347" customWidth="1"/>
    <col min="14" max="16" width="14.5703125" style="347" bestFit="1" customWidth="1"/>
    <col min="17" max="17" width="14.5703125" style="141" bestFit="1" customWidth="1"/>
    <col min="18" max="20" width="11.7109375" style="347" bestFit="1" customWidth="1"/>
    <col min="21" max="16384" width="9.140625" style="347"/>
  </cols>
  <sheetData>
    <row r="3" spans="2:4" x14ac:dyDescent="0.25">
      <c r="B3" s="347" t="s">
        <v>796</v>
      </c>
    </row>
    <row r="4" spans="2:4" x14ac:dyDescent="0.25">
      <c r="B4" s="347">
        <v>1</v>
      </c>
      <c r="C4" s="348">
        <v>1909270772</v>
      </c>
      <c r="D4" s="348">
        <v>3036504</v>
      </c>
    </row>
    <row r="5" spans="2:4" x14ac:dyDescent="0.25">
      <c r="B5" s="347">
        <v>2</v>
      </c>
      <c r="C5" s="348">
        <v>4834271443</v>
      </c>
    </row>
    <row r="6" spans="2:4" x14ac:dyDescent="0.25">
      <c r="B6" s="347">
        <v>3</v>
      </c>
      <c r="C6" s="348">
        <v>5791070997</v>
      </c>
    </row>
    <row r="7" spans="2:4" x14ac:dyDescent="0.25">
      <c r="B7" s="347">
        <v>4</v>
      </c>
      <c r="C7" s="348">
        <v>4551006618</v>
      </c>
    </row>
    <row r="8" spans="2:4" x14ac:dyDescent="0.25">
      <c r="B8" s="347">
        <v>5</v>
      </c>
      <c r="C8" s="348">
        <v>3666143276</v>
      </c>
    </row>
    <row r="9" spans="2:4" x14ac:dyDescent="0.25">
      <c r="B9" s="347">
        <v>6</v>
      </c>
      <c r="C9" s="348">
        <v>6944127204</v>
      </c>
    </row>
    <row r="10" spans="2:4" x14ac:dyDescent="0.25">
      <c r="B10" s="347">
        <v>7</v>
      </c>
      <c r="C10" s="348">
        <v>12764930661</v>
      </c>
    </row>
    <row r="11" spans="2:4" x14ac:dyDescent="0.25">
      <c r="B11" s="347">
        <v>8</v>
      </c>
      <c r="C11" s="348">
        <v>5417414958</v>
      </c>
    </row>
    <row r="12" spans="2:4" x14ac:dyDescent="0.25">
      <c r="B12" s="347">
        <v>9</v>
      </c>
      <c r="C12" s="348">
        <v>5848080529</v>
      </c>
    </row>
    <row r="13" spans="2:4" x14ac:dyDescent="0.25">
      <c r="B13" s="347">
        <v>10</v>
      </c>
      <c r="C13" s="348">
        <v>5848080526</v>
      </c>
    </row>
    <row r="14" spans="2:4" x14ac:dyDescent="0.25">
      <c r="B14" s="347">
        <v>11</v>
      </c>
      <c r="C14" s="348">
        <v>7920517546</v>
      </c>
    </row>
    <row r="15" spans="2:4" x14ac:dyDescent="0.25">
      <c r="B15" s="347">
        <v>12</v>
      </c>
      <c r="C15" s="348">
        <v>14565489470</v>
      </c>
    </row>
    <row r="16" spans="2:4" x14ac:dyDescent="0.25">
      <c r="C16" s="348">
        <f>SUM(C4:C15)</f>
        <v>80060404000</v>
      </c>
    </row>
    <row r="19" spans="3:20" ht="15.75" thickBot="1" x14ac:dyDescent="0.3"/>
    <row r="20" spans="3:20" ht="15.75" thickBot="1" x14ac:dyDescent="0.3">
      <c r="C20" s="349" t="s">
        <v>797</v>
      </c>
      <c r="D20" s="349" t="s">
        <v>482</v>
      </c>
      <c r="E20" s="349" t="s">
        <v>798</v>
      </c>
      <c r="F20" s="349" t="s">
        <v>799</v>
      </c>
      <c r="G20" s="349" t="s">
        <v>800</v>
      </c>
      <c r="H20" s="349" t="s">
        <v>743</v>
      </c>
      <c r="I20" s="349" t="s">
        <v>801</v>
      </c>
      <c r="J20" s="349" t="s">
        <v>802</v>
      </c>
      <c r="K20" s="349" t="s">
        <v>803</v>
      </c>
      <c r="L20" s="349" t="s">
        <v>804</v>
      </c>
      <c r="M20" s="349" t="s">
        <v>805</v>
      </c>
      <c r="N20" s="349" t="s">
        <v>806</v>
      </c>
      <c r="O20" s="349" t="s">
        <v>807</v>
      </c>
      <c r="P20" s="349" t="s">
        <v>808</v>
      </c>
      <c r="Q20" s="373" t="s">
        <v>809</v>
      </c>
      <c r="R20" s="349" t="s">
        <v>810</v>
      </c>
      <c r="S20" s="349" t="s">
        <v>811</v>
      </c>
      <c r="T20" s="349" t="s">
        <v>812</v>
      </c>
    </row>
    <row r="21" spans="3:20" ht="15.75" thickBot="1" x14ac:dyDescent="0.3">
      <c r="C21" s="350" t="s">
        <v>813</v>
      </c>
      <c r="D21" s="350">
        <v>7733</v>
      </c>
      <c r="E21" s="350" t="s">
        <v>814</v>
      </c>
      <c r="F21" s="350">
        <v>52</v>
      </c>
      <c r="G21" s="351">
        <v>6610725000</v>
      </c>
      <c r="H21" s="351">
        <v>6610725000</v>
      </c>
      <c r="I21" s="352">
        <v>0</v>
      </c>
      <c r="J21" s="352">
        <v>0</v>
      </c>
      <c r="K21" s="351">
        <v>79697992</v>
      </c>
      <c r="L21" s="351">
        <v>61892293</v>
      </c>
      <c r="M21" s="351">
        <v>108601808</v>
      </c>
      <c r="N21" s="351">
        <v>135578995</v>
      </c>
      <c r="O21" s="351">
        <v>367070057</v>
      </c>
      <c r="P21" s="351">
        <v>389901096</v>
      </c>
      <c r="Q21" s="374">
        <v>376071507</v>
      </c>
      <c r="R21" s="351">
        <v>682499767</v>
      </c>
      <c r="S21" s="351">
        <v>944705399</v>
      </c>
      <c r="T21" s="351">
        <v>3464706086</v>
      </c>
    </row>
    <row r="22" spans="3:20" ht="15.75" thickBot="1" x14ac:dyDescent="0.3">
      <c r="C22" s="353" t="s">
        <v>813</v>
      </c>
      <c r="D22" s="353">
        <v>7733</v>
      </c>
      <c r="E22" s="353" t="s">
        <v>815</v>
      </c>
      <c r="F22" s="353">
        <v>51</v>
      </c>
      <c r="G22" s="354">
        <v>434342697000</v>
      </c>
      <c r="H22" s="354">
        <v>434342697000</v>
      </c>
      <c r="I22" s="355">
        <v>0</v>
      </c>
      <c r="J22" s="354">
        <v>5064371933</v>
      </c>
      <c r="K22" s="354">
        <v>76230199239</v>
      </c>
      <c r="L22" s="354">
        <v>57051813510</v>
      </c>
      <c r="M22" s="354">
        <v>41655786383</v>
      </c>
      <c r="N22" s="354">
        <v>35782627386</v>
      </c>
      <c r="O22" s="355">
        <v>0</v>
      </c>
      <c r="P22" s="354">
        <v>70433511100</v>
      </c>
      <c r="Q22" s="375">
        <v>15411131100</v>
      </c>
      <c r="R22" s="354">
        <v>45596163500</v>
      </c>
      <c r="S22" s="354">
        <v>87117092849</v>
      </c>
      <c r="T22" s="355">
        <v>0</v>
      </c>
    </row>
    <row r="23" spans="3:20" ht="15.75" thickBot="1" x14ac:dyDescent="0.3">
      <c r="C23" s="350" t="s">
        <v>816</v>
      </c>
      <c r="D23" s="350">
        <v>7735</v>
      </c>
      <c r="E23" s="350" t="s">
        <v>817</v>
      </c>
      <c r="F23" s="350">
        <v>51</v>
      </c>
      <c r="G23" s="351">
        <v>120082512000</v>
      </c>
      <c r="H23" s="351">
        <v>120082512000</v>
      </c>
      <c r="I23" s="351">
        <v>2864683601</v>
      </c>
      <c r="J23" s="351">
        <v>7253375650</v>
      </c>
      <c r="K23" s="351">
        <v>8688964580</v>
      </c>
      <c r="L23" s="351">
        <v>6828363071</v>
      </c>
      <c r="M23" s="351">
        <v>5500707744</v>
      </c>
      <c r="N23" s="351">
        <v>10419018413</v>
      </c>
      <c r="O23" s="351">
        <v>19152593795</v>
      </c>
      <c r="P23" s="351">
        <v>8128328371</v>
      </c>
      <c r="Q23" s="374">
        <v>8774502099</v>
      </c>
      <c r="R23" s="351">
        <v>8774502093</v>
      </c>
      <c r="S23" s="351">
        <v>11884001507</v>
      </c>
      <c r="T23" s="351">
        <v>21813471076</v>
      </c>
    </row>
    <row r="24" spans="3:20" ht="15.75" thickBot="1" x14ac:dyDescent="0.3">
      <c r="C24" s="353" t="s">
        <v>816</v>
      </c>
      <c r="D24" s="353">
        <v>7735</v>
      </c>
      <c r="E24" s="353" t="s">
        <v>817</v>
      </c>
      <c r="F24" s="353">
        <v>52</v>
      </c>
      <c r="G24" s="354">
        <v>7344918000</v>
      </c>
      <c r="H24" s="354">
        <v>7344918000</v>
      </c>
      <c r="I24" s="354">
        <v>41023058</v>
      </c>
      <c r="J24" s="354">
        <v>453174378</v>
      </c>
      <c r="K24" s="354">
        <v>580945003</v>
      </c>
      <c r="L24" s="354">
        <v>358407565</v>
      </c>
      <c r="M24" s="354">
        <v>427698925</v>
      </c>
      <c r="N24" s="354">
        <v>423658970</v>
      </c>
      <c r="O24" s="354">
        <v>819227940</v>
      </c>
      <c r="P24" s="354">
        <v>410864663</v>
      </c>
      <c r="Q24" s="375">
        <v>571501522</v>
      </c>
      <c r="R24" s="354">
        <v>1160076895</v>
      </c>
      <c r="S24" s="354">
        <v>1440383469</v>
      </c>
      <c r="T24" s="354">
        <v>657955612</v>
      </c>
    </row>
    <row r="25" spans="3:20" ht="15.75" thickBot="1" x14ac:dyDescent="0.3">
      <c r="C25" s="350" t="s">
        <v>816</v>
      </c>
      <c r="D25" s="350">
        <v>7735</v>
      </c>
      <c r="E25" s="350" t="s">
        <v>818</v>
      </c>
      <c r="F25" s="350">
        <v>53</v>
      </c>
      <c r="G25" s="351">
        <v>184289000</v>
      </c>
      <c r="H25" s="351">
        <v>184289000</v>
      </c>
      <c r="I25" s="352">
        <v>0</v>
      </c>
      <c r="J25" s="352">
        <v>0</v>
      </c>
      <c r="K25" s="352">
        <v>0</v>
      </c>
      <c r="L25" s="352">
        <v>0</v>
      </c>
      <c r="M25" s="352">
        <v>0</v>
      </c>
      <c r="N25" s="352">
        <v>0</v>
      </c>
      <c r="O25" s="352">
        <v>0</v>
      </c>
      <c r="P25" s="352">
        <v>0</v>
      </c>
      <c r="Q25" s="376">
        <v>0</v>
      </c>
      <c r="R25" s="352">
        <v>0</v>
      </c>
      <c r="S25" s="351">
        <v>184289000</v>
      </c>
      <c r="T25" s="352">
        <v>0</v>
      </c>
    </row>
    <row r="26" spans="3:20" x14ac:dyDescent="0.25">
      <c r="C26" s="356"/>
      <c r="D26" s="356"/>
      <c r="E26" s="356"/>
      <c r="F26" s="356"/>
      <c r="G26" s="357"/>
      <c r="H26" s="357"/>
      <c r="I26" s="358"/>
      <c r="J26" s="358"/>
      <c r="K26" s="358"/>
      <c r="L26" s="358"/>
      <c r="M26" s="358"/>
      <c r="N26" s="358"/>
      <c r="O26" s="358"/>
      <c r="P26" s="358"/>
      <c r="Q26" s="377"/>
      <c r="R26" s="358"/>
      <c r="S26" s="357"/>
      <c r="T26" s="358"/>
    </row>
    <row r="27" spans="3:20" ht="15.75" thickBot="1" x14ac:dyDescent="0.3">
      <c r="C27" s="415" t="s">
        <v>836</v>
      </c>
      <c r="D27" s="415"/>
      <c r="E27" s="415"/>
      <c r="F27" s="415"/>
      <c r="G27" s="415"/>
      <c r="H27" s="415"/>
      <c r="I27" s="415"/>
      <c r="J27" s="415"/>
      <c r="K27" s="415"/>
      <c r="L27" s="415"/>
      <c r="M27" s="415"/>
      <c r="N27" s="415"/>
      <c r="O27" s="415"/>
      <c r="P27" s="415"/>
      <c r="Q27" s="415"/>
    </row>
    <row r="28" spans="3:20" ht="15.75" thickBot="1" x14ac:dyDescent="0.3">
      <c r="C28" s="349"/>
      <c r="D28" s="349" t="s">
        <v>800</v>
      </c>
      <c r="E28" s="359" t="s">
        <v>743</v>
      </c>
      <c r="F28" s="349" t="s">
        <v>801</v>
      </c>
      <c r="G28" s="349" t="s">
        <v>802</v>
      </c>
      <c r="H28" s="349" t="s">
        <v>803</v>
      </c>
      <c r="I28" s="349" t="s">
        <v>804</v>
      </c>
      <c r="J28" s="349" t="s">
        <v>805</v>
      </c>
      <c r="K28" s="349" t="s">
        <v>806</v>
      </c>
      <c r="L28" s="349" t="s">
        <v>807</v>
      </c>
      <c r="M28" s="349" t="s">
        <v>808</v>
      </c>
      <c r="N28" s="349" t="s">
        <v>809</v>
      </c>
      <c r="O28" s="349" t="s">
        <v>810</v>
      </c>
      <c r="P28" s="349" t="s">
        <v>811</v>
      </c>
      <c r="Q28" s="373" t="s">
        <v>812</v>
      </c>
    </row>
    <row r="29" spans="3:20" x14ac:dyDescent="0.25">
      <c r="C29" s="360" t="s">
        <v>819</v>
      </c>
      <c r="D29" s="361">
        <v>52150000</v>
      </c>
      <c r="E29" s="362">
        <f>SUM(F29:Q29)</f>
        <v>52150000</v>
      </c>
      <c r="F29" s="361"/>
      <c r="G29" s="361">
        <v>4345000</v>
      </c>
      <c r="H29" s="361">
        <v>4345000</v>
      </c>
      <c r="I29" s="361">
        <v>4345000</v>
      </c>
      <c r="J29" s="361">
        <v>4345000</v>
      </c>
      <c r="K29" s="361">
        <v>4345000</v>
      </c>
      <c r="L29" s="361">
        <v>4345000</v>
      </c>
      <c r="M29" s="361">
        <v>4345000</v>
      </c>
      <c r="N29" s="361">
        <v>4345000</v>
      </c>
      <c r="O29" s="361">
        <v>4345000</v>
      </c>
      <c r="P29" s="361">
        <v>4345000</v>
      </c>
      <c r="Q29" s="361">
        <v>8700000</v>
      </c>
    </row>
    <row r="30" spans="3:20" x14ac:dyDescent="0.25">
      <c r="C30" s="360" t="s">
        <v>820</v>
      </c>
      <c r="D30" s="361">
        <v>2355010000</v>
      </c>
      <c r="E30" s="362">
        <f>SUM(F30:Q30)</f>
        <v>2355010000</v>
      </c>
      <c r="F30" s="360"/>
      <c r="G30" s="361">
        <v>196250000</v>
      </c>
      <c r="H30" s="361">
        <v>196250000</v>
      </c>
      <c r="I30" s="361">
        <v>196250000</v>
      </c>
      <c r="J30" s="361">
        <v>196250000</v>
      </c>
      <c r="K30" s="361">
        <v>196250000</v>
      </c>
      <c r="L30" s="361">
        <v>196250000</v>
      </c>
      <c r="M30" s="361">
        <v>196250000</v>
      </c>
      <c r="N30" s="361">
        <v>196250000</v>
      </c>
      <c r="O30" s="361">
        <v>196250000</v>
      </c>
      <c r="P30" s="361">
        <v>196250000</v>
      </c>
      <c r="Q30" s="361">
        <v>392510000</v>
      </c>
    </row>
    <row r="31" spans="3:20" x14ac:dyDescent="0.25">
      <c r="C31" s="360" t="s">
        <v>821</v>
      </c>
      <c r="D31" s="361">
        <v>622508000</v>
      </c>
      <c r="E31" s="362">
        <f>SUM(F31:Q31)</f>
        <v>622508000</v>
      </c>
      <c r="F31" s="360"/>
      <c r="G31" s="361">
        <v>51875000</v>
      </c>
      <c r="H31" s="361">
        <v>51875000</v>
      </c>
      <c r="I31" s="361">
        <v>51875000</v>
      </c>
      <c r="J31" s="361">
        <v>51875000</v>
      </c>
      <c r="K31" s="361">
        <v>51875000</v>
      </c>
      <c r="L31" s="361">
        <v>51875000</v>
      </c>
      <c r="M31" s="361">
        <v>51875000</v>
      </c>
      <c r="N31" s="361">
        <v>51875000</v>
      </c>
      <c r="O31" s="361">
        <v>51875000</v>
      </c>
      <c r="P31" s="361">
        <v>51875000</v>
      </c>
      <c r="Q31" s="361">
        <v>103758000</v>
      </c>
    </row>
    <row r="32" spans="3:20" x14ac:dyDescent="0.25">
      <c r="C32" s="360" t="s">
        <v>822</v>
      </c>
      <c r="D32" s="361">
        <v>1565296000</v>
      </c>
      <c r="E32" s="362">
        <f>SUM(F32:Q32)</f>
        <v>1565296000</v>
      </c>
      <c r="F32" s="360"/>
      <c r="G32" s="361">
        <v>130441000</v>
      </c>
      <c r="H32" s="361">
        <v>130441000</v>
      </c>
      <c r="I32" s="361">
        <v>130441000</v>
      </c>
      <c r="J32" s="361">
        <v>130441000</v>
      </c>
      <c r="K32" s="361">
        <v>130441000</v>
      </c>
      <c r="L32" s="361">
        <v>130441000</v>
      </c>
      <c r="M32" s="361">
        <v>130441000</v>
      </c>
      <c r="N32" s="361">
        <v>130441000</v>
      </c>
      <c r="O32" s="361">
        <v>130441000</v>
      </c>
      <c r="P32" s="361">
        <v>130441000</v>
      </c>
      <c r="Q32" s="361">
        <v>260886000</v>
      </c>
    </row>
    <row r="33" spans="3:17" x14ac:dyDescent="0.25">
      <c r="C33" s="363"/>
      <c r="D33" s="363"/>
      <c r="E33" s="364"/>
      <c r="F33" s="363"/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360"/>
    </row>
    <row r="34" spans="3:17" x14ac:dyDescent="0.25">
      <c r="C34" s="363" t="s">
        <v>823</v>
      </c>
      <c r="D34" s="365">
        <v>260520000</v>
      </c>
      <c r="E34" s="364">
        <f>SUM(F34:Q34)</f>
        <v>260520000</v>
      </c>
      <c r="F34" s="363"/>
      <c r="G34" s="365">
        <v>21710000</v>
      </c>
      <c r="H34" s="365">
        <v>21710000</v>
      </c>
      <c r="I34" s="365">
        <v>21710000</v>
      </c>
      <c r="J34" s="365">
        <v>21710000</v>
      </c>
      <c r="K34" s="365">
        <v>21710000</v>
      </c>
      <c r="L34" s="365">
        <v>21710000</v>
      </c>
      <c r="M34" s="365">
        <v>21710000</v>
      </c>
      <c r="N34" s="365">
        <v>21710000</v>
      </c>
      <c r="O34" s="365">
        <v>21710000</v>
      </c>
      <c r="P34" s="365">
        <v>21710000</v>
      </c>
      <c r="Q34" s="361">
        <v>43420000</v>
      </c>
    </row>
    <row r="35" spans="3:17" x14ac:dyDescent="0.25">
      <c r="C35" s="363"/>
      <c r="D35" s="363"/>
      <c r="E35" s="364"/>
      <c r="F35" s="363"/>
      <c r="G35" s="363"/>
      <c r="H35" s="363"/>
      <c r="I35" s="363"/>
      <c r="J35" s="363"/>
      <c r="K35" s="363"/>
      <c r="L35" s="363"/>
      <c r="M35" s="363"/>
      <c r="N35" s="363"/>
      <c r="O35" s="363"/>
      <c r="P35" s="363"/>
      <c r="Q35" s="360"/>
    </row>
    <row r="36" spans="3:17" x14ac:dyDescent="0.25">
      <c r="C36" s="363" t="s">
        <v>824</v>
      </c>
      <c r="D36" s="365">
        <v>407858073000</v>
      </c>
      <c r="E36" s="364">
        <f>SUM(F36:Q36)</f>
        <v>407858073000</v>
      </c>
      <c r="F36" s="361">
        <v>33965422800</v>
      </c>
      <c r="G36" s="361">
        <v>33965422800</v>
      </c>
      <c r="H36" s="361">
        <v>33965422800</v>
      </c>
      <c r="I36" s="361">
        <v>33965422800</v>
      </c>
      <c r="J36" s="361">
        <v>33965422800</v>
      </c>
      <c r="K36" s="361">
        <v>33965422800</v>
      </c>
      <c r="L36" s="361">
        <v>33965422800</v>
      </c>
      <c r="M36" s="361">
        <v>33965422800</v>
      </c>
      <c r="N36" s="361">
        <v>33965422800</v>
      </c>
      <c r="O36" s="361">
        <v>33965422800</v>
      </c>
      <c r="P36" s="361">
        <v>33965422800</v>
      </c>
      <c r="Q36" s="361">
        <v>34238422200</v>
      </c>
    </row>
    <row r="37" spans="3:17" x14ac:dyDescent="0.25">
      <c r="C37" s="363"/>
      <c r="D37" s="363"/>
      <c r="E37" s="364"/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</row>
    <row r="38" spans="3:17" x14ac:dyDescent="0.25">
      <c r="C38" s="380" t="s">
        <v>824</v>
      </c>
      <c r="D38" s="381"/>
      <c r="E38" s="382">
        <f>SUM(F38:Q38)</f>
        <v>0</v>
      </c>
      <c r="F38" s="383"/>
      <c r="G38" s="383"/>
      <c r="H38" s="383"/>
      <c r="I38" s="383"/>
      <c r="J38" s="383"/>
      <c r="K38" s="383"/>
      <c r="L38" s="383"/>
      <c r="M38" s="383"/>
      <c r="N38" s="383"/>
      <c r="O38" s="384"/>
      <c r="P38" s="384"/>
      <c r="Q38" s="383"/>
    </row>
    <row r="39" spans="3:17" x14ac:dyDescent="0.25">
      <c r="C39" s="363"/>
      <c r="D39" s="363"/>
      <c r="E39" s="364"/>
      <c r="F39" s="363"/>
      <c r="G39" s="363"/>
      <c r="H39" s="363"/>
      <c r="I39" s="363"/>
      <c r="J39" s="363"/>
      <c r="K39" s="363"/>
      <c r="L39" s="363"/>
      <c r="M39" s="363"/>
      <c r="N39" s="363"/>
      <c r="O39" s="363"/>
      <c r="P39" s="363"/>
      <c r="Q39" s="360"/>
    </row>
    <row r="40" spans="3:17" x14ac:dyDescent="0.25">
      <c r="C40" s="363" t="s">
        <v>837</v>
      </c>
      <c r="D40" s="365">
        <v>10000000</v>
      </c>
      <c r="E40" s="364">
        <f>SUM(F40:Q40)</f>
        <v>10000000</v>
      </c>
      <c r="F40" s="363"/>
      <c r="G40" s="363"/>
      <c r="H40" s="363"/>
      <c r="I40" s="363"/>
      <c r="J40" s="363"/>
      <c r="K40" s="365">
        <v>4000000</v>
      </c>
      <c r="L40" s="363">
        <v>6000000</v>
      </c>
      <c r="M40" s="363"/>
      <c r="N40" s="363"/>
      <c r="O40" s="363"/>
      <c r="P40" s="363"/>
      <c r="Q40" s="361"/>
    </row>
    <row r="41" spans="3:17" x14ac:dyDescent="0.25">
      <c r="C41" s="363"/>
      <c r="D41" s="363"/>
      <c r="E41" s="364"/>
      <c r="F41" s="363"/>
      <c r="G41" s="363"/>
      <c r="H41" s="363"/>
      <c r="I41" s="363"/>
      <c r="J41" s="363"/>
      <c r="K41" s="363"/>
      <c r="L41" s="363"/>
      <c r="M41" s="363"/>
      <c r="N41" s="363"/>
      <c r="O41" s="363"/>
      <c r="P41" s="363"/>
      <c r="Q41" s="360"/>
    </row>
    <row r="42" spans="3:17" x14ac:dyDescent="0.25">
      <c r="C42" s="363" t="s">
        <v>825</v>
      </c>
      <c r="D42" s="365">
        <v>193288000</v>
      </c>
      <c r="E42" s="364">
        <f>SUM(F42:Q42)</f>
        <v>193288000</v>
      </c>
      <c r="F42" s="363"/>
      <c r="G42" s="365">
        <v>16102998</v>
      </c>
      <c r="H42" s="365">
        <v>16102998</v>
      </c>
      <c r="I42" s="365">
        <v>16102998</v>
      </c>
      <c r="J42" s="365">
        <v>16102998</v>
      </c>
      <c r="K42" s="365">
        <v>16102998</v>
      </c>
      <c r="L42" s="365">
        <v>16102998</v>
      </c>
      <c r="M42" s="365">
        <v>16102998</v>
      </c>
      <c r="N42" s="365">
        <v>16102998</v>
      </c>
      <c r="O42" s="365">
        <v>16102998</v>
      </c>
      <c r="P42" s="365">
        <v>16102998</v>
      </c>
      <c r="Q42" s="361">
        <v>32258020</v>
      </c>
    </row>
    <row r="43" spans="3:17" x14ac:dyDescent="0.25">
      <c r="C43" s="363"/>
      <c r="D43" s="363"/>
      <c r="E43" s="364"/>
      <c r="F43" s="363"/>
      <c r="G43" s="363"/>
      <c r="H43" s="363"/>
      <c r="I43" s="363"/>
      <c r="J43" s="363"/>
      <c r="K43" s="363"/>
      <c r="L43" s="363"/>
      <c r="M43" s="363"/>
      <c r="N43" s="363"/>
      <c r="O43" s="363"/>
      <c r="P43" s="363"/>
      <c r="Q43" s="360"/>
    </row>
    <row r="44" spans="3:17" x14ac:dyDescent="0.25">
      <c r="C44" s="360" t="s">
        <v>826</v>
      </c>
      <c r="D44" s="361">
        <v>114082512000</v>
      </c>
      <c r="E44" s="362">
        <f>SUM(F44:Q44)</f>
        <v>114082512000</v>
      </c>
      <c r="F44" s="361">
        <v>9506862000</v>
      </c>
      <c r="G44" s="361">
        <v>9506862000</v>
      </c>
      <c r="H44" s="361">
        <v>9506862000</v>
      </c>
      <c r="I44" s="361">
        <v>9506862000</v>
      </c>
      <c r="J44" s="361">
        <v>9506862000</v>
      </c>
      <c r="K44" s="361">
        <v>9506862000</v>
      </c>
      <c r="L44" s="361">
        <v>9506862000</v>
      </c>
      <c r="M44" s="361">
        <v>9506862000</v>
      </c>
      <c r="N44" s="361">
        <v>9506862000</v>
      </c>
      <c r="O44" s="361">
        <v>9506862000</v>
      </c>
      <c r="P44" s="361">
        <v>9506862000</v>
      </c>
      <c r="Q44" s="361">
        <v>9507030000</v>
      </c>
    </row>
    <row r="45" spans="3:17" x14ac:dyDescent="0.25">
      <c r="C45" s="360" t="s">
        <v>827</v>
      </c>
      <c r="D45" s="361">
        <v>6399040000</v>
      </c>
      <c r="E45" s="362">
        <f>SUM(F45:Q45)</f>
        <v>6399040000</v>
      </c>
      <c r="F45" s="361">
        <v>200000000</v>
      </c>
      <c r="G45" s="361">
        <v>533253000</v>
      </c>
      <c r="H45" s="361">
        <v>533253000</v>
      </c>
      <c r="I45" s="361">
        <v>533253000</v>
      </c>
      <c r="J45" s="361">
        <v>533253000</v>
      </c>
      <c r="K45" s="361">
        <v>533253000</v>
      </c>
      <c r="L45" s="361">
        <v>533253000</v>
      </c>
      <c r="M45" s="361">
        <v>533253000</v>
      </c>
      <c r="N45" s="361">
        <v>533253000</v>
      </c>
      <c r="O45" s="361">
        <v>533253000</v>
      </c>
      <c r="P45" s="361">
        <v>533253000</v>
      </c>
      <c r="Q45" s="361">
        <v>866510000</v>
      </c>
    </row>
    <row r="46" spans="3:17" x14ac:dyDescent="0.25">
      <c r="C46" s="363"/>
      <c r="D46" s="363"/>
      <c r="E46" s="364"/>
      <c r="F46" s="363"/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360"/>
    </row>
    <row r="47" spans="3:17" x14ac:dyDescent="0.25">
      <c r="C47" s="363" t="s">
        <v>838</v>
      </c>
      <c r="D47" s="365">
        <v>198600000</v>
      </c>
      <c r="E47" s="364">
        <f>SUM(F47:Q47)</f>
        <v>198600000</v>
      </c>
      <c r="F47" s="363"/>
      <c r="G47" s="363"/>
      <c r="H47" s="363"/>
      <c r="I47" s="363"/>
      <c r="J47" s="363"/>
      <c r="K47" s="363"/>
      <c r="L47" s="365">
        <v>198600000</v>
      </c>
      <c r="M47" s="363"/>
      <c r="N47" s="363"/>
      <c r="O47" s="363"/>
      <c r="P47" s="365"/>
      <c r="Q47" s="360"/>
    </row>
    <row r="48" spans="3:17" s="368" customFormat="1" x14ac:dyDescent="0.25">
      <c r="C48" s="366" t="s">
        <v>743</v>
      </c>
      <c r="D48" s="367">
        <f>SUM(D29:D47)</f>
        <v>533596997000</v>
      </c>
      <c r="E48" s="367">
        <f>SUM(E29:E47)</f>
        <v>533596997000</v>
      </c>
      <c r="F48" s="367"/>
      <c r="G48" s="366"/>
      <c r="H48" s="366"/>
      <c r="I48" s="366"/>
      <c r="J48" s="366"/>
      <c r="K48" s="366"/>
      <c r="L48" s="366"/>
      <c r="M48" s="366"/>
      <c r="N48" s="366"/>
      <c r="O48" s="366"/>
      <c r="P48" s="366"/>
      <c r="Q48" s="360"/>
    </row>
    <row r="49" spans="3:18" x14ac:dyDescent="0.25">
      <c r="C49" s="366" t="s">
        <v>687</v>
      </c>
      <c r="D49" s="367">
        <f>D48-E48</f>
        <v>0</v>
      </c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3"/>
      <c r="P49" s="363"/>
      <c r="Q49" s="360"/>
    </row>
    <row r="50" spans="3:18" ht="14.25" customHeight="1" x14ac:dyDescent="0.25">
      <c r="C50" s="363"/>
      <c r="D50" s="363"/>
      <c r="E50" s="363"/>
      <c r="F50" s="363"/>
      <c r="G50" s="363"/>
      <c r="H50" s="363"/>
      <c r="I50" s="363"/>
      <c r="J50" s="363"/>
      <c r="K50" s="363"/>
      <c r="L50" s="363"/>
      <c r="M50" s="363"/>
      <c r="N50" s="363"/>
      <c r="O50" s="363"/>
      <c r="P50" s="363"/>
      <c r="Q50" s="360"/>
    </row>
    <row r="51" spans="3:18" ht="14.25" customHeight="1" thickBot="1" x14ac:dyDescent="0.3">
      <c r="C51" s="416" t="s">
        <v>828</v>
      </c>
      <c r="D51" s="416"/>
      <c r="E51" s="416"/>
      <c r="F51" s="416"/>
      <c r="G51" s="416"/>
      <c r="H51" s="416"/>
      <c r="I51" s="416"/>
      <c r="J51" s="416"/>
      <c r="K51" s="416"/>
      <c r="L51" s="416"/>
      <c r="M51" s="416"/>
      <c r="N51" s="416"/>
      <c r="O51" s="416"/>
      <c r="P51" s="416"/>
      <c r="Q51" s="416"/>
    </row>
    <row r="52" spans="3:18" ht="15.75" thickBot="1" x14ac:dyDescent="0.3">
      <c r="C52" s="369"/>
      <c r="D52" s="369" t="s">
        <v>800</v>
      </c>
      <c r="E52" s="370" t="s">
        <v>743</v>
      </c>
      <c r="F52" s="369" t="s">
        <v>801</v>
      </c>
      <c r="G52" s="369" t="s">
        <v>802</v>
      </c>
      <c r="H52" s="369" t="s">
        <v>803</v>
      </c>
      <c r="I52" s="369" t="s">
        <v>804</v>
      </c>
      <c r="J52" s="369" t="s">
        <v>805</v>
      </c>
      <c r="K52" s="369" t="s">
        <v>806</v>
      </c>
      <c r="L52" s="369" t="s">
        <v>807</v>
      </c>
      <c r="M52" s="369" t="s">
        <v>808</v>
      </c>
      <c r="N52" s="369" t="s">
        <v>809</v>
      </c>
      <c r="O52" s="369" t="s">
        <v>810</v>
      </c>
      <c r="P52" s="369" t="s">
        <v>811</v>
      </c>
      <c r="Q52" s="378" t="s">
        <v>812</v>
      </c>
    </row>
    <row r="53" spans="3:18" s="372" customFormat="1" x14ac:dyDescent="0.25">
      <c r="C53" s="371" t="s">
        <v>829</v>
      </c>
      <c r="D53" s="364">
        <v>407858073.00000006</v>
      </c>
      <c r="E53" s="364">
        <f>SUM(F53:Q53)</f>
        <v>407858073.00000006</v>
      </c>
      <c r="F53" s="364">
        <f t="shared" ref="F53:Q53" si="0">(F36+F38)/1000</f>
        <v>33965422.799999997</v>
      </c>
      <c r="G53" s="364">
        <f t="shared" si="0"/>
        <v>33965422.799999997</v>
      </c>
      <c r="H53" s="364">
        <f t="shared" si="0"/>
        <v>33965422.799999997</v>
      </c>
      <c r="I53" s="364">
        <f t="shared" si="0"/>
        <v>33965422.799999997</v>
      </c>
      <c r="J53" s="364">
        <f t="shared" si="0"/>
        <v>33965422.799999997</v>
      </c>
      <c r="K53" s="364">
        <f t="shared" si="0"/>
        <v>33965422.799999997</v>
      </c>
      <c r="L53" s="364">
        <f t="shared" si="0"/>
        <v>33965422.799999997</v>
      </c>
      <c r="M53" s="364">
        <f t="shared" si="0"/>
        <v>33965422.799999997</v>
      </c>
      <c r="N53" s="364">
        <f t="shared" si="0"/>
        <v>33965422.799999997</v>
      </c>
      <c r="O53" s="364">
        <f t="shared" si="0"/>
        <v>33965422.799999997</v>
      </c>
      <c r="P53" s="364">
        <f t="shared" si="0"/>
        <v>33965422.799999997</v>
      </c>
      <c r="Q53" s="362">
        <f t="shared" si="0"/>
        <v>34238422.200000003</v>
      </c>
      <c r="R53" s="372">
        <v>0</v>
      </c>
    </row>
    <row r="54" spans="3:18" s="372" customFormat="1" x14ac:dyDescent="0.25">
      <c r="C54" s="371" t="s">
        <v>830</v>
      </c>
      <c r="D54" s="364">
        <v>4855484</v>
      </c>
      <c r="E54" s="364">
        <f>SUM(F54:Q54)</f>
        <v>4855484</v>
      </c>
      <c r="F54" s="364">
        <f t="shared" ref="F54:Q54" si="1">(F29+F30+F31+F32+F34)/1000</f>
        <v>0</v>
      </c>
      <c r="G54" s="364">
        <f t="shared" si="1"/>
        <v>404621</v>
      </c>
      <c r="H54" s="364">
        <f t="shared" si="1"/>
        <v>404621</v>
      </c>
      <c r="I54" s="364">
        <f t="shared" si="1"/>
        <v>404621</v>
      </c>
      <c r="J54" s="364">
        <f t="shared" si="1"/>
        <v>404621</v>
      </c>
      <c r="K54" s="364">
        <f t="shared" si="1"/>
        <v>404621</v>
      </c>
      <c r="L54" s="364">
        <f t="shared" si="1"/>
        <v>404621</v>
      </c>
      <c r="M54" s="364">
        <f t="shared" si="1"/>
        <v>404621</v>
      </c>
      <c r="N54" s="364">
        <f t="shared" si="1"/>
        <v>404621</v>
      </c>
      <c r="O54" s="364">
        <f t="shared" si="1"/>
        <v>404621</v>
      </c>
      <c r="P54" s="364">
        <f t="shared" si="1"/>
        <v>404621</v>
      </c>
      <c r="Q54" s="362">
        <f t="shared" si="1"/>
        <v>809274</v>
      </c>
    </row>
    <row r="55" spans="3:18" s="372" customFormat="1" x14ac:dyDescent="0.25">
      <c r="C55" s="371" t="s">
        <v>831</v>
      </c>
      <c r="D55" s="364">
        <v>114082512</v>
      </c>
      <c r="E55" s="364">
        <f t="shared" ref="E55:E57" si="2">SUM(F55:Q55)</f>
        <v>114082512</v>
      </c>
      <c r="F55" s="364">
        <f>(F44)/1000</f>
        <v>9506862</v>
      </c>
      <c r="G55" s="364">
        <f t="shared" ref="G55:O55" si="3">(G44)/1000</f>
        <v>9506862</v>
      </c>
      <c r="H55" s="364">
        <f t="shared" si="3"/>
        <v>9506862</v>
      </c>
      <c r="I55" s="364">
        <f t="shared" si="3"/>
        <v>9506862</v>
      </c>
      <c r="J55" s="364">
        <f t="shared" si="3"/>
        <v>9506862</v>
      </c>
      <c r="K55" s="364">
        <f t="shared" si="3"/>
        <v>9506862</v>
      </c>
      <c r="L55" s="364">
        <f t="shared" si="3"/>
        <v>9506862</v>
      </c>
      <c r="M55" s="364">
        <f t="shared" si="3"/>
        <v>9506862</v>
      </c>
      <c r="N55" s="364">
        <f t="shared" si="3"/>
        <v>9506862</v>
      </c>
      <c r="O55" s="364">
        <f t="shared" si="3"/>
        <v>9506862</v>
      </c>
      <c r="P55" s="364">
        <f>(P44)/1000</f>
        <v>9506862</v>
      </c>
      <c r="Q55" s="362">
        <f>(Q44)/1000</f>
        <v>9507030</v>
      </c>
    </row>
    <row r="56" spans="3:18" s="372" customFormat="1" x14ac:dyDescent="0.25">
      <c r="C56" s="371" t="s">
        <v>832</v>
      </c>
      <c r="D56" s="364">
        <v>6602328</v>
      </c>
      <c r="E56" s="364">
        <f t="shared" si="2"/>
        <v>6602328</v>
      </c>
      <c r="F56" s="364">
        <f>(F40+F42+F45)/1000</f>
        <v>200000</v>
      </c>
      <c r="G56" s="364">
        <f t="shared" ref="G56:Q56" si="4">(G40+G42+G45)/1000</f>
        <v>549355.99800000002</v>
      </c>
      <c r="H56" s="364">
        <f t="shared" si="4"/>
        <v>549355.99800000002</v>
      </c>
      <c r="I56" s="364">
        <f t="shared" si="4"/>
        <v>549355.99800000002</v>
      </c>
      <c r="J56" s="364">
        <f t="shared" si="4"/>
        <v>549355.99800000002</v>
      </c>
      <c r="K56" s="364">
        <f t="shared" si="4"/>
        <v>553355.99800000002</v>
      </c>
      <c r="L56" s="364">
        <f t="shared" si="4"/>
        <v>555355.99800000002</v>
      </c>
      <c r="M56" s="364">
        <f t="shared" si="4"/>
        <v>549355.99800000002</v>
      </c>
      <c r="N56" s="364">
        <f t="shared" si="4"/>
        <v>549355.99800000002</v>
      </c>
      <c r="O56" s="364">
        <f t="shared" si="4"/>
        <v>549355.99800000002</v>
      </c>
      <c r="P56" s="364">
        <f t="shared" si="4"/>
        <v>549355.99800000002</v>
      </c>
      <c r="Q56" s="362">
        <f t="shared" si="4"/>
        <v>898768.02</v>
      </c>
    </row>
    <row r="57" spans="3:18" s="372" customFormat="1" x14ac:dyDescent="0.25">
      <c r="C57" s="371" t="s">
        <v>833</v>
      </c>
      <c r="D57" s="364">
        <v>198600</v>
      </c>
      <c r="E57" s="364">
        <f t="shared" si="2"/>
        <v>198600</v>
      </c>
      <c r="F57" s="364">
        <f>(F47)/1000</f>
        <v>0</v>
      </c>
      <c r="G57" s="364">
        <f t="shared" ref="G57:Q57" si="5">(G47)/1000</f>
        <v>0</v>
      </c>
      <c r="H57" s="364">
        <f t="shared" si="5"/>
        <v>0</v>
      </c>
      <c r="I57" s="364">
        <f t="shared" si="5"/>
        <v>0</v>
      </c>
      <c r="J57" s="364">
        <f t="shared" si="5"/>
        <v>0</v>
      </c>
      <c r="K57" s="364">
        <f t="shared" si="5"/>
        <v>0</v>
      </c>
      <c r="L57" s="364">
        <f t="shared" si="5"/>
        <v>198600</v>
      </c>
      <c r="M57" s="364">
        <f t="shared" si="5"/>
        <v>0</v>
      </c>
      <c r="N57" s="364">
        <f t="shared" si="5"/>
        <v>0</v>
      </c>
      <c r="O57" s="364">
        <f t="shared" si="5"/>
        <v>0</v>
      </c>
      <c r="P57" s="364">
        <f t="shared" si="5"/>
        <v>0</v>
      </c>
      <c r="Q57" s="362">
        <f t="shared" si="5"/>
        <v>0</v>
      </c>
    </row>
    <row r="58" spans="3:18" s="372" customFormat="1" x14ac:dyDescent="0.25">
      <c r="C58" s="367" t="s">
        <v>743</v>
      </c>
      <c r="D58" s="367">
        <f>SUM(D53:D57)</f>
        <v>533596997.00000006</v>
      </c>
      <c r="E58" s="367">
        <f>SUM(E53:E57)</f>
        <v>533596997.00000006</v>
      </c>
      <c r="F58" s="364"/>
      <c r="G58" s="364"/>
      <c r="H58" s="364"/>
      <c r="I58" s="364"/>
      <c r="J58" s="364"/>
      <c r="K58" s="364"/>
      <c r="L58" s="364"/>
      <c r="M58" s="364"/>
      <c r="N58" s="364"/>
      <c r="O58" s="364"/>
      <c r="P58" s="364"/>
      <c r="Q58" s="362"/>
    </row>
    <row r="59" spans="3:18" s="372" customFormat="1" x14ac:dyDescent="0.25">
      <c r="C59" s="367" t="s">
        <v>687</v>
      </c>
      <c r="D59" s="367">
        <f>D58-E58</f>
        <v>0</v>
      </c>
      <c r="E59" s="364"/>
      <c r="F59" s="364"/>
      <c r="G59" s="364"/>
      <c r="H59" s="364"/>
      <c r="I59" s="364"/>
      <c r="J59" s="364"/>
      <c r="K59" s="364"/>
      <c r="L59" s="364"/>
      <c r="M59" s="364"/>
      <c r="N59" s="364"/>
      <c r="O59" s="364"/>
      <c r="P59" s="364"/>
      <c r="Q59" s="362"/>
    </row>
    <row r="60" spans="3:18" x14ac:dyDescent="0.25"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0"/>
    </row>
    <row r="61" spans="3:18" x14ac:dyDescent="0.25"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0"/>
    </row>
    <row r="62" spans="3:18" ht="15.75" thickBot="1" x14ac:dyDescent="0.3">
      <c r="C62" s="416" t="s">
        <v>834</v>
      </c>
      <c r="D62" s="416"/>
      <c r="E62" s="416"/>
      <c r="F62" s="416"/>
      <c r="G62" s="416"/>
      <c r="H62" s="416"/>
      <c r="I62" s="416"/>
      <c r="J62" s="416"/>
      <c r="K62" s="416"/>
      <c r="L62" s="416"/>
      <c r="M62" s="416"/>
      <c r="N62" s="416"/>
      <c r="O62" s="416"/>
      <c r="P62" s="416"/>
      <c r="Q62" s="416"/>
    </row>
    <row r="63" spans="3:18" ht="15.75" thickBot="1" x14ac:dyDescent="0.3">
      <c r="C63" s="369"/>
      <c r="D63" s="369" t="s">
        <v>800</v>
      </c>
      <c r="E63" s="370" t="s">
        <v>743</v>
      </c>
      <c r="F63" s="369" t="s">
        <v>801</v>
      </c>
      <c r="G63" s="369" t="s">
        <v>802</v>
      </c>
      <c r="H63" s="369" t="s">
        <v>803</v>
      </c>
      <c r="I63" s="369" t="s">
        <v>804</v>
      </c>
      <c r="J63" s="369" t="s">
        <v>805</v>
      </c>
      <c r="K63" s="369" t="s">
        <v>806</v>
      </c>
      <c r="L63" s="369" t="s">
        <v>807</v>
      </c>
      <c r="M63" s="369" t="s">
        <v>808</v>
      </c>
      <c r="N63" s="369" t="s">
        <v>809</v>
      </c>
      <c r="O63" s="369" t="s">
        <v>810</v>
      </c>
      <c r="P63" s="369" t="s">
        <v>811</v>
      </c>
      <c r="Q63" s="378" t="s">
        <v>812</v>
      </c>
    </row>
    <row r="64" spans="3:18" x14ac:dyDescent="0.25">
      <c r="C64" s="371" t="s">
        <v>829</v>
      </c>
      <c r="D64" s="364">
        <v>407858073.00000006</v>
      </c>
      <c r="E64" s="364">
        <f>SUM(F64:Q64)</f>
        <v>407858073.00000006</v>
      </c>
      <c r="F64" s="364">
        <v>33965422.799999997</v>
      </c>
      <c r="G64" s="364">
        <v>33965422.799999997</v>
      </c>
      <c r="H64" s="364">
        <v>33965422.799999997</v>
      </c>
      <c r="I64" s="364">
        <v>33965422.799999997</v>
      </c>
      <c r="J64" s="364">
        <v>33965422.799999997</v>
      </c>
      <c r="K64" s="364">
        <v>33965422.799999997</v>
      </c>
      <c r="L64" s="364">
        <v>33965422.799999997</v>
      </c>
      <c r="M64" s="364">
        <v>33965422.799999997</v>
      </c>
      <c r="N64" s="364">
        <v>33965422.799999997</v>
      </c>
      <c r="O64" s="364">
        <v>33965422.799999997</v>
      </c>
      <c r="P64" s="364">
        <v>33965422.799999997</v>
      </c>
      <c r="Q64" s="379">
        <v>34238422.200000003</v>
      </c>
    </row>
    <row r="65" spans="3:17" x14ac:dyDescent="0.25">
      <c r="C65" s="371" t="s">
        <v>830</v>
      </c>
      <c r="D65" s="364">
        <v>4855484</v>
      </c>
      <c r="E65" s="364">
        <f>SUM(F65:Q65)</f>
        <v>4855484</v>
      </c>
      <c r="F65" s="364">
        <v>0</v>
      </c>
      <c r="G65" s="364">
        <v>404621</v>
      </c>
      <c r="H65" s="364">
        <v>404621</v>
      </c>
      <c r="I65" s="364">
        <v>404621</v>
      </c>
      <c r="J65" s="364">
        <v>404621</v>
      </c>
      <c r="K65" s="364">
        <v>404621</v>
      </c>
      <c r="L65" s="364">
        <v>404621</v>
      </c>
      <c r="M65" s="364">
        <v>404621</v>
      </c>
      <c r="N65" s="364">
        <v>404621</v>
      </c>
      <c r="O65" s="364">
        <v>404621</v>
      </c>
      <c r="P65" s="364">
        <v>404621</v>
      </c>
      <c r="Q65" s="362">
        <v>809274</v>
      </c>
    </row>
    <row r="66" spans="3:17" x14ac:dyDescent="0.25">
      <c r="C66" s="371" t="s">
        <v>831</v>
      </c>
      <c r="D66" s="364">
        <v>114082512</v>
      </c>
      <c r="E66" s="364">
        <f>SUM(F66:Q66)</f>
        <v>114082512</v>
      </c>
      <c r="F66" s="364">
        <v>9506862</v>
      </c>
      <c r="G66" s="364">
        <v>9506862</v>
      </c>
      <c r="H66" s="364">
        <v>9506862</v>
      </c>
      <c r="I66" s="364">
        <v>9506862</v>
      </c>
      <c r="J66" s="364">
        <v>9506862</v>
      </c>
      <c r="K66" s="364">
        <v>9506862</v>
      </c>
      <c r="L66" s="364">
        <v>9506862</v>
      </c>
      <c r="M66" s="364">
        <v>9506862</v>
      </c>
      <c r="N66" s="364">
        <v>9506862</v>
      </c>
      <c r="O66" s="364">
        <v>9506862</v>
      </c>
      <c r="P66" s="364">
        <v>9506862</v>
      </c>
      <c r="Q66" s="362">
        <v>9507030</v>
      </c>
    </row>
    <row r="67" spans="3:17" x14ac:dyDescent="0.25">
      <c r="C67" s="371" t="s">
        <v>832</v>
      </c>
      <c r="D67" s="364">
        <v>6602328</v>
      </c>
      <c r="E67" s="364">
        <f>SUM(F67:Q67)</f>
        <v>6602328</v>
      </c>
      <c r="F67" s="364">
        <v>200000</v>
      </c>
      <c r="G67" s="364">
        <v>549356</v>
      </c>
      <c r="H67" s="364">
        <v>549356</v>
      </c>
      <c r="I67" s="364">
        <v>549356</v>
      </c>
      <c r="J67" s="364">
        <v>549356</v>
      </c>
      <c r="K67" s="364">
        <v>553356</v>
      </c>
      <c r="L67" s="364">
        <v>555356</v>
      </c>
      <c r="M67" s="364">
        <v>549356</v>
      </c>
      <c r="N67" s="367">
        <v>549356</v>
      </c>
      <c r="O67" s="364">
        <v>549356</v>
      </c>
      <c r="P67" s="364">
        <v>549356</v>
      </c>
      <c r="Q67" s="362">
        <v>898768</v>
      </c>
    </row>
    <row r="68" spans="3:17" x14ac:dyDescent="0.25">
      <c r="C68" s="371" t="s">
        <v>833</v>
      </c>
      <c r="D68" s="364">
        <v>198600</v>
      </c>
      <c r="E68" s="364">
        <f>SUM(F68:Q68)</f>
        <v>198600</v>
      </c>
      <c r="F68" s="364">
        <v>0</v>
      </c>
      <c r="G68" s="364">
        <v>0</v>
      </c>
      <c r="H68" s="364">
        <v>0</v>
      </c>
      <c r="I68" s="364">
        <v>0</v>
      </c>
      <c r="J68" s="364">
        <v>0</v>
      </c>
      <c r="K68" s="364">
        <v>0</v>
      </c>
      <c r="L68" s="364">
        <v>198600</v>
      </c>
      <c r="M68" s="364">
        <v>0</v>
      </c>
      <c r="N68" s="364">
        <v>0</v>
      </c>
      <c r="O68" s="364">
        <v>0</v>
      </c>
      <c r="P68" s="364">
        <v>0</v>
      </c>
      <c r="Q68" s="362">
        <v>0</v>
      </c>
    </row>
    <row r="69" spans="3:17" x14ac:dyDescent="0.25">
      <c r="C69" s="367" t="s">
        <v>743</v>
      </c>
      <c r="D69" s="367">
        <f>SUM(D64:D68)</f>
        <v>533596997.00000006</v>
      </c>
      <c r="E69" s="367">
        <f>SUM(E64:E68)</f>
        <v>533596997.00000006</v>
      </c>
      <c r="F69" s="364"/>
      <c r="G69" s="364"/>
      <c r="H69" s="364"/>
      <c r="I69" s="364"/>
      <c r="J69" s="364"/>
      <c r="K69" s="364"/>
      <c r="L69" s="364"/>
      <c r="M69" s="364"/>
      <c r="N69" s="364"/>
      <c r="O69" s="364"/>
      <c r="P69" s="364"/>
      <c r="Q69" s="362"/>
    </row>
    <row r="70" spans="3:17" x14ac:dyDescent="0.25">
      <c r="C70" s="367" t="s">
        <v>687</v>
      </c>
      <c r="D70" s="367">
        <f>D69-E69</f>
        <v>0</v>
      </c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4"/>
      <c r="Q70" s="362"/>
    </row>
    <row r="72" spans="3:17" ht="15.75" thickBot="1" x14ac:dyDescent="0.3">
      <c r="C72" s="416" t="s">
        <v>835</v>
      </c>
      <c r="D72" s="416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</row>
    <row r="73" spans="3:17" ht="15.75" thickBot="1" x14ac:dyDescent="0.3">
      <c r="C73" s="369"/>
      <c r="D73" s="369" t="s">
        <v>800</v>
      </c>
      <c r="E73" s="370" t="s">
        <v>743</v>
      </c>
      <c r="F73" s="369" t="s">
        <v>801</v>
      </c>
      <c r="G73" s="369" t="s">
        <v>802</v>
      </c>
      <c r="H73" s="369" t="s">
        <v>803</v>
      </c>
      <c r="I73" s="369" t="s">
        <v>804</v>
      </c>
      <c r="J73" s="369" t="s">
        <v>805</v>
      </c>
      <c r="K73" s="369" t="s">
        <v>806</v>
      </c>
      <c r="L73" s="369" t="s">
        <v>807</v>
      </c>
      <c r="M73" s="369" t="s">
        <v>808</v>
      </c>
      <c r="N73" s="369" t="s">
        <v>809</v>
      </c>
      <c r="O73" s="369" t="s">
        <v>810</v>
      </c>
      <c r="P73" s="369" t="s">
        <v>811</v>
      </c>
      <c r="Q73" s="378" t="s">
        <v>812</v>
      </c>
    </row>
    <row r="74" spans="3:17" x14ac:dyDescent="0.25">
      <c r="C74" s="371" t="s">
        <v>829</v>
      </c>
      <c r="D74" s="364"/>
      <c r="E74" s="364">
        <f>SUM(F74:Q74)</f>
        <v>0</v>
      </c>
      <c r="F74" s="364">
        <f t="shared" ref="F74:Q75" si="6">F64-F53</f>
        <v>0</v>
      </c>
      <c r="G74" s="364">
        <f t="shared" si="6"/>
        <v>0</v>
      </c>
      <c r="H74" s="364">
        <f t="shared" si="6"/>
        <v>0</v>
      </c>
      <c r="I74" s="364">
        <f t="shared" si="6"/>
        <v>0</v>
      </c>
      <c r="J74" s="364">
        <f t="shared" si="6"/>
        <v>0</v>
      </c>
      <c r="K74" s="364">
        <f t="shared" si="6"/>
        <v>0</v>
      </c>
      <c r="L74" s="364">
        <f t="shared" si="6"/>
        <v>0</v>
      </c>
      <c r="M74" s="364">
        <f t="shared" si="6"/>
        <v>0</v>
      </c>
      <c r="N74" s="364">
        <f t="shared" si="6"/>
        <v>0</v>
      </c>
      <c r="O74" s="364">
        <f t="shared" si="6"/>
        <v>0</v>
      </c>
      <c r="P74" s="364">
        <f t="shared" si="6"/>
        <v>0</v>
      </c>
      <c r="Q74" s="362">
        <f t="shared" si="6"/>
        <v>0</v>
      </c>
    </row>
    <row r="75" spans="3:17" x14ac:dyDescent="0.25">
      <c r="C75" s="371" t="s">
        <v>830</v>
      </c>
      <c r="D75" s="364"/>
      <c r="E75" s="364">
        <f>SUM(F75:Q75)</f>
        <v>0</v>
      </c>
      <c r="F75" s="364">
        <f>F65-F54</f>
        <v>0</v>
      </c>
      <c r="G75" s="364">
        <f t="shared" si="6"/>
        <v>0</v>
      </c>
      <c r="H75" s="364">
        <f t="shared" si="6"/>
        <v>0</v>
      </c>
      <c r="I75" s="364">
        <f t="shared" si="6"/>
        <v>0</v>
      </c>
      <c r="J75" s="364">
        <f t="shared" si="6"/>
        <v>0</v>
      </c>
      <c r="K75" s="364">
        <f t="shared" si="6"/>
        <v>0</v>
      </c>
      <c r="L75" s="364">
        <f t="shared" si="6"/>
        <v>0</v>
      </c>
      <c r="M75" s="364">
        <f t="shared" si="6"/>
        <v>0</v>
      </c>
      <c r="N75" s="364">
        <f t="shared" si="6"/>
        <v>0</v>
      </c>
      <c r="O75" s="364">
        <f t="shared" si="6"/>
        <v>0</v>
      </c>
      <c r="P75" s="364">
        <f t="shared" si="6"/>
        <v>0</v>
      </c>
      <c r="Q75" s="362">
        <f>Q65-Q54</f>
        <v>0</v>
      </c>
    </row>
    <row r="76" spans="3:17" x14ac:dyDescent="0.25">
      <c r="C76" s="371" t="s">
        <v>831</v>
      </c>
      <c r="D76" s="364"/>
      <c r="E76" s="364">
        <f>SUM(F76:Q76)</f>
        <v>0</v>
      </c>
      <c r="F76" s="364">
        <f t="shared" ref="F76:Q78" si="7">F66-F55</f>
        <v>0</v>
      </c>
      <c r="G76" s="364">
        <f t="shared" si="7"/>
        <v>0</v>
      </c>
      <c r="H76" s="364">
        <f t="shared" si="7"/>
        <v>0</v>
      </c>
      <c r="I76" s="364">
        <f t="shared" si="7"/>
        <v>0</v>
      </c>
      <c r="J76" s="364">
        <f t="shared" si="7"/>
        <v>0</v>
      </c>
      <c r="K76" s="364">
        <f t="shared" si="7"/>
        <v>0</v>
      </c>
      <c r="L76" s="364">
        <f t="shared" si="7"/>
        <v>0</v>
      </c>
      <c r="M76" s="364">
        <f t="shared" si="7"/>
        <v>0</v>
      </c>
      <c r="N76" s="364">
        <f t="shared" si="7"/>
        <v>0</v>
      </c>
      <c r="O76" s="364">
        <f t="shared" si="7"/>
        <v>0</v>
      </c>
      <c r="P76" s="364">
        <f t="shared" si="7"/>
        <v>0</v>
      </c>
      <c r="Q76" s="362">
        <f t="shared" si="7"/>
        <v>0</v>
      </c>
    </row>
    <row r="77" spans="3:17" x14ac:dyDescent="0.25">
      <c r="C77" s="371" t="s">
        <v>832</v>
      </c>
      <c r="D77" s="364"/>
      <c r="E77" s="364">
        <f>SUM(F77:Q77)</f>
        <v>-2.3283064365386963E-10</v>
      </c>
      <c r="F77" s="364">
        <f t="shared" si="7"/>
        <v>0</v>
      </c>
      <c r="G77" s="364">
        <f t="shared" si="7"/>
        <v>1.9999999785795808E-3</v>
      </c>
      <c r="H77" s="364">
        <f t="shared" si="7"/>
        <v>1.9999999785795808E-3</v>
      </c>
      <c r="I77" s="364">
        <f t="shared" si="7"/>
        <v>1.9999999785795808E-3</v>
      </c>
      <c r="J77" s="364">
        <f t="shared" si="7"/>
        <v>1.9999999785795808E-3</v>
      </c>
      <c r="K77" s="364">
        <f t="shared" si="7"/>
        <v>1.9999999785795808E-3</v>
      </c>
      <c r="L77" s="364">
        <f t="shared" si="7"/>
        <v>1.9999999785795808E-3</v>
      </c>
      <c r="M77" s="364">
        <f t="shared" si="7"/>
        <v>1.9999999785795808E-3</v>
      </c>
      <c r="N77" s="364">
        <f t="shared" si="7"/>
        <v>1.9999999785795808E-3</v>
      </c>
      <c r="O77" s="364">
        <f t="shared" si="7"/>
        <v>1.9999999785795808E-3</v>
      </c>
      <c r="P77" s="364">
        <f t="shared" si="7"/>
        <v>1.9999999785795808E-3</v>
      </c>
      <c r="Q77" s="362">
        <f t="shared" si="7"/>
        <v>-2.0000000018626451E-2</v>
      </c>
    </row>
    <row r="78" spans="3:17" x14ac:dyDescent="0.25">
      <c r="C78" s="371" t="s">
        <v>833</v>
      </c>
      <c r="D78" s="364"/>
      <c r="E78" s="364">
        <f>SUM(F78:Q78)</f>
        <v>0</v>
      </c>
      <c r="F78" s="364">
        <f t="shared" si="7"/>
        <v>0</v>
      </c>
      <c r="G78" s="364">
        <f t="shared" si="7"/>
        <v>0</v>
      </c>
      <c r="H78" s="364">
        <f t="shared" si="7"/>
        <v>0</v>
      </c>
      <c r="I78" s="364">
        <f t="shared" si="7"/>
        <v>0</v>
      </c>
      <c r="J78" s="364">
        <f t="shared" si="7"/>
        <v>0</v>
      </c>
      <c r="K78" s="364">
        <f t="shared" si="7"/>
        <v>0</v>
      </c>
      <c r="L78" s="364">
        <f t="shared" si="7"/>
        <v>0</v>
      </c>
      <c r="M78" s="364">
        <f t="shared" si="7"/>
        <v>0</v>
      </c>
      <c r="N78" s="364">
        <f t="shared" si="7"/>
        <v>0</v>
      </c>
      <c r="O78" s="364">
        <f t="shared" si="7"/>
        <v>0</v>
      </c>
      <c r="P78" s="364">
        <f t="shared" si="7"/>
        <v>0</v>
      </c>
      <c r="Q78" s="362">
        <f t="shared" si="7"/>
        <v>0</v>
      </c>
    </row>
    <row r="79" spans="3:17" x14ac:dyDescent="0.25">
      <c r="C79" s="367" t="s">
        <v>743</v>
      </c>
      <c r="D79" s="367"/>
      <c r="E79" s="367">
        <f>SUM(E74:E78)</f>
        <v>-2.3283064365386963E-10</v>
      </c>
      <c r="F79" s="364"/>
      <c r="G79" s="364"/>
      <c r="H79" s="364"/>
      <c r="I79" s="364"/>
      <c r="J79" s="364"/>
      <c r="K79" s="364"/>
      <c r="L79" s="364"/>
      <c r="M79" s="364"/>
      <c r="N79" s="364"/>
      <c r="O79" s="364"/>
      <c r="P79" s="364"/>
      <c r="Q79" s="362"/>
    </row>
    <row r="80" spans="3:17" x14ac:dyDescent="0.25">
      <c r="C80" s="367" t="s">
        <v>687</v>
      </c>
      <c r="D80" s="367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4"/>
      <c r="P80" s="364"/>
      <c r="Q80" s="362"/>
    </row>
    <row r="81" spans="4:17" x14ac:dyDescent="0.25">
      <c r="D81" s="372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9"/>
    </row>
  </sheetData>
  <mergeCells count="4">
    <mergeCell ref="C27:Q27"/>
    <mergeCell ref="C51:Q51"/>
    <mergeCell ref="C62:Q62"/>
    <mergeCell ref="C72:Q7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E8DF-7CB6-4584-A32B-22CBD35F8987}">
  <sheetPr>
    <tabColor rgb="FFFF0000"/>
    <pageSetUpPr fitToPage="1"/>
  </sheetPr>
  <dimension ref="A1:O218"/>
  <sheetViews>
    <sheetView topLeftCell="A55" workbookViewId="0">
      <selection activeCell="L10" sqref="L10"/>
    </sheetView>
  </sheetViews>
  <sheetFormatPr defaultColWidth="9.140625" defaultRowHeight="15" x14ac:dyDescent="0.25"/>
  <cols>
    <col min="1" max="1" width="26.140625" style="197" customWidth="1"/>
    <col min="2" max="2" width="67.85546875" style="197" customWidth="1"/>
    <col min="3" max="3" width="10.85546875" style="199" customWidth="1"/>
    <col min="4" max="4" width="18.42578125" style="199" customWidth="1"/>
    <col min="5" max="5" width="7.42578125" style="199" customWidth="1"/>
    <col min="6" max="6" width="6.5703125" style="199" bestFit="1" customWidth="1"/>
    <col min="7" max="7" width="7.42578125" style="199" hidden="1" customWidth="1"/>
    <col min="8" max="8" width="14.85546875" style="197" customWidth="1"/>
    <col min="9" max="9" width="13.5703125" style="197" customWidth="1"/>
    <col min="10" max="10" width="9.140625" style="197"/>
    <col min="11" max="11" width="13.28515625" style="197" bestFit="1" customWidth="1"/>
    <col min="12" max="16384" width="9.140625" style="197"/>
  </cols>
  <sheetData>
    <row r="1" spans="1:15" s="198" customFormat="1" x14ac:dyDescent="0.25">
      <c r="A1" s="412" t="s">
        <v>744</v>
      </c>
      <c r="B1" s="412"/>
      <c r="C1" s="412"/>
      <c r="D1" s="412"/>
      <c r="E1" s="412"/>
      <c r="F1" s="412"/>
      <c r="G1" s="412"/>
      <c r="H1" s="412"/>
      <c r="I1" s="412"/>
      <c r="J1" s="197"/>
      <c r="K1" s="197"/>
      <c r="L1" s="197"/>
      <c r="M1" s="197"/>
      <c r="N1" s="197"/>
      <c r="O1" s="197"/>
    </row>
    <row r="3" spans="1:15" s="198" customFormat="1" x14ac:dyDescent="0.25">
      <c r="A3" s="33" t="s">
        <v>480</v>
      </c>
      <c r="B3" s="197" t="s">
        <v>630</v>
      </c>
      <c r="C3" s="199"/>
      <c r="D3" s="199"/>
      <c r="E3" s="199"/>
      <c r="F3" s="199"/>
      <c r="G3" s="199"/>
      <c r="H3" s="197"/>
      <c r="I3" s="197"/>
      <c r="J3" s="197"/>
      <c r="K3" s="197"/>
      <c r="L3" s="197"/>
      <c r="M3" s="197"/>
      <c r="N3" s="197"/>
      <c r="O3" s="197"/>
    </row>
    <row r="4" spans="1:15" s="198" customFormat="1" x14ac:dyDescent="0.25">
      <c r="A4" s="33" t="s">
        <v>481</v>
      </c>
      <c r="B4" s="197" t="s">
        <v>490</v>
      </c>
      <c r="C4" s="199"/>
      <c r="D4" s="199"/>
      <c r="E4" s="199"/>
      <c r="F4" s="199"/>
      <c r="G4" s="199"/>
      <c r="H4" s="197"/>
      <c r="I4" s="197"/>
      <c r="J4" s="197"/>
      <c r="K4" s="197"/>
      <c r="L4" s="197"/>
      <c r="M4" s="197"/>
      <c r="N4" s="197"/>
      <c r="O4" s="197"/>
    </row>
    <row r="5" spans="1:15" s="198" customFormat="1" x14ac:dyDescent="0.25">
      <c r="A5" s="33" t="s">
        <v>482</v>
      </c>
      <c r="B5" s="197" t="s">
        <v>491</v>
      </c>
      <c r="C5" s="199"/>
      <c r="D5" s="199"/>
      <c r="E5" s="199"/>
      <c r="F5" s="199"/>
      <c r="G5" s="199"/>
      <c r="H5" s="197"/>
      <c r="I5" s="197"/>
      <c r="J5" s="197"/>
      <c r="K5" s="197"/>
      <c r="L5" s="197"/>
      <c r="M5" s="197"/>
      <c r="N5" s="197"/>
      <c r="O5" s="197"/>
    </row>
    <row r="6" spans="1:15" s="198" customFormat="1" x14ac:dyDescent="0.25">
      <c r="A6" s="33" t="s">
        <v>483</v>
      </c>
      <c r="B6" s="197" t="s">
        <v>711</v>
      </c>
      <c r="C6" s="199"/>
      <c r="D6" s="199"/>
      <c r="E6" s="199"/>
      <c r="F6" s="199"/>
      <c r="G6" s="199"/>
      <c r="H6" s="197"/>
      <c r="I6" s="197"/>
      <c r="J6" s="197"/>
      <c r="K6" s="197"/>
      <c r="L6" s="197"/>
      <c r="M6" s="197"/>
      <c r="N6" s="197"/>
      <c r="O6" s="197"/>
    </row>
    <row r="7" spans="1:15" s="198" customFormat="1" x14ac:dyDescent="0.25">
      <c r="A7" s="33" t="s">
        <v>484</v>
      </c>
      <c r="B7" s="197" t="s">
        <v>712</v>
      </c>
      <c r="C7" s="199"/>
      <c r="D7" s="199"/>
      <c r="E7" s="199"/>
      <c r="F7" s="199"/>
      <c r="G7" s="199"/>
      <c r="H7" s="197"/>
      <c r="I7" s="197"/>
      <c r="J7" s="197"/>
      <c r="K7" s="197"/>
      <c r="L7" s="197"/>
      <c r="M7" s="197"/>
      <c r="N7" s="197"/>
      <c r="O7" s="197"/>
    </row>
    <row r="8" spans="1:15" s="198" customFormat="1" x14ac:dyDescent="0.25">
      <c r="A8" s="33" t="s">
        <v>485</v>
      </c>
      <c r="B8" s="197" t="s">
        <v>713</v>
      </c>
      <c r="C8" s="199"/>
      <c r="D8" s="199"/>
      <c r="E8" s="199"/>
      <c r="F8" s="199"/>
      <c r="G8" s="199"/>
      <c r="H8" s="197"/>
      <c r="I8" s="197"/>
      <c r="J8" s="197"/>
      <c r="K8" s="197"/>
      <c r="L8" s="197"/>
      <c r="M8" s="197"/>
      <c r="N8" s="197"/>
      <c r="O8" s="197"/>
    </row>
    <row r="9" spans="1:15" s="198" customFormat="1" x14ac:dyDescent="0.25">
      <c r="A9" s="33" t="s">
        <v>745</v>
      </c>
      <c r="B9" s="197" t="s">
        <v>746</v>
      </c>
      <c r="C9" s="199"/>
      <c r="D9" s="199"/>
      <c r="E9" s="199"/>
      <c r="F9" s="199"/>
      <c r="G9" s="199"/>
      <c r="H9" s="197"/>
      <c r="I9" s="197"/>
      <c r="J9" s="197"/>
      <c r="K9" s="197"/>
      <c r="L9" s="197"/>
      <c r="M9" s="197"/>
      <c r="N9" s="197"/>
      <c r="O9" s="197"/>
    </row>
    <row r="10" spans="1:15" s="198" customFormat="1" x14ac:dyDescent="0.25">
      <c r="A10" s="33" t="s">
        <v>747</v>
      </c>
      <c r="B10" s="197" t="s">
        <v>776</v>
      </c>
      <c r="C10" s="199"/>
      <c r="D10" s="199"/>
      <c r="E10" s="199"/>
      <c r="F10" s="199"/>
      <c r="G10" s="199"/>
      <c r="H10" s="197"/>
      <c r="I10" s="197"/>
      <c r="J10" s="197"/>
      <c r="K10" s="197"/>
      <c r="L10" s="197"/>
      <c r="M10" s="197"/>
      <c r="N10" s="197"/>
      <c r="O10" s="197"/>
    </row>
    <row r="11" spans="1:15" s="198" customFormat="1" x14ac:dyDescent="0.25">
      <c r="A11" s="33" t="s">
        <v>748</v>
      </c>
      <c r="B11" s="197" t="s">
        <v>497</v>
      </c>
      <c r="C11" s="199"/>
      <c r="D11" s="199"/>
      <c r="E11" s="199"/>
      <c r="F11" s="199"/>
      <c r="G11" s="199"/>
      <c r="H11" s="197"/>
      <c r="I11" s="197"/>
      <c r="J11" s="197"/>
      <c r="K11" s="197"/>
      <c r="L11" s="197"/>
      <c r="M11" s="197"/>
      <c r="N11" s="197"/>
      <c r="O11" s="197"/>
    </row>
    <row r="12" spans="1:15" s="198" customFormat="1" x14ac:dyDescent="0.25">
      <c r="A12" s="33" t="s">
        <v>488</v>
      </c>
      <c r="B12" s="197" t="s">
        <v>793</v>
      </c>
      <c r="C12" s="199"/>
      <c r="D12" s="199"/>
      <c r="E12" s="199"/>
      <c r="F12" s="199"/>
      <c r="G12" s="199"/>
      <c r="H12" s="197"/>
      <c r="I12" s="197"/>
      <c r="J12" s="197"/>
      <c r="K12" s="197"/>
      <c r="L12" s="197"/>
      <c r="M12" s="197"/>
      <c r="N12" s="197"/>
      <c r="O12" s="197"/>
    </row>
    <row r="15" spans="1:15" s="200" customFormat="1" ht="33" customHeight="1" x14ac:dyDescent="0.25">
      <c r="A15" s="417" t="s">
        <v>749</v>
      </c>
      <c r="B15" s="417" t="s">
        <v>750</v>
      </c>
      <c r="C15" s="419" t="s">
        <v>751</v>
      </c>
      <c r="D15" s="419" t="s">
        <v>752</v>
      </c>
      <c r="E15" s="421" t="s">
        <v>755</v>
      </c>
      <c r="F15" s="422"/>
      <c r="G15" s="423"/>
      <c r="H15" s="419" t="s">
        <v>322</v>
      </c>
      <c r="I15" s="419" t="s">
        <v>743</v>
      </c>
    </row>
    <row r="16" spans="1:15" s="200" customFormat="1" x14ac:dyDescent="0.25">
      <c r="A16" s="418"/>
      <c r="B16" s="418"/>
      <c r="C16" s="420"/>
      <c r="D16" s="420"/>
      <c r="E16" s="288" t="s">
        <v>754</v>
      </c>
      <c r="F16" s="288" t="s">
        <v>780</v>
      </c>
      <c r="G16" s="288" t="s">
        <v>753</v>
      </c>
      <c r="H16" s="420"/>
      <c r="I16" s="420"/>
    </row>
    <row r="17" spans="1:11" s="291" customFormat="1" ht="30" x14ac:dyDescent="0.25">
      <c r="A17" s="277" t="s">
        <v>674</v>
      </c>
      <c r="B17" s="277" t="s">
        <v>8</v>
      </c>
      <c r="C17" s="289">
        <v>246</v>
      </c>
      <c r="D17" s="289"/>
      <c r="E17" s="289"/>
      <c r="F17" s="289"/>
      <c r="G17" s="289"/>
      <c r="H17" s="290"/>
      <c r="I17" s="157">
        <f>I18+I35+I124+I147</f>
        <v>4594964000</v>
      </c>
      <c r="K17" s="193"/>
    </row>
    <row r="18" spans="1:11" s="137" customFormat="1" x14ac:dyDescent="0.25">
      <c r="A18" s="158" t="s">
        <v>9</v>
      </c>
      <c r="B18" s="158" t="s">
        <v>10</v>
      </c>
      <c r="C18" s="159" t="s">
        <v>11</v>
      </c>
      <c r="D18" s="302" t="s">
        <v>756</v>
      </c>
      <c r="E18" s="159"/>
      <c r="F18" s="159"/>
      <c r="G18" s="159"/>
      <c r="H18" s="160"/>
      <c r="I18" s="161">
        <f>I19</f>
        <v>52150000</v>
      </c>
    </row>
    <row r="19" spans="1:11" x14ac:dyDescent="0.25">
      <c r="A19" s="162" t="s">
        <v>12</v>
      </c>
      <c r="B19" s="162" t="s">
        <v>13</v>
      </c>
      <c r="C19" s="323"/>
      <c r="D19" s="323"/>
      <c r="E19" s="163"/>
      <c r="F19" s="163"/>
      <c r="G19" s="163"/>
      <c r="H19" s="164"/>
      <c r="I19" s="165">
        <f>I20+I24+I29+I32</f>
        <v>52150000</v>
      </c>
    </row>
    <row r="20" spans="1:11" x14ac:dyDescent="0.25">
      <c r="A20" s="166" t="s">
        <v>22</v>
      </c>
      <c r="B20" s="166" t="s">
        <v>23</v>
      </c>
      <c r="C20" s="323"/>
      <c r="D20" s="323"/>
      <c r="E20" s="168"/>
      <c r="F20" s="168"/>
      <c r="G20" s="168"/>
      <c r="H20" s="169"/>
      <c r="I20" s="167">
        <f>SUM(I21:I23)</f>
        <v>8800000</v>
      </c>
    </row>
    <row r="21" spans="1:11" x14ac:dyDescent="0.25">
      <c r="A21" s="170"/>
      <c r="B21" s="171" t="s">
        <v>521</v>
      </c>
      <c r="C21" s="324"/>
      <c r="D21" s="324"/>
      <c r="E21" s="172" t="s">
        <v>296</v>
      </c>
      <c r="F21" s="172">
        <v>100</v>
      </c>
      <c r="G21" s="172" t="s">
        <v>296</v>
      </c>
      <c r="H21" s="173">
        <v>57000</v>
      </c>
      <c r="I21" s="173">
        <f>F21*H21</f>
        <v>5700000</v>
      </c>
    </row>
    <row r="22" spans="1:11" x14ac:dyDescent="0.25">
      <c r="A22" s="170"/>
      <c r="B22" s="171" t="s">
        <v>522</v>
      </c>
      <c r="C22" s="324"/>
      <c r="D22" s="324"/>
      <c r="E22" s="172" t="s">
        <v>296</v>
      </c>
      <c r="F22" s="172">
        <v>100</v>
      </c>
      <c r="G22" s="172" t="s">
        <v>296</v>
      </c>
      <c r="H22" s="173">
        <v>24000</v>
      </c>
      <c r="I22" s="173">
        <f>F22*H22</f>
        <v>2400000</v>
      </c>
    </row>
    <row r="23" spans="1:11" x14ac:dyDescent="0.25">
      <c r="A23" s="170"/>
      <c r="B23" s="195" t="s">
        <v>344</v>
      </c>
      <c r="C23" s="324"/>
      <c r="D23" s="324"/>
      <c r="E23" s="172" t="s">
        <v>298</v>
      </c>
      <c r="F23" s="172">
        <v>1</v>
      </c>
      <c r="G23" s="172" t="s">
        <v>298</v>
      </c>
      <c r="H23" s="173">
        <f>778000-108000+30000</f>
        <v>700000</v>
      </c>
      <c r="I23" s="173">
        <f t="shared" ref="I23" si="0">F23*H23</f>
        <v>700000</v>
      </c>
    </row>
    <row r="24" spans="1:11" x14ac:dyDescent="0.25">
      <c r="A24" s="166" t="s">
        <v>14</v>
      </c>
      <c r="B24" s="166" t="s">
        <v>15</v>
      </c>
      <c r="C24" s="323"/>
      <c r="D24" s="323"/>
      <c r="E24" s="168"/>
      <c r="F24" s="168"/>
      <c r="G24" s="168"/>
      <c r="H24" s="169"/>
      <c r="I24" s="167">
        <f>SUM(I25:I28)</f>
        <v>7750000</v>
      </c>
    </row>
    <row r="25" spans="1:11" ht="30" x14ac:dyDescent="0.25">
      <c r="A25" s="170"/>
      <c r="B25" s="176" t="s">
        <v>669</v>
      </c>
      <c r="C25" s="324"/>
      <c r="D25" s="324"/>
      <c r="E25" s="172" t="s">
        <v>296</v>
      </c>
      <c r="F25" s="172">
        <v>1</v>
      </c>
      <c r="G25" s="172" t="s">
        <v>296</v>
      </c>
      <c r="H25" s="173">
        <v>450000</v>
      </c>
      <c r="I25" s="173">
        <f>F25*H25</f>
        <v>450000</v>
      </c>
    </row>
    <row r="26" spans="1:11" ht="30" x14ac:dyDescent="0.25">
      <c r="A26" s="170"/>
      <c r="B26" s="176" t="s">
        <v>670</v>
      </c>
      <c r="C26" s="324"/>
      <c r="D26" s="324"/>
      <c r="E26" s="172" t="s">
        <v>296</v>
      </c>
      <c r="F26" s="172">
        <v>1</v>
      </c>
      <c r="G26" s="172" t="s">
        <v>296</v>
      </c>
      <c r="H26" s="173">
        <v>400000</v>
      </c>
      <c r="I26" s="173">
        <f t="shared" ref="I26:I28" si="1">F26*H26</f>
        <v>400000</v>
      </c>
    </row>
    <row r="27" spans="1:11" ht="30" x14ac:dyDescent="0.25">
      <c r="A27" s="170"/>
      <c r="B27" s="176" t="s">
        <v>671</v>
      </c>
      <c r="C27" s="324"/>
      <c r="D27" s="324"/>
      <c r="E27" s="172" t="s">
        <v>296</v>
      </c>
      <c r="F27" s="172">
        <v>1</v>
      </c>
      <c r="G27" s="172" t="s">
        <v>296</v>
      </c>
      <c r="H27" s="173">
        <v>300000</v>
      </c>
      <c r="I27" s="173">
        <f t="shared" si="1"/>
        <v>300000</v>
      </c>
    </row>
    <row r="28" spans="1:11" ht="30" x14ac:dyDescent="0.25">
      <c r="A28" s="170"/>
      <c r="B28" s="176" t="s">
        <v>672</v>
      </c>
      <c r="C28" s="324"/>
      <c r="D28" s="324"/>
      <c r="E28" s="172" t="s">
        <v>296</v>
      </c>
      <c r="F28" s="172">
        <v>22</v>
      </c>
      <c r="G28" s="172" t="s">
        <v>296</v>
      </c>
      <c r="H28" s="173">
        <v>300000</v>
      </c>
      <c r="I28" s="173">
        <f t="shared" si="1"/>
        <v>6600000</v>
      </c>
    </row>
    <row r="29" spans="1:11" x14ac:dyDescent="0.25">
      <c r="A29" s="166" t="s">
        <v>16</v>
      </c>
      <c r="B29" s="166" t="s">
        <v>17</v>
      </c>
      <c r="C29" s="323"/>
      <c r="D29" s="323"/>
      <c r="E29" s="168"/>
      <c r="F29" s="168"/>
      <c r="G29" s="168"/>
      <c r="H29" s="169"/>
      <c r="I29" s="167">
        <f>SUM(I30:I31)</f>
        <v>12800000</v>
      </c>
    </row>
    <row r="30" spans="1:11" x14ac:dyDescent="0.25">
      <c r="A30" s="170"/>
      <c r="B30" s="171" t="s">
        <v>515</v>
      </c>
      <c r="C30" s="324"/>
      <c r="D30" s="324"/>
      <c r="E30" s="172" t="s">
        <v>297</v>
      </c>
      <c r="F30" s="172">
        <v>10</v>
      </c>
      <c r="G30" s="172" t="s">
        <v>297</v>
      </c>
      <c r="H30" s="173">
        <v>1000000</v>
      </c>
      <c r="I30" s="173">
        <f>F30*H30</f>
        <v>10000000</v>
      </c>
    </row>
    <row r="31" spans="1:11" x14ac:dyDescent="0.25">
      <c r="A31" s="170"/>
      <c r="B31" s="171" t="s">
        <v>523</v>
      </c>
      <c r="C31" s="324"/>
      <c r="D31" s="324"/>
      <c r="E31" s="172" t="s">
        <v>347</v>
      </c>
      <c r="F31" s="172">
        <v>4</v>
      </c>
      <c r="G31" s="172" t="s">
        <v>347</v>
      </c>
      <c r="H31" s="173">
        <v>700000</v>
      </c>
      <c r="I31" s="173">
        <f t="shared" ref="I31" si="2">F31*H31</f>
        <v>2800000</v>
      </c>
    </row>
    <row r="32" spans="1:11" x14ac:dyDescent="0.25">
      <c r="A32" s="166" t="s">
        <v>18</v>
      </c>
      <c r="B32" s="166" t="s">
        <v>19</v>
      </c>
      <c r="C32" s="323"/>
      <c r="D32" s="323"/>
      <c r="E32" s="168"/>
      <c r="F32" s="168"/>
      <c r="G32" s="168"/>
      <c r="H32" s="169"/>
      <c r="I32" s="167">
        <f>SUM(I33:I34)</f>
        <v>22800000</v>
      </c>
    </row>
    <row r="33" spans="1:9" ht="30" x14ac:dyDescent="0.25">
      <c r="A33" s="170"/>
      <c r="B33" s="171" t="s">
        <v>690</v>
      </c>
      <c r="C33" s="324"/>
      <c r="D33" s="324"/>
      <c r="E33" s="172" t="s">
        <v>301</v>
      </c>
      <c r="F33" s="172">
        <v>60</v>
      </c>
      <c r="G33" s="172" t="s">
        <v>301</v>
      </c>
      <c r="H33" s="173">
        <v>210000</v>
      </c>
      <c r="I33" s="173">
        <f>F33*H33</f>
        <v>12600000</v>
      </c>
    </row>
    <row r="34" spans="1:9" ht="30" x14ac:dyDescent="0.25">
      <c r="A34" s="170"/>
      <c r="B34" s="171" t="s">
        <v>691</v>
      </c>
      <c r="C34" s="324"/>
      <c r="D34" s="324"/>
      <c r="E34" s="172" t="s">
        <v>296</v>
      </c>
      <c r="F34" s="172">
        <v>60</v>
      </c>
      <c r="G34" s="172" t="s">
        <v>296</v>
      </c>
      <c r="H34" s="173">
        <v>170000</v>
      </c>
      <c r="I34" s="173">
        <f>F34*H34</f>
        <v>10200000</v>
      </c>
    </row>
    <row r="35" spans="1:9" ht="30" x14ac:dyDescent="0.25">
      <c r="A35" s="158" t="s">
        <v>20</v>
      </c>
      <c r="B35" s="158" t="s">
        <v>21</v>
      </c>
      <c r="C35" s="325"/>
      <c r="D35" s="324" t="s">
        <v>756</v>
      </c>
      <c r="E35" s="159"/>
      <c r="F35" s="159" t="s">
        <v>11</v>
      </c>
      <c r="G35" s="159"/>
      <c r="H35" s="160"/>
      <c r="I35" s="161">
        <f>I36+I58+I80+I102</f>
        <v>2355010000</v>
      </c>
    </row>
    <row r="36" spans="1:9" x14ac:dyDescent="0.25">
      <c r="A36" s="162" t="s">
        <v>12</v>
      </c>
      <c r="B36" s="162" t="s">
        <v>337</v>
      </c>
      <c r="C36" s="323"/>
      <c r="D36" s="323"/>
      <c r="E36" s="163"/>
      <c r="F36" s="163"/>
      <c r="G36" s="163"/>
      <c r="H36" s="164"/>
      <c r="I36" s="165">
        <f>I37+I41+I46+I50+I54</f>
        <v>622508000</v>
      </c>
    </row>
    <row r="37" spans="1:9" x14ac:dyDescent="0.25">
      <c r="A37" s="166" t="s">
        <v>22</v>
      </c>
      <c r="B37" s="166" t="s">
        <v>23</v>
      </c>
      <c r="C37" s="323"/>
      <c r="D37" s="323"/>
      <c r="E37" s="168"/>
      <c r="F37" s="168"/>
      <c r="G37" s="168"/>
      <c r="H37" s="169"/>
      <c r="I37" s="167">
        <f>SUM(I38:I40)</f>
        <v>143060000</v>
      </c>
    </row>
    <row r="38" spans="1:9" x14ac:dyDescent="0.25">
      <c r="A38" s="170"/>
      <c r="B38" s="171" t="s">
        <v>736</v>
      </c>
      <c r="C38" s="324"/>
      <c r="D38" s="324"/>
      <c r="E38" s="172" t="s">
        <v>296</v>
      </c>
      <c r="F38" s="172">
        <v>1760</v>
      </c>
      <c r="G38" s="172" t="s">
        <v>296</v>
      </c>
      <c r="H38" s="173">
        <v>57000</v>
      </c>
      <c r="I38" s="173">
        <f>F38*H38</f>
        <v>100320000</v>
      </c>
    </row>
    <row r="39" spans="1:9" x14ac:dyDescent="0.25">
      <c r="A39" s="170"/>
      <c r="B39" s="171" t="s">
        <v>737</v>
      </c>
      <c r="C39" s="324"/>
      <c r="D39" s="324"/>
      <c r="E39" s="172" t="s">
        <v>296</v>
      </c>
      <c r="F39" s="172">
        <v>1760</v>
      </c>
      <c r="G39" s="172" t="s">
        <v>296</v>
      </c>
      <c r="H39" s="173">
        <v>24000</v>
      </c>
      <c r="I39" s="173">
        <f>F39*H39</f>
        <v>42240000</v>
      </c>
    </row>
    <row r="40" spans="1:9" x14ac:dyDescent="0.25">
      <c r="A40" s="170"/>
      <c r="B40" s="178" t="s">
        <v>344</v>
      </c>
      <c r="C40" s="324"/>
      <c r="D40" s="324"/>
      <c r="E40" s="172" t="s">
        <v>298</v>
      </c>
      <c r="F40" s="172">
        <v>1</v>
      </c>
      <c r="G40" s="172" t="s">
        <v>298</v>
      </c>
      <c r="H40" s="173">
        <v>500000</v>
      </c>
      <c r="I40" s="173">
        <f t="shared" ref="I40" si="3">F40*H40</f>
        <v>500000</v>
      </c>
    </row>
    <row r="41" spans="1:9" x14ac:dyDescent="0.25">
      <c r="A41" s="166" t="s">
        <v>14</v>
      </c>
      <c r="B41" s="166" t="s">
        <v>15</v>
      </c>
      <c r="C41" s="323"/>
      <c r="D41" s="323"/>
      <c r="E41" s="168"/>
      <c r="F41" s="168"/>
      <c r="G41" s="168"/>
      <c r="H41" s="169"/>
      <c r="I41" s="167">
        <f>SUM(I42:I45)</f>
        <v>15400000</v>
      </c>
    </row>
    <row r="42" spans="1:9" ht="30" x14ac:dyDescent="0.25">
      <c r="A42" s="170"/>
      <c r="B42" s="176" t="s">
        <v>360</v>
      </c>
      <c r="C42" s="324"/>
      <c r="D42" s="324"/>
      <c r="E42" s="172" t="s">
        <v>296</v>
      </c>
      <c r="F42" s="172">
        <v>4</v>
      </c>
      <c r="G42" s="172" t="s">
        <v>296</v>
      </c>
      <c r="H42" s="173">
        <v>450000</v>
      </c>
      <c r="I42" s="173">
        <f>F42*H42</f>
        <v>1800000</v>
      </c>
    </row>
    <row r="43" spans="1:9" ht="30" x14ac:dyDescent="0.25">
      <c r="A43" s="170"/>
      <c r="B43" s="176" t="s">
        <v>361</v>
      </c>
      <c r="C43" s="324"/>
      <c r="D43" s="324"/>
      <c r="E43" s="172" t="s">
        <v>296</v>
      </c>
      <c r="F43" s="172">
        <v>4</v>
      </c>
      <c r="G43" s="172" t="s">
        <v>296</v>
      </c>
      <c r="H43" s="173">
        <v>400000</v>
      </c>
      <c r="I43" s="173">
        <f t="shared" ref="I43:I45" si="4">F43*H43</f>
        <v>1600000</v>
      </c>
    </row>
    <row r="44" spans="1:9" ht="30" x14ac:dyDescent="0.25">
      <c r="A44" s="170"/>
      <c r="B44" s="176" t="s">
        <v>362</v>
      </c>
      <c r="C44" s="324"/>
      <c r="D44" s="324"/>
      <c r="E44" s="172" t="s">
        <v>296</v>
      </c>
      <c r="F44" s="172">
        <v>4</v>
      </c>
      <c r="G44" s="172" t="s">
        <v>296</v>
      </c>
      <c r="H44" s="173">
        <v>300000</v>
      </c>
      <c r="I44" s="173">
        <f t="shared" si="4"/>
        <v>1200000</v>
      </c>
    </row>
    <row r="45" spans="1:9" ht="30" x14ac:dyDescent="0.25">
      <c r="A45" s="170"/>
      <c r="B45" s="176" t="s">
        <v>363</v>
      </c>
      <c r="C45" s="324"/>
      <c r="D45" s="324"/>
      <c r="E45" s="172" t="s">
        <v>296</v>
      </c>
      <c r="F45" s="172">
        <v>36</v>
      </c>
      <c r="G45" s="172" t="s">
        <v>296</v>
      </c>
      <c r="H45" s="173">
        <v>300000</v>
      </c>
      <c r="I45" s="173">
        <f t="shared" si="4"/>
        <v>10800000</v>
      </c>
    </row>
    <row r="46" spans="1:9" x14ac:dyDescent="0.25">
      <c r="A46" s="166" t="s">
        <v>16</v>
      </c>
      <c r="B46" s="166" t="s">
        <v>17</v>
      </c>
      <c r="C46" s="323"/>
      <c r="D46" s="323"/>
      <c r="E46" s="168"/>
      <c r="F46" s="168"/>
      <c r="G46" s="168"/>
      <c r="H46" s="169"/>
      <c r="I46" s="167">
        <f>SUM(I47:I49)</f>
        <v>148000000</v>
      </c>
    </row>
    <row r="47" spans="1:9" ht="30" x14ac:dyDescent="0.25">
      <c r="A47" s="170"/>
      <c r="B47" s="171" t="s">
        <v>738</v>
      </c>
      <c r="C47" s="324"/>
      <c r="D47" s="324"/>
      <c r="E47" s="172" t="s">
        <v>297</v>
      </c>
      <c r="F47" s="172">
        <v>72</v>
      </c>
      <c r="G47" s="172" t="s">
        <v>297</v>
      </c>
      <c r="H47" s="173">
        <v>1000000</v>
      </c>
      <c r="I47" s="173">
        <f>F47*H47</f>
        <v>72000000</v>
      </c>
    </row>
    <row r="48" spans="1:9" ht="30" x14ac:dyDescent="0.25">
      <c r="A48" s="170"/>
      <c r="B48" s="171" t="s">
        <v>739</v>
      </c>
      <c r="C48" s="324"/>
      <c r="D48" s="324"/>
      <c r="E48" s="172" t="s">
        <v>297</v>
      </c>
      <c r="F48" s="172">
        <v>72</v>
      </c>
      <c r="G48" s="172" t="s">
        <v>297</v>
      </c>
      <c r="H48" s="173">
        <v>900000</v>
      </c>
      <c r="I48" s="173">
        <f>F48*H48</f>
        <v>64800000</v>
      </c>
    </row>
    <row r="49" spans="1:9" x14ac:dyDescent="0.25">
      <c r="A49" s="170"/>
      <c r="B49" s="171" t="s">
        <v>740</v>
      </c>
      <c r="C49" s="324"/>
      <c r="D49" s="324"/>
      <c r="E49" s="172" t="s">
        <v>347</v>
      </c>
      <c r="F49" s="172">
        <v>16</v>
      </c>
      <c r="G49" s="172" t="s">
        <v>347</v>
      </c>
      <c r="H49" s="173">
        <v>700000</v>
      </c>
      <c r="I49" s="173">
        <f t="shared" ref="I49" si="5">F49*H49</f>
        <v>11200000</v>
      </c>
    </row>
    <row r="50" spans="1:9" x14ac:dyDescent="0.25">
      <c r="A50" s="166" t="s">
        <v>28</v>
      </c>
      <c r="B50" s="166" t="s">
        <v>29</v>
      </c>
      <c r="C50" s="323"/>
      <c r="D50" s="323"/>
      <c r="E50" s="168"/>
      <c r="F50" s="168"/>
      <c r="G50" s="168"/>
      <c r="H50" s="169"/>
      <c r="I50" s="167">
        <f>SUM(I51:I53)</f>
        <v>190368000</v>
      </c>
    </row>
    <row r="51" spans="1:9" ht="30" x14ac:dyDescent="0.25">
      <c r="A51" s="170"/>
      <c r="B51" s="171" t="s">
        <v>741</v>
      </c>
      <c r="C51" s="324"/>
      <c r="D51" s="324"/>
      <c r="E51" s="172" t="s">
        <v>301</v>
      </c>
      <c r="F51" s="172">
        <v>288</v>
      </c>
      <c r="G51" s="172" t="s">
        <v>301</v>
      </c>
      <c r="H51" s="173">
        <v>430000</v>
      </c>
      <c r="I51" s="173">
        <f>F51*H51</f>
        <v>123840000</v>
      </c>
    </row>
    <row r="52" spans="1:9" ht="30" x14ac:dyDescent="0.25">
      <c r="A52" s="170"/>
      <c r="B52" s="171" t="s">
        <v>742</v>
      </c>
      <c r="C52" s="324"/>
      <c r="D52" s="324"/>
      <c r="E52" s="172" t="s">
        <v>296</v>
      </c>
      <c r="F52" s="172">
        <v>192</v>
      </c>
      <c r="G52" s="172" t="s">
        <v>296</v>
      </c>
      <c r="H52" s="173">
        <v>284000</v>
      </c>
      <c r="I52" s="173">
        <f t="shared" ref="I52" si="6">F52*H52</f>
        <v>54528000</v>
      </c>
    </row>
    <row r="53" spans="1:9" x14ac:dyDescent="0.25">
      <c r="A53" s="170"/>
      <c r="B53" s="171" t="s">
        <v>692</v>
      </c>
      <c r="C53" s="324"/>
      <c r="D53" s="324"/>
      <c r="E53" s="172" t="s">
        <v>296</v>
      </c>
      <c r="F53" s="172">
        <v>32</v>
      </c>
      <c r="G53" s="172" t="s">
        <v>296</v>
      </c>
      <c r="H53" s="173">
        <v>375000</v>
      </c>
      <c r="I53" s="173">
        <f>F53*H53</f>
        <v>12000000</v>
      </c>
    </row>
    <row r="54" spans="1:9" x14ac:dyDescent="0.25">
      <c r="A54" s="166" t="s">
        <v>18</v>
      </c>
      <c r="B54" s="166" t="s">
        <v>19</v>
      </c>
      <c r="C54" s="323"/>
      <c r="D54" s="323"/>
      <c r="E54" s="168"/>
      <c r="F54" s="168"/>
      <c r="G54" s="168"/>
      <c r="H54" s="169"/>
      <c r="I54" s="167">
        <f>SUM(I55:I57)</f>
        <v>125680000</v>
      </c>
    </row>
    <row r="55" spans="1:9" ht="30" x14ac:dyDescent="0.25">
      <c r="A55" s="170"/>
      <c r="B55" s="171" t="s">
        <v>693</v>
      </c>
      <c r="C55" s="324"/>
      <c r="D55" s="324"/>
      <c r="E55" s="172" t="s">
        <v>301</v>
      </c>
      <c r="F55" s="172">
        <v>300</v>
      </c>
      <c r="G55" s="172" t="s">
        <v>301</v>
      </c>
      <c r="H55" s="173">
        <v>210000</v>
      </c>
      <c r="I55" s="173">
        <f>F55*H55</f>
        <v>63000000</v>
      </c>
    </row>
    <row r="56" spans="1:9" ht="30" x14ac:dyDescent="0.25">
      <c r="A56" s="170"/>
      <c r="B56" s="171" t="s">
        <v>694</v>
      </c>
      <c r="C56" s="324"/>
      <c r="D56" s="324"/>
      <c r="E56" s="172" t="s">
        <v>296</v>
      </c>
      <c r="F56" s="172">
        <v>300</v>
      </c>
      <c r="G56" s="172" t="s">
        <v>296</v>
      </c>
      <c r="H56" s="173">
        <v>170000</v>
      </c>
      <c r="I56" s="173">
        <f>F56*H56</f>
        <v>51000000</v>
      </c>
    </row>
    <row r="57" spans="1:9" x14ac:dyDescent="0.25">
      <c r="A57" s="170"/>
      <c r="B57" s="171" t="s">
        <v>702</v>
      </c>
      <c r="C57" s="324"/>
      <c r="D57" s="324"/>
      <c r="E57" s="172" t="s">
        <v>296</v>
      </c>
      <c r="F57" s="172">
        <v>16</v>
      </c>
      <c r="G57" s="172" t="s">
        <v>296</v>
      </c>
      <c r="H57" s="173">
        <v>730000</v>
      </c>
      <c r="I57" s="173">
        <f>F57*H57</f>
        <v>11680000</v>
      </c>
    </row>
    <row r="58" spans="1:9" x14ac:dyDescent="0.25">
      <c r="A58" s="162" t="s">
        <v>26</v>
      </c>
      <c r="B58" s="162" t="s">
        <v>39</v>
      </c>
      <c r="C58" s="323"/>
      <c r="D58" s="323"/>
      <c r="E58" s="163"/>
      <c r="F58" s="163"/>
      <c r="G58" s="163"/>
      <c r="H58" s="164"/>
      <c r="I58" s="165">
        <f>I59+I63+I68+I72+I76</f>
        <v>622508000</v>
      </c>
    </row>
    <row r="59" spans="1:9" x14ac:dyDescent="0.25">
      <c r="A59" s="166" t="s">
        <v>22</v>
      </c>
      <c r="B59" s="166" t="s">
        <v>23</v>
      </c>
      <c r="C59" s="323"/>
      <c r="D59" s="323"/>
      <c r="E59" s="168"/>
      <c r="F59" s="168"/>
      <c r="G59" s="168"/>
      <c r="H59" s="169"/>
      <c r="I59" s="167">
        <f>SUM(I60:I62)</f>
        <v>143060000</v>
      </c>
    </row>
    <row r="60" spans="1:9" x14ac:dyDescent="0.25">
      <c r="A60" s="170"/>
      <c r="B60" s="171" t="s">
        <v>736</v>
      </c>
      <c r="C60" s="324"/>
      <c r="D60" s="324"/>
      <c r="E60" s="172" t="s">
        <v>296</v>
      </c>
      <c r="F60" s="172">
        <v>1760</v>
      </c>
      <c r="G60" s="172" t="s">
        <v>296</v>
      </c>
      <c r="H60" s="173">
        <v>57000</v>
      </c>
      <c r="I60" s="173">
        <f>F60*H60</f>
        <v>100320000</v>
      </c>
    </row>
    <row r="61" spans="1:9" x14ac:dyDescent="0.25">
      <c r="A61" s="170"/>
      <c r="B61" s="171" t="s">
        <v>737</v>
      </c>
      <c r="C61" s="324"/>
      <c r="D61" s="324"/>
      <c r="E61" s="172" t="s">
        <v>296</v>
      </c>
      <c r="F61" s="172">
        <v>1760</v>
      </c>
      <c r="G61" s="172" t="s">
        <v>296</v>
      </c>
      <c r="H61" s="173">
        <v>24000</v>
      </c>
      <c r="I61" s="173">
        <f>F61*H61</f>
        <v>42240000</v>
      </c>
    </row>
    <row r="62" spans="1:9" x14ac:dyDescent="0.25">
      <c r="A62" s="170"/>
      <c r="B62" s="178" t="s">
        <v>344</v>
      </c>
      <c r="C62" s="324"/>
      <c r="D62" s="324"/>
      <c r="E62" s="172" t="s">
        <v>298</v>
      </c>
      <c r="F62" s="172">
        <v>1</v>
      </c>
      <c r="G62" s="172" t="s">
        <v>298</v>
      </c>
      <c r="H62" s="173">
        <v>500000</v>
      </c>
      <c r="I62" s="173">
        <f t="shared" ref="I62" si="7">F62*H62</f>
        <v>500000</v>
      </c>
    </row>
    <row r="63" spans="1:9" x14ac:dyDescent="0.25">
      <c r="A63" s="166" t="s">
        <v>14</v>
      </c>
      <c r="B63" s="166" t="s">
        <v>15</v>
      </c>
      <c r="C63" s="323"/>
      <c r="D63" s="323"/>
      <c r="E63" s="168"/>
      <c r="F63" s="168"/>
      <c r="G63" s="168"/>
      <c r="H63" s="169"/>
      <c r="I63" s="167">
        <f>SUM(I64:I67)</f>
        <v>15400000</v>
      </c>
    </row>
    <row r="64" spans="1:9" ht="30" x14ac:dyDescent="0.25">
      <c r="A64" s="170"/>
      <c r="B64" s="176" t="s">
        <v>360</v>
      </c>
      <c r="C64" s="324"/>
      <c r="D64" s="324"/>
      <c r="E64" s="172" t="s">
        <v>296</v>
      </c>
      <c r="F64" s="172">
        <v>4</v>
      </c>
      <c r="G64" s="172" t="s">
        <v>296</v>
      </c>
      <c r="H64" s="173">
        <v>450000</v>
      </c>
      <c r="I64" s="173">
        <f>F64*H64</f>
        <v>1800000</v>
      </c>
    </row>
    <row r="65" spans="1:9" ht="30" x14ac:dyDescent="0.25">
      <c r="A65" s="170"/>
      <c r="B65" s="176" t="s">
        <v>361</v>
      </c>
      <c r="C65" s="324"/>
      <c r="D65" s="324"/>
      <c r="E65" s="172" t="s">
        <v>296</v>
      </c>
      <c r="F65" s="172">
        <v>4</v>
      </c>
      <c r="G65" s="172" t="s">
        <v>296</v>
      </c>
      <c r="H65" s="173">
        <v>400000</v>
      </c>
      <c r="I65" s="173">
        <f t="shared" ref="I65:I67" si="8">F65*H65</f>
        <v>1600000</v>
      </c>
    </row>
    <row r="66" spans="1:9" ht="30" x14ac:dyDescent="0.25">
      <c r="A66" s="170"/>
      <c r="B66" s="176" t="s">
        <v>362</v>
      </c>
      <c r="C66" s="324"/>
      <c r="D66" s="324"/>
      <c r="E66" s="172" t="s">
        <v>296</v>
      </c>
      <c r="F66" s="172">
        <v>4</v>
      </c>
      <c r="G66" s="172" t="s">
        <v>296</v>
      </c>
      <c r="H66" s="173">
        <v>300000</v>
      </c>
      <c r="I66" s="173">
        <f t="shared" si="8"/>
        <v>1200000</v>
      </c>
    </row>
    <row r="67" spans="1:9" ht="30" x14ac:dyDescent="0.25">
      <c r="A67" s="170"/>
      <c r="B67" s="176" t="s">
        <v>363</v>
      </c>
      <c r="C67" s="324"/>
      <c r="D67" s="324"/>
      <c r="E67" s="172" t="s">
        <v>296</v>
      </c>
      <c r="F67" s="172">
        <v>36</v>
      </c>
      <c r="G67" s="172" t="s">
        <v>296</v>
      </c>
      <c r="H67" s="173">
        <v>300000</v>
      </c>
      <c r="I67" s="173">
        <f t="shared" si="8"/>
        <v>10800000</v>
      </c>
    </row>
    <row r="68" spans="1:9" x14ac:dyDescent="0.25">
      <c r="A68" s="166" t="s">
        <v>16</v>
      </c>
      <c r="B68" s="166" t="s">
        <v>17</v>
      </c>
      <c r="C68" s="323"/>
      <c r="D68" s="323"/>
      <c r="E68" s="168"/>
      <c r="F68" s="168"/>
      <c r="G68" s="168"/>
      <c r="H68" s="169"/>
      <c r="I68" s="167">
        <f>SUM(I69:I71)</f>
        <v>148000000</v>
      </c>
    </row>
    <row r="69" spans="1:9" ht="30" x14ac:dyDescent="0.25">
      <c r="A69" s="170"/>
      <c r="B69" s="171" t="s">
        <v>738</v>
      </c>
      <c r="C69" s="324"/>
      <c r="D69" s="324"/>
      <c r="E69" s="172" t="s">
        <v>297</v>
      </c>
      <c r="F69" s="172">
        <v>72</v>
      </c>
      <c r="G69" s="172" t="s">
        <v>297</v>
      </c>
      <c r="H69" s="173">
        <v>1000000</v>
      </c>
      <c r="I69" s="173">
        <f>F69*H69</f>
        <v>72000000</v>
      </c>
    </row>
    <row r="70" spans="1:9" ht="30" x14ac:dyDescent="0.25">
      <c r="A70" s="170"/>
      <c r="B70" s="171" t="s">
        <v>739</v>
      </c>
      <c r="C70" s="324"/>
      <c r="D70" s="324"/>
      <c r="E70" s="172" t="s">
        <v>297</v>
      </c>
      <c r="F70" s="172">
        <v>72</v>
      </c>
      <c r="G70" s="172" t="s">
        <v>297</v>
      </c>
      <c r="H70" s="173">
        <v>900000</v>
      </c>
      <c r="I70" s="173">
        <f>F70*H70</f>
        <v>64800000</v>
      </c>
    </row>
    <row r="71" spans="1:9" x14ac:dyDescent="0.25">
      <c r="A71" s="170"/>
      <c r="B71" s="171" t="s">
        <v>740</v>
      </c>
      <c r="C71" s="324"/>
      <c r="D71" s="324"/>
      <c r="E71" s="172" t="s">
        <v>347</v>
      </c>
      <c r="F71" s="172">
        <v>16</v>
      </c>
      <c r="G71" s="172" t="s">
        <v>347</v>
      </c>
      <c r="H71" s="173">
        <v>700000</v>
      </c>
      <c r="I71" s="173">
        <f t="shared" ref="I71" si="9">F71*H71</f>
        <v>11200000</v>
      </c>
    </row>
    <row r="72" spans="1:9" x14ac:dyDescent="0.25">
      <c r="A72" s="166" t="s">
        <v>28</v>
      </c>
      <c r="B72" s="166" t="s">
        <v>29</v>
      </c>
      <c r="C72" s="323"/>
      <c r="D72" s="323"/>
      <c r="E72" s="168"/>
      <c r="F72" s="168"/>
      <c r="G72" s="168"/>
      <c r="H72" s="169"/>
      <c r="I72" s="167">
        <f>SUM(I73:I75)</f>
        <v>190368000</v>
      </c>
    </row>
    <row r="73" spans="1:9" ht="30" x14ac:dyDescent="0.25">
      <c r="A73" s="170"/>
      <c r="B73" s="171" t="s">
        <v>741</v>
      </c>
      <c r="C73" s="324"/>
      <c r="D73" s="324"/>
      <c r="E73" s="172" t="s">
        <v>301</v>
      </c>
      <c r="F73" s="172">
        <v>288</v>
      </c>
      <c r="G73" s="172" t="s">
        <v>301</v>
      </c>
      <c r="H73" s="173">
        <v>430000</v>
      </c>
      <c r="I73" s="173">
        <f>F73*H73</f>
        <v>123840000</v>
      </c>
    </row>
    <row r="74" spans="1:9" ht="30" x14ac:dyDescent="0.25">
      <c r="A74" s="170"/>
      <c r="B74" s="171" t="s">
        <v>742</v>
      </c>
      <c r="C74" s="324"/>
      <c r="D74" s="324"/>
      <c r="E74" s="172" t="s">
        <v>296</v>
      </c>
      <c r="F74" s="172">
        <v>192</v>
      </c>
      <c r="G74" s="172" t="s">
        <v>296</v>
      </c>
      <c r="H74" s="173">
        <v>284000</v>
      </c>
      <c r="I74" s="173">
        <f t="shared" ref="I74" si="10">F74*H74</f>
        <v>54528000</v>
      </c>
    </row>
    <row r="75" spans="1:9" x14ac:dyDescent="0.25">
      <c r="A75" s="170"/>
      <c r="B75" s="171" t="s">
        <v>692</v>
      </c>
      <c r="C75" s="324"/>
      <c r="D75" s="324"/>
      <c r="E75" s="172" t="s">
        <v>296</v>
      </c>
      <c r="F75" s="172">
        <v>32</v>
      </c>
      <c r="G75" s="172" t="s">
        <v>296</v>
      </c>
      <c r="H75" s="173">
        <v>375000</v>
      </c>
      <c r="I75" s="173">
        <f>F75*H75</f>
        <v>12000000</v>
      </c>
    </row>
    <row r="76" spans="1:9" x14ac:dyDescent="0.25">
      <c r="A76" s="166" t="s">
        <v>18</v>
      </c>
      <c r="B76" s="166" t="s">
        <v>19</v>
      </c>
      <c r="C76" s="323"/>
      <c r="D76" s="323"/>
      <c r="E76" s="168"/>
      <c r="F76" s="168"/>
      <c r="G76" s="168"/>
      <c r="H76" s="169"/>
      <c r="I76" s="167">
        <f>SUM(I77:I79)</f>
        <v>125680000</v>
      </c>
    </row>
    <row r="77" spans="1:9" ht="30" x14ac:dyDescent="0.25">
      <c r="A77" s="170"/>
      <c r="B77" s="171" t="s">
        <v>693</v>
      </c>
      <c r="C77" s="324"/>
      <c r="D77" s="324"/>
      <c r="E77" s="172" t="s">
        <v>301</v>
      </c>
      <c r="F77" s="172">
        <v>300</v>
      </c>
      <c r="G77" s="172" t="s">
        <v>301</v>
      </c>
      <c r="H77" s="173">
        <v>210000</v>
      </c>
      <c r="I77" s="173">
        <f>F77*H77</f>
        <v>63000000</v>
      </c>
    </row>
    <row r="78" spans="1:9" ht="30" x14ac:dyDescent="0.25">
      <c r="A78" s="170"/>
      <c r="B78" s="171" t="s">
        <v>694</v>
      </c>
      <c r="C78" s="324"/>
      <c r="D78" s="324"/>
      <c r="E78" s="172" t="s">
        <v>296</v>
      </c>
      <c r="F78" s="172">
        <v>300</v>
      </c>
      <c r="G78" s="172" t="s">
        <v>296</v>
      </c>
      <c r="H78" s="173">
        <v>170000</v>
      </c>
      <c r="I78" s="173">
        <f>F78*H78</f>
        <v>51000000</v>
      </c>
    </row>
    <row r="79" spans="1:9" x14ac:dyDescent="0.25">
      <c r="A79" s="170"/>
      <c r="B79" s="171" t="s">
        <v>702</v>
      </c>
      <c r="C79" s="324"/>
      <c r="D79" s="324"/>
      <c r="E79" s="172" t="s">
        <v>296</v>
      </c>
      <c r="F79" s="172">
        <v>16</v>
      </c>
      <c r="G79" s="172" t="s">
        <v>296</v>
      </c>
      <c r="H79" s="173">
        <v>730000</v>
      </c>
      <c r="I79" s="173">
        <f>F79*H79</f>
        <v>11680000</v>
      </c>
    </row>
    <row r="80" spans="1:9" ht="30" x14ac:dyDescent="0.25">
      <c r="A80" s="162" t="s">
        <v>32</v>
      </c>
      <c r="B80" s="162" t="s">
        <v>41</v>
      </c>
      <c r="C80" s="323"/>
      <c r="D80" s="323"/>
      <c r="E80" s="163"/>
      <c r="F80" s="163"/>
      <c r="G80" s="163"/>
      <c r="H80" s="164"/>
      <c r="I80" s="165">
        <f>I81+I85+I90+I94+I98</f>
        <v>487486000</v>
      </c>
    </row>
    <row r="81" spans="1:9" x14ac:dyDescent="0.25">
      <c r="A81" s="166" t="s">
        <v>22</v>
      </c>
      <c r="B81" s="166" t="s">
        <v>23</v>
      </c>
      <c r="C81" s="323"/>
      <c r="D81" s="323"/>
      <c r="E81" s="168"/>
      <c r="F81" s="168"/>
      <c r="G81" s="168"/>
      <c r="H81" s="169"/>
      <c r="I81" s="167">
        <f>SUM(I82:I84)</f>
        <v>52032000</v>
      </c>
    </row>
    <row r="82" spans="1:9" x14ac:dyDescent="0.25">
      <c r="A82" s="170"/>
      <c r="B82" s="171" t="s">
        <v>736</v>
      </c>
      <c r="C82" s="324"/>
      <c r="D82" s="324"/>
      <c r="E82" s="172" t="s">
        <v>296</v>
      </c>
      <c r="F82" s="172">
        <v>620</v>
      </c>
      <c r="G82" s="172" t="s">
        <v>296</v>
      </c>
      <c r="H82" s="173">
        <v>57000</v>
      </c>
      <c r="I82" s="173">
        <f>F82*H82</f>
        <v>35340000</v>
      </c>
    </row>
    <row r="83" spans="1:9" x14ac:dyDescent="0.25">
      <c r="A83" s="170"/>
      <c r="B83" s="171" t="s">
        <v>737</v>
      </c>
      <c r="C83" s="324"/>
      <c r="D83" s="324"/>
      <c r="E83" s="172" t="s">
        <v>296</v>
      </c>
      <c r="F83" s="172">
        <v>620</v>
      </c>
      <c r="G83" s="172" t="s">
        <v>296</v>
      </c>
      <c r="H83" s="173">
        <v>24000</v>
      </c>
      <c r="I83" s="173">
        <f>F83*H83</f>
        <v>14880000</v>
      </c>
    </row>
    <row r="84" spans="1:9" x14ac:dyDescent="0.25">
      <c r="A84" s="170"/>
      <c r="B84" s="178" t="s">
        <v>344</v>
      </c>
      <c r="C84" s="324"/>
      <c r="D84" s="324"/>
      <c r="E84" s="172" t="s">
        <v>298</v>
      </c>
      <c r="F84" s="172">
        <v>1</v>
      </c>
      <c r="G84" s="172" t="s">
        <v>298</v>
      </c>
      <c r="H84" s="173">
        <v>1812000</v>
      </c>
      <c r="I84" s="173">
        <f t="shared" ref="I84" si="11">F84*H84</f>
        <v>1812000</v>
      </c>
    </row>
    <row r="85" spans="1:9" x14ac:dyDescent="0.25">
      <c r="A85" s="166" t="s">
        <v>14</v>
      </c>
      <c r="B85" s="166" t="s">
        <v>15</v>
      </c>
      <c r="C85" s="323"/>
      <c r="D85" s="323"/>
      <c r="E85" s="168"/>
      <c r="F85" s="168"/>
      <c r="G85" s="168"/>
      <c r="H85" s="169"/>
      <c r="I85" s="167">
        <f>SUM(I86:I89)</f>
        <v>15400000</v>
      </c>
    </row>
    <row r="86" spans="1:9" ht="30" x14ac:dyDescent="0.25">
      <c r="A86" s="170"/>
      <c r="B86" s="176" t="s">
        <v>360</v>
      </c>
      <c r="C86" s="324"/>
      <c r="D86" s="324"/>
      <c r="E86" s="172" t="s">
        <v>296</v>
      </c>
      <c r="F86" s="172">
        <v>4</v>
      </c>
      <c r="G86" s="172" t="s">
        <v>296</v>
      </c>
      <c r="H86" s="173">
        <v>450000</v>
      </c>
      <c r="I86" s="173">
        <f>F86*H86</f>
        <v>1800000</v>
      </c>
    </row>
    <row r="87" spans="1:9" ht="30" x14ac:dyDescent="0.25">
      <c r="A87" s="170"/>
      <c r="B87" s="176" t="s">
        <v>361</v>
      </c>
      <c r="C87" s="324"/>
      <c r="D87" s="324"/>
      <c r="E87" s="172" t="s">
        <v>296</v>
      </c>
      <c r="F87" s="172">
        <v>4</v>
      </c>
      <c r="G87" s="172" t="s">
        <v>296</v>
      </c>
      <c r="H87" s="173">
        <v>400000</v>
      </c>
      <c r="I87" s="173">
        <f t="shared" ref="I87:I89" si="12">F87*H87</f>
        <v>1600000</v>
      </c>
    </row>
    <row r="88" spans="1:9" ht="30" x14ac:dyDescent="0.25">
      <c r="A88" s="170"/>
      <c r="B88" s="176" t="s">
        <v>362</v>
      </c>
      <c r="C88" s="324"/>
      <c r="D88" s="324"/>
      <c r="E88" s="172" t="s">
        <v>296</v>
      </c>
      <c r="F88" s="172">
        <v>4</v>
      </c>
      <c r="G88" s="172" t="s">
        <v>296</v>
      </c>
      <c r="H88" s="173">
        <v>300000</v>
      </c>
      <c r="I88" s="173">
        <f t="shared" si="12"/>
        <v>1200000</v>
      </c>
    </row>
    <row r="89" spans="1:9" ht="30" x14ac:dyDescent="0.25">
      <c r="A89" s="170"/>
      <c r="B89" s="176" t="s">
        <v>363</v>
      </c>
      <c r="C89" s="324"/>
      <c r="D89" s="324"/>
      <c r="E89" s="172" t="s">
        <v>296</v>
      </c>
      <c r="F89" s="172">
        <v>36</v>
      </c>
      <c r="G89" s="172" t="s">
        <v>296</v>
      </c>
      <c r="H89" s="173">
        <v>300000</v>
      </c>
      <c r="I89" s="173">
        <f t="shared" si="12"/>
        <v>10800000</v>
      </c>
    </row>
    <row r="90" spans="1:9" x14ac:dyDescent="0.25">
      <c r="A90" s="166" t="s">
        <v>16</v>
      </c>
      <c r="B90" s="166" t="s">
        <v>17</v>
      </c>
      <c r="C90" s="323"/>
      <c r="D90" s="323"/>
      <c r="E90" s="168"/>
      <c r="F90" s="168"/>
      <c r="G90" s="168"/>
      <c r="H90" s="169"/>
      <c r="I90" s="167">
        <f>SUM(I91:I93)</f>
        <v>134700000</v>
      </c>
    </row>
    <row r="91" spans="1:9" ht="30" x14ac:dyDescent="0.25">
      <c r="A91" s="170"/>
      <c r="B91" s="171" t="s">
        <v>738</v>
      </c>
      <c r="C91" s="324"/>
      <c r="D91" s="324"/>
      <c r="E91" s="172" t="s">
        <v>297</v>
      </c>
      <c r="F91" s="172">
        <v>65</v>
      </c>
      <c r="G91" s="172" t="s">
        <v>297</v>
      </c>
      <c r="H91" s="173">
        <v>1000000</v>
      </c>
      <c r="I91" s="173">
        <f>F91*H91</f>
        <v>65000000</v>
      </c>
    </row>
    <row r="92" spans="1:9" ht="30" x14ac:dyDescent="0.25">
      <c r="A92" s="170"/>
      <c r="B92" s="171" t="s">
        <v>739</v>
      </c>
      <c r="C92" s="324"/>
      <c r="D92" s="324"/>
      <c r="E92" s="172" t="s">
        <v>297</v>
      </c>
      <c r="F92" s="172">
        <v>65</v>
      </c>
      <c r="G92" s="172" t="s">
        <v>297</v>
      </c>
      <c r="H92" s="173">
        <v>900000</v>
      </c>
      <c r="I92" s="173">
        <f>F92*H92</f>
        <v>58500000</v>
      </c>
    </row>
    <row r="93" spans="1:9" x14ac:dyDescent="0.25">
      <c r="A93" s="170"/>
      <c r="B93" s="171" t="s">
        <v>740</v>
      </c>
      <c r="C93" s="324"/>
      <c r="D93" s="324"/>
      <c r="E93" s="172" t="s">
        <v>347</v>
      </c>
      <c r="F93" s="172">
        <v>16</v>
      </c>
      <c r="G93" s="172" t="s">
        <v>347</v>
      </c>
      <c r="H93" s="173">
        <v>700000</v>
      </c>
      <c r="I93" s="173">
        <f t="shared" ref="I93" si="13">F93*H93</f>
        <v>11200000</v>
      </c>
    </row>
    <row r="94" spans="1:9" x14ac:dyDescent="0.25">
      <c r="A94" s="166" t="s">
        <v>28</v>
      </c>
      <c r="B94" s="166" t="s">
        <v>29</v>
      </c>
      <c r="C94" s="323"/>
      <c r="D94" s="323"/>
      <c r="E94" s="168"/>
      <c r="F94" s="168"/>
      <c r="G94" s="168"/>
      <c r="H94" s="169"/>
      <c r="I94" s="167">
        <f>SUM(I95:I97)</f>
        <v>159674000</v>
      </c>
    </row>
    <row r="95" spans="1:9" ht="30" x14ac:dyDescent="0.25">
      <c r="A95" s="170"/>
      <c r="B95" s="171" t="s">
        <v>741</v>
      </c>
      <c r="C95" s="324"/>
      <c r="D95" s="324"/>
      <c r="E95" s="172" t="s">
        <v>301</v>
      </c>
      <c r="F95" s="172">
        <v>247</v>
      </c>
      <c r="G95" s="172" t="s">
        <v>301</v>
      </c>
      <c r="H95" s="173">
        <v>430000</v>
      </c>
      <c r="I95" s="173">
        <f>F95*H95</f>
        <v>106210000</v>
      </c>
    </row>
    <row r="96" spans="1:9" ht="30" x14ac:dyDescent="0.25">
      <c r="A96" s="170"/>
      <c r="B96" s="171" t="s">
        <v>742</v>
      </c>
      <c r="C96" s="324"/>
      <c r="D96" s="324"/>
      <c r="E96" s="172" t="s">
        <v>296</v>
      </c>
      <c r="F96" s="172">
        <v>146</v>
      </c>
      <c r="G96" s="172" t="s">
        <v>296</v>
      </c>
      <c r="H96" s="173">
        <v>284000</v>
      </c>
      <c r="I96" s="173">
        <f t="shared" ref="I96" si="14">F96*H96</f>
        <v>41464000</v>
      </c>
    </row>
    <row r="97" spans="1:9" x14ac:dyDescent="0.25">
      <c r="A97" s="170"/>
      <c r="B97" s="171" t="s">
        <v>692</v>
      </c>
      <c r="C97" s="324"/>
      <c r="D97" s="324"/>
      <c r="E97" s="172" t="s">
        <v>296</v>
      </c>
      <c r="F97" s="172">
        <v>32</v>
      </c>
      <c r="G97" s="172" t="s">
        <v>296</v>
      </c>
      <c r="H97" s="173">
        <v>375000</v>
      </c>
      <c r="I97" s="173">
        <f>F97*H97</f>
        <v>12000000</v>
      </c>
    </row>
    <row r="98" spans="1:9" x14ac:dyDescent="0.25">
      <c r="A98" s="166" t="s">
        <v>18</v>
      </c>
      <c r="B98" s="166" t="s">
        <v>19</v>
      </c>
      <c r="C98" s="323"/>
      <c r="D98" s="323"/>
      <c r="E98" s="168"/>
      <c r="F98" s="168"/>
      <c r="G98" s="168"/>
      <c r="H98" s="169"/>
      <c r="I98" s="167">
        <f>SUM(I99:I101)</f>
        <v>125680000</v>
      </c>
    </row>
    <row r="99" spans="1:9" ht="30" x14ac:dyDescent="0.25">
      <c r="A99" s="170"/>
      <c r="B99" s="171" t="s">
        <v>693</v>
      </c>
      <c r="C99" s="324"/>
      <c r="D99" s="324"/>
      <c r="E99" s="172" t="s">
        <v>301</v>
      </c>
      <c r="F99" s="172">
        <v>300</v>
      </c>
      <c r="G99" s="172" t="s">
        <v>301</v>
      </c>
      <c r="H99" s="173">
        <v>210000</v>
      </c>
      <c r="I99" s="173">
        <f>F99*H99</f>
        <v>63000000</v>
      </c>
    </row>
    <row r="100" spans="1:9" ht="30" x14ac:dyDescent="0.25">
      <c r="A100" s="170"/>
      <c r="B100" s="171" t="s">
        <v>694</v>
      </c>
      <c r="C100" s="324"/>
      <c r="D100" s="324"/>
      <c r="E100" s="172" t="s">
        <v>296</v>
      </c>
      <c r="F100" s="172">
        <v>300</v>
      </c>
      <c r="G100" s="172" t="s">
        <v>296</v>
      </c>
      <c r="H100" s="173">
        <v>170000</v>
      </c>
      <c r="I100" s="173">
        <f>F100*H100</f>
        <v>51000000</v>
      </c>
    </row>
    <row r="101" spans="1:9" x14ac:dyDescent="0.25">
      <c r="A101" s="170"/>
      <c r="B101" s="171" t="s">
        <v>702</v>
      </c>
      <c r="C101" s="324"/>
      <c r="D101" s="324"/>
      <c r="E101" s="172" t="s">
        <v>296</v>
      </c>
      <c r="F101" s="172">
        <v>16</v>
      </c>
      <c r="G101" s="172" t="s">
        <v>296</v>
      </c>
      <c r="H101" s="173">
        <v>730000</v>
      </c>
      <c r="I101" s="173">
        <f>F101*H101</f>
        <v>11680000</v>
      </c>
    </row>
    <row r="102" spans="1:9" x14ac:dyDescent="0.25">
      <c r="A102" s="162" t="s">
        <v>35</v>
      </c>
      <c r="B102" s="162" t="s">
        <v>45</v>
      </c>
      <c r="C102" s="323"/>
      <c r="D102" s="323"/>
      <c r="E102" s="163"/>
      <c r="F102" s="163"/>
      <c r="G102" s="163"/>
      <c r="H102" s="164"/>
      <c r="I102" s="165">
        <f>I103+I107+I112+I116+I120</f>
        <v>622508000</v>
      </c>
    </row>
    <row r="103" spans="1:9" x14ac:dyDescent="0.25">
      <c r="A103" s="166" t="s">
        <v>22</v>
      </c>
      <c r="B103" s="166" t="s">
        <v>23</v>
      </c>
      <c r="C103" s="323"/>
      <c r="D103" s="323"/>
      <c r="E103" s="168"/>
      <c r="F103" s="168"/>
      <c r="G103" s="168"/>
      <c r="H103" s="169"/>
      <c r="I103" s="167">
        <f>SUM(I104:I106)</f>
        <v>143060000</v>
      </c>
    </row>
    <row r="104" spans="1:9" x14ac:dyDescent="0.25">
      <c r="A104" s="170"/>
      <c r="B104" s="171" t="s">
        <v>736</v>
      </c>
      <c r="C104" s="324"/>
      <c r="D104" s="324"/>
      <c r="E104" s="172" t="s">
        <v>296</v>
      </c>
      <c r="F104" s="172">
        <v>1760</v>
      </c>
      <c r="G104" s="172" t="s">
        <v>296</v>
      </c>
      <c r="H104" s="173">
        <v>57000</v>
      </c>
      <c r="I104" s="173">
        <f>F104*H104</f>
        <v>100320000</v>
      </c>
    </row>
    <row r="105" spans="1:9" x14ac:dyDescent="0.25">
      <c r="A105" s="170"/>
      <c r="B105" s="171" t="s">
        <v>737</v>
      </c>
      <c r="C105" s="324"/>
      <c r="D105" s="324"/>
      <c r="E105" s="172" t="s">
        <v>296</v>
      </c>
      <c r="F105" s="172">
        <v>1760</v>
      </c>
      <c r="G105" s="172" t="s">
        <v>296</v>
      </c>
      <c r="H105" s="173">
        <v>24000</v>
      </c>
      <c r="I105" s="173">
        <f>F105*H105</f>
        <v>42240000</v>
      </c>
    </row>
    <row r="106" spans="1:9" x14ac:dyDescent="0.25">
      <c r="A106" s="170"/>
      <c r="B106" s="178" t="s">
        <v>344</v>
      </c>
      <c r="C106" s="324"/>
      <c r="D106" s="324"/>
      <c r="E106" s="172" t="s">
        <v>298</v>
      </c>
      <c r="F106" s="172">
        <v>1</v>
      </c>
      <c r="G106" s="172" t="s">
        <v>298</v>
      </c>
      <c r="H106" s="173">
        <v>500000</v>
      </c>
      <c r="I106" s="173">
        <f t="shared" ref="I106" si="15">F106*H106</f>
        <v>500000</v>
      </c>
    </row>
    <row r="107" spans="1:9" x14ac:dyDescent="0.25">
      <c r="A107" s="166" t="s">
        <v>14</v>
      </c>
      <c r="B107" s="166" t="s">
        <v>15</v>
      </c>
      <c r="C107" s="323"/>
      <c r="D107" s="323"/>
      <c r="E107" s="168"/>
      <c r="F107" s="168"/>
      <c r="G107" s="168"/>
      <c r="H107" s="169"/>
      <c r="I107" s="167">
        <f>SUM(I108:I111)</f>
        <v>15400000</v>
      </c>
    </row>
    <row r="108" spans="1:9" ht="30" x14ac:dyDescent="0.25">
      <c r="A108" s="170"/>
      <c r="B108" s="176" t="s">
        <v>360</v>
      </c>
      <c r="C108" s="324"/>
      <c r="D108" s="324"/>
      <c r="E108" s="172" t="s">
        <v>296</v>
      </c>
      <c r="F108" s="172">
        <v>4</v>
      </c>
      <c r="G108" s="172" t="s">
        <v>296</v>
      </c>
      <c r="H108" s="173">
        <v>450000</v>
      </c>
      <c r="I108" s="173">
        <f>F108*H108</f>
        <v>1800000</v>
      </c>
    </row>
    <row r="109" spans="1:9" ht="30" x14ac:dyDescent="0.25">
      <c r="A109" s="170"/>
      <c r="B109" s="176" t="s">
        <v>361</v>
      </c>
      <c r="C109" s="324"/>
      <c r="D109" s="324"/>
      <c r="E109" s="172" t="s">
        <v>296</v>
      </c>
      <c r="F109" s="172">
        <v>4</v>
      </c>
      <c r="G109" s="172" t="s">
        <v>296</v>
      </c>
      <c r="H109" s="173">
        <v>400000</v>
      </c>
      <c r="I109" s="173">
        <f t="shared" ref="I109:I111" si="16">F109*H109</f>
        <v>1600000</v>
      </c>
    </row>
    <row r="110" spans="1:9" ht="30" x14ac:dyDescent="0.25">
      <c r="A110" s="170"/>
      <c r="B110" s="176" t="s">
        <v>362</v>
      </c>
      <c r="C110" s="324"/>
      <c r="D110" s="324"/>
      <c r="E110" s="172" t="s">
        <v>296</v>
      </c>
      <c r="F110" s="172">
        <v>4</v>
      </c>
      <c r="G110" s="172" t="s">
        <v>296</v>
      </c>
      <c r="H110" s="173">
        <v>300000</v>
      </c>
      <c r="I110" s="173">
        <f t="shared" si="16"/>
        <v>1200000</v>
      </c>
    </row>
    <row r="111" spans="1:9" ht="30" x14ac:dyDescent="0.25">
      <c r="A111" s="170"/>
      <c r="B111" s="176" t="s">
        <v>363</v>
      </c>
      <c r="C111" s="324"/>
      <c r="D111" s="324"/>
      <c r="E111" s="172" t="s">
        <v>296</v>
      </c>
      <c r="F111" s="172">
        <v>36</v>
      </c>
      <c r="G111" s="172" t="s">
        <v>296</v>
      </c>
      <c r="H111" s="173">
        <v>300000</v>
      </c>
      <c r="I111" s="173">
        <f t="shared" si="16"/>
        <v>10800000</v>
      </c>
    </row>
    <row r="112" spans="1:9" x14ac:dyDescent="0.25">
      <c r="A112" s="166" t="s">
        <v>16</v>
      </c>
      <c r="B112" s="166" t="s">
        <v>17</v>
      </c>
      <c r="C112" s="323"/>
      <c r="D112" s="323"/>
      <c r="E112" s="168"/>
      <c r="F112" s="168"/>
      <c r="G112" s="168"/>
      <c r="H112" s="169"/>
      <c r="I112" s="167">
        <f>SUM(I113:I115)</f>
        <v>148000000</v>
      </c>
    </row>
    <row r="113" spans="1:9" ht="30" x14ac:dyDescent="0.25">
      <c r="A113" s="170"/>
      <c r="B113" s="171" t="s">
        <v>738</v>
      </c>
      <c r="C113" s="324"/>
      <c r="D113" s="324"/>
      <c r="E113" s="172" t="s">
        <v>297</v>
      </c>
      <c r="F113" s="172">
        <v>72</v>
      </c>
      <c r="G113" s="172" t="s">
        <v>297</v>
      </c>
      <c r="H113" s="173">
        <v>1000000</v>
      </c>
      <c r="I113" s="173">
        <f>F113*H113</f>
        <v>72000000</v>
      </c>
    </row>
    <row r="114" spans="1:9" ht="30" x14ac:dyDescent="0.25">
      <c r="A114" s="170"/>
      <c r="B114" s="171" t="s">
        <v>739</v>
      </c>
      <c r="C114" s="324"/>
      <c r="D114" s="324"/>
      <c r="E114" s="172" t="s">
        <v>297</v>
      </c>
      <c r="F114" s="172">
        <v>72</v>
      </c>
      <c r="G114" s="172" t="s">
        <v>297</v>
      </c>
      <c r="H114" s="173">
        <v>900000</v>
      </c>
      <c r="I114" s="173">
        <f>F114*H114</f>
        <v>64800000</v>
      </c>
    </row>
    <row r="115" spans="1:9" x14ac:dyDescent="0.25">
      <c r="A115" s="170"/>
      <c r="B115" s="171" t="s">
        <v>740</v>
      </c>
      <c r="C115" s="324"/>
      <c r="D115" s="324"/>
      <c r="E115" s="172" t="s">
        <v>347</v>
      </c>
      <c r="F115" s="172">
        <v>16</v>
      </c>
      <c r="G115" s="172" t="s">
        <v>347</v>
      </c>
      <c r="H115" s="173">
        <v>700000</v>
      </c>
      <c r="I115" s="173">
        <f t="shared" ref="I115" si="17">F115*H115</f>
        <v>11200000</v>
      </c>
    </row>
    <row r="116" spans="1:9" x14ac:dyDescent="0.25">
      <c r="A116" s="166" t="s">
        <v>28</v>
      </c>
      <c r="B116" s="166" t="s">
        <v>29</v>
      </c>
      <c r="C116" s="323"/>
      <c r="D116" s="323"/>
      <c r="E116" s="168"/>
      <c r="F116" s="168"/>
      <c r="G116" s="168"/>
      <c r="H116" s="169"/>
      <c r="I116" s="167">
        <f>SUM(I117:I119)</f>
        <v>190368000</v>
      </c>
    </row>
    <row r="117" spans="1:9" ht="30" x14ac:dyDescent="0.25">
      <c r="A117" s="170"/>
      <c r="B117" s="171" t="s">
        <v>741</v>
      </c>
      <c r="C117" s="324"/>
      <c r="D117" s="324"/>
      <c r="E117" s="172" t="s">
        <v>301</v>
      </c>
      <c r="F117" s="172">
        <v>288</v>
      </c>
      <c r="G117" s="172" t="s">
        <v>301</v>
      </c>
      <c r="H117" s="173">
        <v>430000</v>
      </c>
      <c r="I117" s="173">
        <f>F117*H117</f>
        <v>123840000</v>
      </c>
    </row>
    <row r="118" spans="1:9" ht="30" x14ac:dyDescent="0.25">
      <c r="A118" s="170"/>
      <c r="B118" s="171" t="s">
        <v>742</v>
      </c>
      <c r="C118" s="324"/>
      <c r="D118" s="324"/>
      <c r="E118" s="172" t="s">
        <v>296</v>
      </c>
      <c r="F118" s="172">
        <v>192</v>
      </c>
      <c r="G118" s="172" t="s">
        <v>296</v>
      </c>
      <c r="H118" s="173">
        <v>284000</v>
      </c>
      <c r="I118" s="173">
        <f t="shared" ref="I118" si="18">F118*H118</f>
        <v>54528000</v>
      </c>
    </row>
    <row r="119" spans="1:9" x14ac:dyDescent="0.25">
      <c r="A119" s="170"/>
      <c r="B119" s="171" t="s">
        <v>692</v>
      </c>
      <c r="C119" s="324"/>
      <c r="D119" s="324"/>
      <c r="E119" s="172" t="s">
        <v>296</v>
      </c>
      <c r="F119" s="172">
        <v>32</v>
      </c>
      <c r="G119" s="172" t="s">
        <v>296</v>
      </c>
      <c r="H119" s="173">
        <v>375000</v>
      </c>
      <c r="I119" s="173">
        <f>F119*H119</f>
        <v>12000000</v>
      </c>
    </row>
    <row r="120" spans="1:9" x14ac:dyDescent="0.25">
      <c r="A120" s="166" t="s">
        <v>18</v>
      </c>
      <c r="B120" s="166" t="s">
        <v>19</v>
      </c>
      <c r="C120" s="323"/>
      <c r="D120" s="323"/>
      <c r="E120" s="168"/>
      <c r="F120" s="168"/>
      <c r="G120" s="168"/>
      <c r="H120" s="169"/>
      <c r="I120" s="167">
        <f>SUM(I121:I123)</f>
        <v>125680000</v>
      </c>
    </row>
    <row r="121" spans="1:9" ht="30" x14ac:dyDescent="0.25">
      <c r="A121" s="170"/>
      <c r="B121" s="171" t="s">
        <v>693</v>
      </c>
      <c r="C121" s="324"/>
      <c r="D121" s="324"/>
      <c r="E121" s="172" t="s">
        <v>301</v>
      </c>
      <c r="F121" s="172">
        <v>300</v>
      </c>
      <c r="G121" s="172" t="s">
        <v>301</v>
      </c>
      <c r="H121" s="173">
        <v>210000</v>
      </c>
      <c r="I121" s="173">
        <f>F121*H121</f>
        <v>63000000</v>
      </c>
    </row>
    <row r="122" spans="1:9" ht="30" x14ac:dyDescent="0.25">
      <c r="A122" s="170"/>
      <c r="B122" s="171" t="s">
        <v>694</v>
      </c>
      <c r="C122" s="324"/>
      <c r="D122" s="324"/>
      <c r="E122" s="172" t="s">
        <v>296</v>
      </c>
      <c r="F122" s="172">
        <v>300</v>
      </c>
      <c r="G122" s="172" t="s">
        <v>296</v>
      </c>
      <c r="H122" s="173">
        <v>170000</v>
      </c>
      <c r="I122" s="173">
        <f>F122*H122</f>
        <v>51000000</v>
      </c>
    </row>
    <row r="123" spans="1:9" x14ac:dyDescent="0.25">
      <c r="A123" s="170"/>
      <c r="B123" s="171" t="s">
        <v>702</v>
      </c>
      <c r="C123" s="324"/>
      <c r="D123" s="324"/>
      <c r="E123" s="172" t="s">
        <v>296</v>
      </c>
      <c r="F123" s="172">
        <v>16</v>
      </c>
      <c r="G123" s="172" t="s">
        <v>296</v>
      </c>
      <c r="H123" s="173">
        <v>730000</v>
      </c>
      <c r="I123" s="173">
        <f>F123*H123</f>
        <v>11680000</v>
      </c>
    </row>
    <row r="124" spans="1:9" x14ac:dyDescent="0.25">
      <c r="A124" s="158" t="s">
        <v>46</v>
      </c>
      <c r="B124" s="158" t="s">
        <v>47</v>
      </c>
      <c r="C124" s="325"/>
      <c r="D124" s="324" t="s">
        <v>756</v>
      </c>
      <c r="E124" s="159"/>
      <c r="F124" s="159" t="s">
        <v>11</v>
      </c>
      <c r="G124" s="159"/>
      <c r="H124" s="160"/>
      <c r="I124" s="161">
        <f>I125</f>
        <v>622508000</v>
      </c>
    </row>
    <row r="125" spans="1:9" x14ac:dyDescent="0.25">
      <c r="A125" s="162" t="s">
        <v>12</v>
      </c>
      <c r="B125" s="162" t="s">
        <v>48</v>
      </c>
      <c r="C125" s="323"/>
      <c r="D125" s="323"/>
      <c r="E125" s="163"/>
      <c r="F125" s="163"/>
      <c r="G125" s="163"/>
      <c r="H125" s="164"/>
      <c r="I125" s="165">
        <f>I126+I130+I135+I139+I143</f>
        <v>622508000</v>
      </c>
    </row>
    <row r="126" spans="1:9" x14ac:dyDescent="0.25">
      <c r="A126" s="166" t="s">
        <v>22</v>
      </c>
      <c r="B126" s="166" t="s">
        <v>23</v>
      </c>
      <c r="C126" s="323"/>
      <c r="D126" s="323"/>
      <c r="E126" s="168"/>
      <c r="F126" s="168"/>
      <c r="G126" s="168"/>
      <c r="H126" s="169"/>
      <c r="I126" s="167">
        <f>SUM(I127:I129)</f>
        <v>143060000</v>
      </c>
    </row>
    <row r="127" spans="1:9" x14ac:dyDescent="0.25">
      <c r="A127" s="170"/>
      <c r="B127" s="171" t="s">
        <v>736</v>
      </c>
      <c r="C127" s="324"/>
      <c r="D127" s="324"/>
      <c r="E127" s="172" t="s">
        <v>296</v>
      </c>
      <c r="F127" s="172">
        <v>1760</v>
      </c>
      <c r="G127" s="172" t="s">
        <v>296</v>
      </c>
      <c r="H127" s="173">
        <v>57000</v>
      </c>
      <c r="I127" s="173">
        <f>F127*H127</f>
        <v>100320000</v>
      </c>
    </row>
    <row r="128" spans="1:9" x14ac:dyDescent="0.25">
      <c r="A128" s="170"/>
      <c r="B128" s="171" t="s">
        <v>737</v>
      </c>
      <c r="C128" s="324"/>
      <c r="D128" s="324"/>
      <c r="E128" s="172" t="s">
        <v>296</v>
      </c>
      <c r="F128" s="172">
        <v>1760</v>
      </c>
      <c r="G128" s="172" t="s">
        <v>296</v>
      </c>
      <c r="H128" s="173">
        <v>24000</v>
      </c>
      <c r="I128" s="173">
        <f>F128*H128</f>
        <v>42240000</v>
      </c>
    </row>
    <row r="129" spans="1:9" x14ac:dyDescent="0.25">
      <c r="A129" s="170"/>
      <c r="B129" s="178" t="s">
        <v>344</v>
      </c>
      <c r="C129" s="324"/>
      <c r="D129" s="324"/>
      <c r="E129" s="172" t="s">
        <v>298</v>
      </c>
      <c r="F129" s="172">
        <v>1</v>
      </c>
      <c r="G129" s="172" t="s">
        <v>298</v>
      </c>
      <c r="H129" s="173">
        <v>500000</v>
      </c>
      <c r="I129" s="173">
        <f t="shared" ref="I129" si="19">F129*H129</f>
        <v>500000</v>
      </c>
    </row>
    <row r="130" spans="1:9" x14ac:dyDescent="0.25">
      <c r="A130" s="166" t="s">
        <v>14</v>
      </c>
      <c r="B130" s="166" t="s">
        <v>15</v>
      </c>
      <c r="C130" s="323"/>
      <c r="D130" s="323"/>
      <c r="E130" s="168"/>
      <c r="F130" s="168"/>
      <c r="G130" s="168"/>
      <c r="H130" s="169"/>
      <c r="I130" s="167">
        <f>SUM(I131:I134)</f>
        <v>15400000</v>
      </c>
    </row>
    <row r="131" spans="1:9" ht="30" x14ac:dyDescent="0.25">
      <c r="A131" s="170"/>
      <c r="B131" s="176" t="s">
        <v>360</v>
      </c>
      <c r="C131" s="324"/>
      <c r="D131" s="324"/>
      <c r="E131" s="172" t="s">
        <v>296</v>
      </c>
      <c r="F131" s="172">
        <v>4</v>
      </c>
      <c r="G131" s="172" t="s">
        <v>296</v>
      </c>
      <c r="H131" s="173">
        <v>450000</v>
      </c>
      <c r="I131" s="173">
        <f>F131*H131</f>
        <v>1800000</v>
      </c>
    </row>
    <row r="132" spans="1:9" ht="30" x14ac:dyDescent="0.25">
      <c r="A132" s="170"/>
      <c r="B132" s="176" t="s">
        <v>361</v>
      </c>
      <c r="C132" s="324"/>
      <c r="D132" s="324"/>
      <c r="E132" s="172" t="s">
        <v>296</v>
      </c>
      <c r="F132" s="172">
        <v>4</v>
      </c>
      <c r="G132" s="172" t="s">
        <v>296</v>
      </c>
      <c r="H132" s="173">
        <v>400000</v>
      </c>
      <c r="I132" s="173">
        <f t="shared" ref="I132:I134" si="20">F132*H132</f>
        <v>1600000</v>
      </c>
    </row>
    <row r="133" spans="1:9" ht="30" x14ac:dyDescent="0.25">
      <c r="A133" s="170"/>
      <c r="B133" s="176" t="s">
        <v>362</v>
      </c>
      <c r="C133" s="324"/>
      <c r="D133" s="324"/>
      <c r="E133" s="172" t="s">
        <v>296</v>
      </c>
      <c r="F133" s="172">
        <v>4</v>
      </c>
      <c r="G133" s="172" t="s">
        <v>296</v>
      </c>
      <c r="H133" s="173">
        <v>300000</v>
      </c>
      <c r="I133" s="173">
        <f t="shared" si="20"/>
        <v>1200000</v>
      </c>
    </row>
    <row r="134" spans="1:9" ht="30" x14ac:dyDescent="0.25">
      <c r="A134" s="170"/>
      <c r="B134" s="176" t="s">
        <v>363</v>
      </c>
      <c r="C134" s="324"/>
      <c r="D134" s="324"/>
      <c r="E134" s="172" t="s">
        <v>296</v>
      </c>
      <c r="F134" s="172">
        <v>36</v>
      </c>
      <c r="G134" s="172" t="s">
        <v>296</v>
      </c>
      <c r="H134" s="173">
        <v>300000</v>
      </c>
      <c r="I134" s="173">
        <f t="shared" si="20"/>
        <v>10800000</v>
      </c>
    </row>
    <row r="135" spans="1:9" x14ac:dyDescent="0.25">
      <c r="A135" s="166" t="s">
        <v>16</v>
      </c>
      <c r="B135" s="166" t="s">
        <v>17</v>
      </c>
      <c r="C135" s="323"/>
      <c r="D135" s="323"/>
      <c r="E135" s="168"/>
      <c r="F135" s="168"/>
      <c r="G135" s="168"/>
      <c r="H135" s="169"/>
      <c r="I135" s="167">
        <f>SUM(I136:I138)</f>
        <v>148000000</v>
      </c>
    </row>
    <row r="136" spans="1:9" ht="30" x14ac:dyDescent="0.25">
      <c r="A136" s="170"/>
      <c r="B136" s="171" t="s">
        <v>738</v>
      </c>
      <c r="C136" s="324"/>
      <c r="D136" s="324"/>
      <c r="E136" s="172" t="s">
        <v>297</v>
      </c>
      <c r="F136" s="172">
        <v>72</v>
      </c>
      <c r="G136" s="172" t="s">
        <v>297</v>
      </c>
      <c r="H136" s="173">
        <v>1000000</v>
      </c>
      <c r="I136" s="173">
        <f>F136*H136</f>
        <v>72000000</v>
      </c>
    </row>
    <row r="137" spans="1:9" ht="30" x14ac:dyDescent="0.25">
      <c r="A137" s="170"/>
      <c r="B137" s="171" t="s">
        <v>739</v>
      </c>
      <c r="C137" s="324"/>
      <c r="D137" s="324"/>
      <c r="E137" s="172" t="s">
        <v>297</v>
      </c>
      <c r="F137" s="172">
        <v>72</v>
      </c>
      <c r="G137" s="172" t="s">
        <v>297</v>
      </c>
      <c r="H137" s="173">
        <v>900000</v>
      </c>
      <c r="I137" s="173">
        <f>F137*H137</f>
        <v>64800000</v>
      </c>
    </row>
    <row r="138" spans="1:9" x14ac:dyDescent="0.25">
      <c r="A138" s="170"/>
      <c r="B138" s="171" t="s">
        <v>740</v>
      </c>
      <c r="C138" s="324"/>
      <c r="D138" s="324"/>
      <c r="E138" s="172" t="s">
        <v>347</v>
      </c>
      <c r="F138" s="172">
        <v>16</v>
      </c>
      <c r="G138" s="172" t="s">
        <v>347</v>
      </c>
      <c r="H138" s="173">
        <v>700000</v>
      </c>
      <c r="I138" s="173">
        <f t="shared" ref="I138" si="21">F138*H138</f>
        <v>11200000</v>
      </c>
    </row>
    <row r="139" spans="1:9" x14ac:dyDescent="0.25">
      <c r="A139" s="166" t="s">
        <v>28</v>
      </c>
      <c r="B139" s="166" t="s">
        <v>29</v>
      </c>
      <c r="C139" s="323"/>
      <c r="D139" s="323"/>
      <c r="E139" s="168"/>
      <c r="F139" s="168"/>
      <c r="G139" s="168"/>
      <c r="H139" s="169"/>
      <c r="I139" s="167">
        <f>SUM(I140:I142)</f>
        <v>190368000</v>
      </c>
    </row>
    <row r="140" spans="1:9" ht="30" x14ac:dyDescent="0.25">
      <c r="A140" s="170"/>
      <c r="B140" s="171" t="s">
        <v>741</v>
      </c>
      <c r="C140" s="324"/>
      <c r="D140" s="324"/>
      <c r="E140" s="172" t="s">
        <v>301</v>
      </c>
      <c r="F140" s="172">
        <v>288</v>
      </c>
      <c r="G140" s="172" t="s">
        <v>301</v>
      </c>
      <c r="H140" s="173">
        <v>430000</v>
      </c>
      <c r="I140" s="173">
        <f>F140*H140</f>
        <v>123840000</v>
      </c>
    </row>
    <row r="141" spans="1:9" ht="30" x14ac:dyDescent="0.25">
      <c r="A141" s="170"/>
      <c r="B141" s="171" t="s">
        <v>742</v>
      </c>
      <c r="C141" s="324"/>
      <c r="D141" s="324"/>
      <c r="E141" s="172" t="s">
        <v>296</v>
      </c>
      <c r="F141" s="172">
        <v>192</v>
      </c>
      <c r="G141" s="172" t="s">
        <v>296</v>
      </c>
      <c r="H141" s="173">
        <v>284000</v>
      </c>
      <c r="I141" s="173">
        <f t="shared" ref="I141" si="22">F141*H141</f>
        <v>54528000</v>
      </c>
    </row>
    <row r="142" spans="1:9" x14ac:dyDescent="0.25">
      <c r="A142" s="170"/>
      <c r="B142" s="171" t="s">
        <v>692</v>
      </c>
      <c r="C142" s="324"/>
      <c r="D142" s="324"/>
      <c r="E142" s="172" t="s">
        <v>296</v>
      </c>
      <c r="F142" s="172">
        <v>32</v>
      </c>
      <c r="G142" s="172" t="s">
        <v>296</v>
      </c>
      <c r="H142" s="173">
        <v>375000</v>
      </c>
      <c r="I142" s="173">
        <f>F142*H142</f>
        <v>12000000</v>
      </c>
    </row>
    <row r="143" spans="1:9" x14ac:dyDescent="0.25">
      <c r="A143" s="166" t="s">
        <v>18</v>
      </c>
      <c r="B143" s="166" t="s">
        <v>19</v>
      </c>
      <c r="C143" s="323"/>
      <c r="D143" s="323"/>
      <c r="E143" s="168"/>
      <c r="F143" s="168"/>
      <c r="G143" s="168"/>
      <c r="H143" s="169"/>
      <c r="I143" s="167">
        <f>SUM(I144:I146)</f>
        <v>125680000</v>
      </c>
    </row>
    <row r="144" spans="1:9" ht="30" x14ac:dyDescent="0.25">
      <c r="A144" s="170"/>
      <c r="B144" s="171" t="s">
        <v>693</v>
      </c>
      <c r="C144" s="324"/>
      <c r="D144" s="324"/>
      <c r="E144" s="172" t="s">
        <v>301</v>
      </c>
      <c r="F144" s="172">
        <v>300</v>
      </c>
      <c r="G144" s="172" t="s">
        <v>301</v>
      </c>
      <c r="H144" s="173">
        <v>210000</v>
      </c>
      <c r="I144" s="173">
        <f>F144*H144</f>
        <v>63000000</v>
      </c>
    </row>
    <row r="145" spans="1:9" ht="30" x14ac:dyDescent="0.25">
      <c r="A145" s="170"/>
      <c r="B145" s="171" t="s">
        <v>694</v>
      </c>
      <c r="C145" s="324"/>
      <c r="D145" s="324"/>
      <c r="E145" s="172" t="s">
        <v>296</v>
      </c>
      <c r="F145" s="172">
        <v>300</v>
      </c>
      <c r="G145" s="172" t="s">
        <v>296</v>
      </c>
      <c r="H145" s="173">
        <v>170000</v>
      </c>
      <c r="I145" s="173">
        <f>F145*H145</f>
        <v>51000000</v>
      </c>
    </row>
    <row r="146" spans="1:9" x14ac:dyDescent="0.25">
      <c r="A146" s="170"/>
      <c r="B146" s="171" t="s">
        <v>702</v>
      </c>
      <c r="C146" s="324"/>
      <c r="D146" s="324"/>
      <c r="E146" s="172" t="s">
        <v>296</v>
      </c>
      <c r="F146" s="172">
        <v>16</v>
      </c>
      <c r="G146" s="172" t="s">
        <v>296</v>
      </c>
      <c r="H146" s="173">
        <v>730000</v>
      </c>
      <c r="I146" s="173">
        <f>F146*H146</f>
        <v>11680000</v>
      </c>
    </row>
    <row r="147" spans="1:9" x14ac:dyDescent="0.25">
      <c r="A147" s="158" t="s">
        <v>50</v>
      </c>
      <c r="B147" s="158" t="s">
        <v>51</v>
      </c>
      <c r="C147" s="325"/>
      <c r="D147" s="324" t="s">
        <v>756</v>
      </c>
      <c r="E147" s="159"/>
      <c r="F147" s="159" t="s">
        <v>11</v>
      </c>
      <c r="G147" s="159"/>
      <c r="H147" s="160"/>
      <c r="I147" s="161">
        <f>I148+I170+I188</f>
        <v>1565296000</v>
      </c>
    </row>
    <row r="148" spans="1:9" x14ac:dyDescent="0.25">
      <c r="A148" s="162" t="s">
        <v>12</v>
      </c>
      <c r="B148" s="162" t="s">
        <v>43</v>
      </c>
      <c r="C148" s="323"/>
      <c r="D148" s="323"/>
      <c r="E148" s="163"/>
      <c r="F148" s="163"/>
      <c r="G148" s="163"/>
      <c r="H148" s="164"/>
      <c r="I148" s="165">
        <f>I149+I153+I158+I162+I166</f>
        <v>622508000</v>
      </c>
    </row>
    <row r="149" spans="1:9" x14ac:dyDescent="0.25">
      <c r="A149" s="166" t="s">
        <v>22</v>
      </c>
      <c r="B149" s="166" t="s">
        <v>23</v>
      </c>
      <c r="C149" s="323"/>
      <c r="D149" s="323"/>
      <c r="E149" s="168"/>
      <c r="F149" s="168"/>
      <c r="G149" s="168"/>
      <c r="H149" s="169"/>
      <c r="I149" s="167">
        <f>SUM(I150:I152)</f>
        <v>143060000</v>
      </c>
    </row>
    <row r="150" spans="1:9" x14ac:dyDescent="0.25">
      <c r="A150" s="170"/>
      <c r="B150" s="171" t="s">
        <v>736</v>
      </c>
      <c r="C150" s="324"/>
      <c r="D150" s="324"/>
      <c r="E150" s="172" t="s">
        <v>296</v>
      </c>
      <c r="F150" s="172">
        <v>1760</v>
      </c>
      <c r="G150" s="172" t="s">
        <v>296</v>
      </c>
      <c r="H150" s="173">
        <v>57000</v>
      </c>
      <c r="I150" s="173">
        <f>F150*H150</f>
        <v>100320000</v>
      </c>
    </row>
    <row r="151" spans="1:9" x14ac:dyDescent="0.25">
      <c r="A151" s="170"/>
      <c r="B151" s="171" t="s">
        <v>737</v>
      </c>
      <c r="C151" s="324"/>
      <c r="D151" s="324"/>
      <c r="E151" s="172" t="s">
        <v>296</v>
      </c>
      <c r="F151" s="172">
        <v>1760</v>
      </c>
      <c r="G151" s="172" t="s">
        <v>296</v>
      </c>
      <c r="H151" s="173">
        <v>24000</v>
      </c>
      <c r="I151" s="173">
        <f>F151*H151</f>
        <v>42240000</v>
      </c>
    </row>
    <row r="152" spans="1:9" x14ac:dyDescent="0.25">
      <c r="A152" s="170"/>
      <c r="B152" s="178" t="s">
        <v>344</v>
      </c>
      <c r="C152" s="324"/>
      <c r="D152" s="324"/>
      <c r="E152" s="172" t="s">
        <v>298</v>
      </c>
      <c r="F152" s="172">
        <v>1</v>
      </c>
      <c r="G152" s="172" t="s">
        <v>298</v>
      </c>
      <c r="H152" s="173">
        <v>500000</v>
      </c>
      <c r="I152" s="173">
        <f t="shared" ref="I152" si="23">F152*H152</f>
        <v>500000</v>
      </c>
    </row>
    <row r="153" spans="1:9" x14ac:dyDescent="0.25">
      <c r="A153" s="166" t="s">
        <v>14</v>
      </c>
      <c r="B153" s="166" t="s">
        <v>15</v>
      </c>
      <c r="C153" s="323"/>
      <c r="D153" s="323"/>
      <c r="E153" s="168"/>
      <c r="F153" s="168"/>
      <c r="G153" s="168"/>
      <c r="H153" s="169"/>
      <c r="I153" s="167">
        <f>SUM(I154:I157)</f>
        <v>15400000</v>
      </c>
    </row>
    <row r="154" spans="1:9" ht="30" x14ac:dyDescent="0.25">
      <c r="A154" s="170"/>
      <c r="B154" s="176" t="s">
        <v>360</v>
      </c>
      <c r="C154" s="324"/>
      <c r="D154" s="324"/>
      <c r="E154" s="172" t="s">
        <v>296</v>
      </c>
      <c r="F154" s="172">
        <v>4</v>
      </c>
      <c r="G154" s="172" t="s">
        <v>296</v>
      </c>
      <c r="H154" s="173">
        <v>450000</v>
      </c>
      <c r="I154" s="173">
        <f>F154*H154</f>
        <v>1800000</v>
      </c>
    </row>
    <row r="155" spans="1:9" ht="30" x14ac:dyDescent="0.25">
      <c r="A155" s="170"/>
      <c r="B155" s="176" t="s">
        <v>361</v>
      </c>
      <c r="C155" s="324"/>
      <c r="D155" s="324"/>
      <c r="E155" s="172" t="s">
        <v>296</v>
      </c>
      <c r="F155" s="172">
        <v>4</v>
      </c>
      <c r="G155" s="172" t="s">
        <v>296</v>
      </c>
      <c r="H155" s="173">
        <v>400000</v>
      </c>
      <c r="I155" s="173">
        <f t="shared" ref="I155:I157" si="24">F155*H155</f>
        <v>1600000</v>
      </c>
    </row>
    <row r="156" spans="1:9" ht="30" x14ac:dyDescent="0.25">
      <c r="A156" s="170"/>
      <c r="B156" s="176" t="s">
        <v>362</v>
      </c>
      <c r="C156" s="324"/>
      <c r="D156" s="324"/>
      <c r="E156" s="172" t="s">
        <v>296</v>
      </c>
      <c r="F156" s="172">
        <v>4</v>
      </c>
      <c r="G156" s="172" t="s">
        <v>296</v>
      </c>
      <c r="H156" s="173">
        <v>300000</v>
      </c>
      <c r="I156" s="173">
        <f t="shared" si="24"/>
        <v>1200000</v>
      </c>
    </row>
    <row r="157" spans="1:9" ht="30" x14ac:dyDescent="0.25">
      <c r="A157" s="170"/>
      <c r="B157" s="176" t="s">
        <v>363</v>
      </c>
      <c r="C157" s="324"/>
      <c r="D157" s="324"/>
      <c r="E157" s="172" t="s">
        <v>296</v>
      </c>
      <c r="F157" s="172">
        <v>36</v>
      </c>
      <c r="G157" s="172" t="s">
        <v>296</v>
      </c>
      <c r="H157" s="173">
        <v>300000</v>
      </c>
      <c r="I157" s="173">
        <f t="shared" si="24"/>
        <v>10800000</v>
      </c>
    </row>
    <row r="158" spans="1:9" x14ac:dyDescent="0.25">
      <c r="A158" s="166" t="s">
        <v>16</v>
      </c>
      <c r="B158" s="166" t="s">
        <v>17</v>
      </c>
      <c r="C158" s="323"/>
      <c r="D158" s="323"/>
      <c r="E158" s="168"/>
      <c r="F158" s="168"/>
      <c r="G158" s="168"/>
      <c r="H158" s="169"/>
      <c r="I158" s="167">
        <f>SUM(I159:I161)</f>
        <v>148000000</v>
      </c>
    </row>
    <row r="159" spans="1:9" ht="30" x14ac:dyDescent="0.25">
      <c r="A159" s="170"/>
      <c r="B159" s="171" t="s">
        <v>738</v>
      </c>
      <c r="C159" s="324"/>
      <c r="D159" s="324"/>
      <c r="E159" s="172" t="s">
        <v>297</v>
      </c>
      <c r="F159" s="172">
        <v>72</v>
      </c>
      <c r="G159" s="172" t="s">
        <v>297</v>
      </c>
      <c r="H159" s="173">
        <v>1000000</v>
      </c>
      <c r="I159" s="173">
        <f>F159*H159</f>
        <v>72000000</v>
      </c>
    </row>
    <row r="160" spans="1:9" ht="30" x14ac:dyDescent="0.25">
      <c r="A160" s="170"/>
      <c r="B160" s="171" t="s">
        <v>739</v>
      </c>
      <c r="C160" s="324"/>
      <c r="D160" s="324"/>
      <c r="E160" s="172" t="s">
        <v>297</v>
      </c>
      <c r="F160" s="172">
        <v>72</v>
      </c>
      <c r="G160" s="172" t="s">
        <v>297</v>
      </c>
      <c r="H160" s="173">
        <v>900000</v>
      </c>
      <c r="I160" s="173">
        <f>F160*H160</f>
        <v>64800000</v>
      </c>
    </row>
    <row r="161" spans="1:9" x14ac:dyDescent="0.25">
      <c r="A161" s="170"/>
      <c r="B161" s="171" t="s">
        <v>740</v>
      </c>
      <c r="C161" s="324"/>
      <c r="D161" s="324"/>
      <c r="E161" s="172" t="s">
        <v>347</v>
      </c>
      <c r="F161" s="172">
        <v>16</v>
      </c>
      <c r="G161" s="172" t="s">
        <v>347</v>
      </c>
      <c r="H161" s="173">
        <v>700000</v>
      </c>
      <c r="I161" s="173">
        <f t="shared" ref="I161" si="25">F161*H161</f>
        <v>11200000</v>
      </c>
    </row>
    <row r="162" spans="1:9" x14ac:dyDescent="0.25">
      <c r="A162" s="166" t="s">
        <v>28</v>
      </c>
      <c r="B162" s="166" t="s">
        <v>29</v>
      </c>
      <c r="C162" s="323"/>
      <c r="D162" s="323"/>
      <c r="E162" s="168"/>
      <c r="F162" s="168"/>
      <c r="G162" s="168"/>
      <c r="H162" s="169"/>
      <c r="I162" s="167">
        <f>SUM(I163:I165)</f>
        <v>190368000</v>
      </c>
    </row>
    <row r="163" spans="1:9" ht="30" x14ac:dyDescent="0.25">
      <c r="A163" s="170"/>
      <c r="B163" s="171" t="s">
        <v>741</v>
      </c>
      <c r="C163" s="324"/>
      <c r="D163" s="324"/>
      <c r="E163" s="172" t="s">
        <v>301</v>
      </c>
      <c r="F163" s="172">
        <v>288</v>
      </c>
      <c r="G163" s="172" t="s">
        <v>301</v>
      </c>
      <c r="H163" s="173">
        <v>430000</v>
      </c>
      <c r="I163" s="173">
        <f>F163*H163</f>
        <v>123840000</v>
      </c>
    </row>
    <row r="164" spans="1:9" ht="30" x14ac:dyDescent="0.25">
      <c r="A164" s="170"/>
      <c r="B164" s="171" t="s">
        <v>742</v>
      </c>
      <c r="C164" s="324"/>
      <c r="D164" s="324"/>
      <c r="E164" s="172" t="s">
        <v>296</v>
      </c>
      <c r="F164" s="172">
        <v>192</v>
      </c>
      <c r="G164" s="172" t="s">
        <v>296</v>
      </c>
      <c r="H164" s="173">
        <v>284000</v>
      </c>
      <c r="I164" s="173">
        <f t="shared" ref="I164" si="26">F164*H164</f>
        <v>54528000</v>
      </c>
    </row>
    <row r="165" spans="1:9" x14ac:dyDescent="0.25">
      <c r="A165" s="170"/>
      <c r="B165" s="171" t="s">
        <v>692</v>
      </c>
      <c r="C165" s="324"/>
      <c r="D165" s="324"/>
      <c r="E165" s="172" t="s">
        <v>296</v>
      </c>
      <c r="F165" s="172">
        <v>32</v>
      </c>
      <c r="G165" s="172" t="s">
        <v>296</v>
      </c>
      <c r="H165" s="173">
        <v>375000</v>
      </c>
      <c r="I165" s="173">
        <f>F165*H165</f>
        <v>12000000</v>
      </c>
    </row>
    <row r="166" spans="1:9" x14ac:dyDescent="0.25">
      <c r="A166" s="166" t="s">
        <v>18</v>
      </c>
      <c r="B166" s="166" t="s">
        <v>19</v>
      </c>
      <c r="C166" s="323"/>
      <c r="D166" s="323"/>
      <c r="E166" s="168"/>
      <c r="F166" s="168"/>
      <c r="G166" s="168"/>
      <c r="H166" s="169"/>
      <c r="I166" s="167">
        <f>SUM(I167:I169)</f>
        <v>125680000</v>
      </c>
    </row>
    <row r="167" spans="1:9" ht="30" x14ac:dyDescent="0.25">
      <c r="A167" s="170"/>
      <c r="B167" s="171" t="s">
        <v>693</v>
      </c>
      <c r="C167" s="324"/>
      <c r="D167" s="324"/>
      <c r="E167" s="172" t="s">
        <v>301</v>
      </c>
      <c r="F167" s="172">
        <v>300</v>
      </c>
      <c r="G167" s="172" t="s">
        <v>301</v>
      </c>
      <c r="H167" s="173">
        <v>210000</v>
      </c>
      <c r="I167" s="173">
        <f>F167*H167</f>
        <v>63000000</v>
      </c>
    </row>
    <row r="168" spans="1:9" ht="30" x14ac:dyDescent="0.25">
      <c r="A168" s="170"/>
      <c r="B168" s="171" t="s">
        <v>694</v>
      </c>
      <c r="C168" s="324"/>
      <c r="D168" s="324"/>
      <c r="E168" s="172" t="s">
        <v>296</v>
      </c>
      <c r="F168" s="172">
        <v>300</v>
      </c>
      <c r="G168" s="172" t="s">
        <v>296</v>
      </c>
      <c r="H168" s="173">
        <v>170000</v>
      </c>
      <c r="I168" s="173">
        <f>F168*H168</f>
        <v>51000000</v>
      </c>
    </row>
    <row r="169" spans="1:9" x14ac:dyDescent="0.25">
      <c r="A169" s="170"/>
      <c r="B169" s="171" t="s">
        <v>702</v>
      </c>
      <c r="C169" s="324"/>
      <c r="D169" s="324"/>
      <c r="E169" s="172" t="s">
        <v>296</v>
      </c>
      <c r="F169" s="172">
        <v>16</v>
      </c>
      <c r="G169" s="172" t="s">
        <v>296</v>
      </c>
      <c r="H169" s="173">
        <v>730000</v>
      </c>
      <c r="I169" s="173">
        <f>F169*H169</f>
        <v>11680000</v>
      </c>
    </row>
    <row r="170" spans="1:9" x14ac:dyDescent="0.25">
      <c r="A170" s="162" t="s">
        <v>26</v>
      </c>
      <c r="B170" s="162" t="s">
        <v>52</v>
      </c>
      <c r="C170" s="323"/>
      <c r="D170" s="323"/>
      <c r="E170" s="163"/>
      <c r="F170" s="163"/>
      <c r="G170" s="163"/>
      <c r="H170" s="164"/>
      <c r="I170" s="165">
        <f>I171+I175+I178+I184</f>
        <v>320280000</v>
      </c>
    </row>
    <row r="171" spans="1:9" x14ac:dyDescent="0.25">
      <c r="A171" s="166" t="s">
        <v>22</v>
      </c>
      <c r="B171" s="166" t="s">
        <v>23</v>
      </c>
      <c r="C171" s="323"/>
      <c r="D171" s="323"/>
      <c r="E171" s="168"/>
      <c r="F171" s="168"/>
      <c r="G171" s="168"/>
      <c r="H171" s="169"/>
      <c r="I171" s="167">
        <f>SUM(I172:I174)</f>
        <v>37400000</v>
      </c>
    </row>
    <row r="172" spans="1:9" x14ac:dyDescent="0.25">
      <c r="A172" s="170"/>
      <c r="B172" s="171" t="s">
        <v>774</v>
      </c>
      <c r="C172" s="324"/>
      <c r="D172" s="324"/>
      <c r="E172" s="172" t="s">
        <v>296</v>
      </c>
      <c r="F172" s="172">
        <v>400</v>
      </c>
      <c r="G172" s="172" t="s">
        <v>296</v>
      </c>
      <c r="H172" s="173">
        <v>57000</v>
      </c>
      <c r="I172" s="173">
        <f>F172*H172</f>
        <v>22800000</v>
      </c>
    </row>
    <row r="173" spans="1:9" x14ac:dyDescent="0.25">
      <c r="A173" s="170"/>
      <c r="B173" s="171" t="s">
        <v>775</v>
      </c>
      <c r="C173" s="324"/>
      <c r="D173" s="324"/>
      <c r="E173" s="172" t="s">
        <v>296</v>
      </c>
      <c r="F173" s="172">
        <v>400</v>
      </c>
      <c r="G173" s="172" t="s">
        <v>296</v>
      </c>
      <c r="H173" s="173">
        <v>24000</v>
      </c>
      <c r="I173" s="173">
        <f>F173*H173</f>
        <v>9600000</v>
      </c>
    </row>
    <row r="174" spans="1:9" x14ac:dyDescent="0.25">
      <c r="A174" s="170"/>
      <c r="B174" s="178" t="s">
        <v>721</v>
      </c>
      <c r="C174" s="324"/>
      <c r="D174" s="324"/>
      <c r="E174" s="172" t="s">
        <v>330</v>
      </c>
      <c r="F174" s="172">
        <v>5</v>
      </c>
      <c r="G174" s="172" t="s">
        <v>330</v>
      </c>
      <c r="H174" s="173">
        <v>1000000</v>
      </c>
      <c r="I174" s="173">
        <f t="shared" ref="I174" si="27">F174*H174</f>
        <v>5000000</v>
      </c>
    </row>
    <row r="175" spans="1:9" x14ac:dyDescent="0.25">
      <c r="A175" s="166" t="s">
        <v>16</v>
      </c>
      <c r="B175" s="166" t="s">
        <v>17</v>
      </c>
      <c r="C175" s="323"/>
      <c r="D175" s="323"/>
      <c r="E175" s="168"/>
      <c r="F175" s="168"/>
      <c r="G175" s="168"/>
      <c r="H175" s="169"/>
      <c r="I175" s="167">
        <f>SUM(I176:I177)</f>
        <v>9500000</v>
      </c>
    </row>
    <row r="176" spans="1:9" x14ac:dyDescent="0.25">
      <c r="A176" s="170"/>
      <c r="B176" s="171" t="s">
        <v>688</v>
      </c>
      <c r="C176" s="324"/>
      <c r="D176" s="324"/>
      <c r="E176" s="172" t="s">
        <v>297</v>
      </c>
      <c r="F176" s="172">
        <v>5</v>
      </c>
      <c r="G176" s="172" t="s">
        <v>297</v>
      </c>
      <c r="H176" s="173">
        <v>1000000</v>
      </c>
      <c r="I176" s="173">
        <f>F176*H176</f>
        <v>5000000</v>
      </c>
    </row>
    <row r="177" spans="1:9" x14ac:dyDescent="0.25">
      <c r="A177" s="170"/>
      <c r="B177" s="171" t="s">
        <v>722</v>
      </c>
      <c r="C177" s="324"/>
      <c r="D177" s="324"/>
      <c r="E177" s="172" t="s">
        <v>297</v>
      </c>
      <c r="F177" s="172">
        <v>5</v>
      </c>
      <c r="G177" s="172" t="s">
        <v>297</v>
      </c>
      <c r="H177" s="173">
        <v>900000</v>
      </c>
      <c r="I177" s="173">
        <f>F177*H177</f>
        <v>4500000</v>
      </c>
    </row>
    <row r="178" spans="1:9" x14ac:dyDescent="0.25">
      <c r="A178" s="166" t="s">
        <v>28</v>
      </c>
      <c r="B178" s="166" t="s">
        <v>29</v>
      </c>
      <c r="C178" s="324"/>
      <c r="D178" s="324"/>
      <c r="E178" s="168"/>
      <c r="F178" s="168"/>
      <c r="G178" s="168"/>
      <c r="H178" s="169"/>
      <c r="I178" s="167">
        <f>SUM(I179:I183)</f>
        <v>220480000</v>
      </c>
    </row>
    <row r="179" spans="1:9" x14ac:dyDescent="0.25">
      <c r="A179" s="170"/>
      <c r="B179" s="171" t="s">
        <v>769</v>
      </c>
      <c r="C179" s="323"/>
      <c r="D179" s="323"/>
      <c r="E179" s="172" t="s">
        <v>301</v>
      </c>
      <c r="F179" s="172">
        <v>120</v>
      </c>
      <c r="G179" s="172" t="s">
        <v>301</v>
      </c>
      <c r="H179" s="173">
        <v>430000</v>
      </c>
      <c r="I179" s="173">
        <f>F179*H179</f>
        <v>51600000</v>
      </c>
    </row>
    <row r="180" spans="1:9" x14ac:dyDescent="0.25">
      <c r="A180" s="170"/>
      <c r="B180" s="171" t="s">
        <v>770</v>
      </c>
      <c r="C180" s="324"/>
      <c r="D180" s="324"/>
      <c r="E180" s="172" t="s">
        <v>296</v>
      </c>
      <c r="F180" s="172">
        <v>120</v>
      </c>
      <c r="G180" s="172" t="s">
        <v>296</v>
      </c>
      <c r="H180" s="173">
        <v>284000</v>
      </c>
      <c r="I180" s="173">
        <f t="shared" ref="I180:I182" si="28">F180*H180</f>
        <v>34080000</v>
      </c>
    </row>
    <row r="181" spans="1:9" x14ac:dyDescent="0.25">
      <c r="A181" s="170"/>
      <c r="B181" s="171" t="s">
        <v>771</v>
      </c>
      <c r="C181" s="324"/>
      <c r="D181" s="324"/>
      <c r="E181" s="172" t="s">
        <v>296</v>
      </c>
      <c r="F181" s="172">
        <v>30</v>
      </c>
      <c r="G181" s="172" t="s">
        <v>296</v>
      </c>
      <c r="H181" s="173">
        <v>2500000</v>
      </c>
      <c r="I181" s="173">
        <f t="shared" si="28"/>
        <v>75000000</v>
      </c>
    </row>
    <row r="182" spans="1:9" x14ac:dyDescent="0.25">
      <c r="A182" s="170"/>
      <c r="B182" s="171" t="s">
        <v>723</v>
      </c>
      <c r="C182" s="324"/>
      <c r="D182" s="324"/>
      <c r="E182" s="172" t="s">
        <v>296</v>
      </c>
      <c r="F182" s="172">
        <v>80</v>
      </c>
      <c r="G182" s="172" t="s">
        <v>296</v>
      </c>
      <c r="H182" s="173">
        <v>200000</v>
      </c>
      <c r="I182" s="173">
        <f t="shared" si="28"/>
        <v>16000000</v>
      </c>
    </row>
    <row r="183" spans="1:9" x14ac:dyDescent="0.25">
      <c r="A183" s="170"/>
      <c r="B183" s="171" t="s">
        <v>772</v>
      </c>
      <c r="C183" s="323"/>
      <c r="D183" s="323"/>
      <c r="E183" s="172" t="s">
        <v>296</v>
      </c>
      <c r="F183" s="172">
        <v>60</v>
      </c>
      <c r="G183" s="172" t="s">
        <v>296</v>
      </c>
      <c r="H183" s="173">
        <v>730000</v>
      </c>
      <c r="I183" s="173">
        <f>F183*H183</f>
        <v>43800000</v>
      </c>
    </row>
    <row r="184" spans="1:9" x14ac:dyDescent="0.25">
      <c r="A184" s="166" t="s">
        <v>18</v>
      </c>
      <c r="B184" s="166" t="s">
        <v>19</v>
      </c>
      <c r="C184" s="324"/>
      <c r="D184" s="324"/>
      <c r="E184" s="168"/>
      <c r="F184" s="168"/>
      <c r="G184" s="168"/>
      <c r="H184" s="169"/>
      <c r="I184" s="167">
        <f>SUM(I185:I187)</f>
        <v>52900000</v>
      </c>
    </row>
    <row r="185" spans="1:9" s="207" customFormat="1" ht="30" x14ac:dyDescent="0.25">
      <c r="A185" s="170"/>
      <c r="B185" s="171" t="s">
        <v>724</v>
      </c>
      <c r="C185" s="324"/>
      <c r="D185" s="324"/>
      <c r="E185" s="172" t="s">
        <v>296</v>
      </c>
      <c r="F185" s="172">
        <v>120</v>
      </c>
      <c r="G185" s="172" t="s">
        <v>296</v>
      </c>
      <c r="H185" s="173">
        <v>170000</v>
      </c>
      <c r="I185" s="173">
        <f>F185*H185</f>
        <v>20400000</v>
      </c>
    </row>
    <row r="186" spans="1:9" s="207" customFormat="1" ht="30" x14ac:dyDescent="0.25">
      <c r="A186" s="170"/>
      <c r="B186" s="171" t="s">
        <v>725</v>
      </c>
      <c r="C186" s="324"/>
      <c r="D186" s="324"/>
      <c r="E186" s="172" t="s">
        <v>301</v>
      </c>
      <c r="F186" s="172">
        <v>120</v>
      </c>
      <c r="G186" s="172" t="s">
        <v>301</v>
      </c>
      <c r="H186" s="173">
        <v>210000</v>
      </c>
      <c r="I186" s="173">
        <f>F186*H186</f>
        <v>25200000</v>
      </c>
    </row>
    <row r="187" spans="1:9" s="207" customFormat="1" x14ac:dyDescent="0.25">
      <c r="A187" s="170"/>
      <c r="B187" s="171" t="s">
        <v>640</v>
      </c>
      <c r="C187" s="324"/>
      <c r="D187" s="324"/>
      <c r="E187" s="172" t="s">
        <v>296</v>
      </c>
      <c r="F187" s="172">
        <v>10</v>
      </c>
      <c r="G187" s="172" t="s">
        <v>296</v>
      </c>
      <c r="H187" s="173">
        <v>730000</v>
      </c>
      <c r="I187" s="173">
        <f>F187*H187</f>
        <v>7300000</v>
      </c>
    </row>
    <row r="188" spans="1:9" s="207" customFormat="1" x14ac:dyDescent="0.25">
      <c r="A188" s="162" t="s">
        <v>32</v>
      </c>
      <c r="B188" s="162" t="s">
        <v>53</v>
      </c>
      <c r="C188" s="324"/>
      <c r="D188" s="324"/>
      <c r="E188" s="163"/>
      <c r="F188" s="163"/>
      <c r="G188" s="163"/>
      <c r="H188" s="164"/>
      <c r="I188" s="165">
        <f>I189+I193+I198+I202+I206</f>
        <v>622508000</v>
      </c>
    </row>
    <row r="189" spans="1:9" s="207" customFormat="1" x14ac:dyDescent="0.25">
      <c r="A189" s="166" t="s">
        <v>22</v>
      </c>
      <c r="B189" s="166" t="s">
        <v>23</v>
      </c>
      <c r="C189" s="323"/>
      <c r="D189" s="323"/>
      <c r="E189" s="168"/>
      <c r="F189" s="168"/>
      <c r="G189" s="168"/>
      <c r="H189" s="169"/>
      <c r="I189" s="167">
        <f>SUM(I190:I192)</f>
        <v>143060000</v>
      </c>
    </row>
    <row r="190" spans="1:9" s="207" customFormat="1" x14ac:dyDescent="0.25">
      <c r="A190" s="170"/>
      <c r="B190" s="171" t="s">
        <v>736</v>
      </c>
      <c r="C190" s="324"/>
      <c r="D190" s="324"/>
      <c r="E190" s="172" t="s">
        <v>296</v>
      </c>
      <c r="F190" s="172">
        <v>1760</v>
      </c>
      <c r="G190" s="172" t="s">
        <v>296</v>
      </c>
      <c r="H190" s="173">
        <v>57000</v>
      </c>
      <c r="I190" s="173">
        <f>F190*H190</f>
        <v>100320000</v>
      </c>
    </row>
    <row r="191" spans="1:9" s="207" customFormat="1" x14ac:dyDescent="0.25">
      <c r="A191" s="170"/>
      <c r="B191" s="171" t="s">
        <v>737</v>
      </c>
      <c r="C191" s="324"/>
      <c r="D191" s="324"/>
      <c r="E191" s="172" t="s">
        <v>296</v>
      </c>
      <c r="F191" s="172">
        <v>1760</v>
      </c>
      <c r="G191" s="172" t="s">
        <v>296</v>
      </c>
      <c r="H191" s="173">
        <v>24000</v>
      </c>
      <c r="I191" s="173">
        <f>F191*H191</f>
        <v>42240000</v>
      </c>
    </row>
    <row r="192" spans="1:9" s="207" customFormat="1" x14ac:dyDescent="0.25">
      <c r="A192" s="170"/>
      <c r="B192" s="178" t="s">
        <v>344</v>
      </c>
      <c r="C192" s="324"/>
      <c r="D192" s="324"/>
      <c r="E192" s="172" t="s">
        <v>298</v>
      </c>
      <c r="F192" s="172">
        <v>1</v>
      </c>
      <c r="G192" s="172" t="s">
        <v>298</v>
      </c>
      <c r="H192" s="173">
        <v>500000</v>
      </c>
      <c r="I192" s="173">
        <f t="shared" ref="I192" si="29">F192*H192</f>
        <v>500000</v>
      </c>
    </row>
    <row r="193" spans="1:9" x14ac:dyDescent="0.25">
      <c r="A193" s="166" t="s">
        <v>14</v>
      </c>
      <c r="B193" s="166" t="s">
        <v>15</v>
      </c>
      <c r="C193" s="324"/>
      <c r="D193" s="324"/>
      <c r="E193" s="168"/>
      <c r="F193" s="168"/>
      <c r="G193" s="168"/>
      <c r="H193" s="169"/>
      <c r="I193" s="167">
        <f>SUM(I194:I197)</f>
        <v>15400000</v>
      </c>
    </row>
    <row r="194" spans="1:9" s="207" customFormat="1" ht="30" x14ac:dyDescent="0.25">
      <c r="A194" s="170"/>
      <c r="B194" s="176" t="s">
        <v>360</v>
      </c>
      <c r="C194" s="324"/>
      <c r="D194" s="324"/>
      <c r="E194" s="172" t="s">
        <v>296</v>
      </c>
      <c r="F194" s="172">
        <v>4</v>
      </c>
      <c r="G194" s="172" t="s">
        <v>296</v>
      </c>
      <c r="H194" s="173">
        <v>450000</v>
      </c>
      <c r="I194" s="173">
        <f>F194*H194</f>
        <v>1800000</v>
      </c>
    </row>
    <row r="195" spans="1:9" ht="30" x14ac:dyDescent="0.25">
      <c r="A195" s="170"/>
      <c r="B195" s="176" t="s">
        <v>361</v>
      </c>
      <c r="C195" s="323"/>
      <c r="D195" s="323"/>
      <c r="E195" s="172" t="s">
        <v>296</v>
      </c>
      <c r="F195" s="172">
        <v>4</v>
      </c>
      <c r="G195" s="172" t="s">
        <v>296</v>
      </c>
      <c r="H195" s="173">
        <v>400000</v>
      </c>
      <c r="I195" s="173">
        <f t="shared" ref="I195:I197" si="30">F195*H195</f>
        <v>1600000</v>
      </c>
    </row>
    <row r="196" spans="1:9" ht="30" x14ac:dyDescent="0.25">
      <c r="A196" s="170"/>
      <c r="B196" s="176" t="s">
        <v>362</v>
      </c>
      <c r="C196" s="323"/>
      <c r="D196" s="323"/>
      <c r="E196" s="172" t="s">
        <v>296</v>
      </c>
      <c r="F196" s="172">
        <v>4</v>
      </c>
      <c r="G196" s="172" t="s">
        <v>296</v>
      </c>
      <c r="H196" s="173">
        <v>300000</v>
      </c>
      <c r="I196" s="173">
        <f t="shared" si="30"/>
        <v>1200000</v>
      </c>
    </row>
    <row r="197" spans="1:9" ht="30" x14ac:dyDescent="0.25">
      <c r="A197" s="170"/>
      <c r="B197" s="176" t="s">
        <v>363</v>
      </c>
      <c r="C197" s="324"/>
      <c r="D197" s="324"/>
      <c r="E197" s="172" t="s">
        <v>296</v>
      </c>
      <c r="F197" s="172">
        <v>36</v>
      </c>
      <c r="G197" s="172" t="s">
        <v>296</v>
      </c>
      <c r="H197" s="173">
        <v>300000</v>
      </c>
      <c r="I197" s="173">
        <f t="shared" si="30"/>
        <v>10800000</v>
      </c>
    </row>
    <row r="198" spans="1:9" x14ac:dyDescent="0.25">
      <c r="A198" s="166" t="s">
        <v>16</v>
      </c>
      <c r="B198" s="166" t="s">
        <v>17</v>
      </c>
      <c r="C198" s="324"/>
      <c r="D198" s="324"/>
      <c r="E198" s="168"/>
      <c r="F198" s="168"/>
      <c r="G198" s="168"/>
      <c r="H198" s="169"/>
      <c r="I198" s="167">
        <f>SUM(I199:I201)</f>
        <v>148000000</v>
      </c>
    </row>
    <row r="199" spans="1:9" ht="30" x14ac:dyDescent="0.25">
      <c r="A199" s="170"/>
      <c r="B199" s="171" t="s">
        <v>738</v>
      </c>
      <c r="C199" s="324"/>
      <c r="D199" s="324"/>
      <c r="E199" s="172" t="s">
        <v>297</v>
      </c>
      <c r="F199" s="172">
        <v>72</v>
      </c>
      <c r="G199" s="172" t="s">
        <v>297</v>
      </c>
      <c r="H199" s="173">
        <v>1000000</v>
      </c>
      <c r="I199" s="173">
        <f>F199*H199</f>
        <v>72000000</v>
      </c>
    </row>
    <row r="200" spans="1:9" ht="30" x14ac:dyDescent="0.25">
      <c r="A200" s="170"/>
      <c r="B200" s="171" t="s">
        <v>739</v>
      </c>
      <c r="C200" s="324"/>
      <c r="D200" s="324"/>
      <c r="E200" s="172" t="s">
        <v>297</v>
      </c>
      <c r="F200" s="172">
        <v>72</v>
      </c>
      <c r="G200" s="172" t="s">
        <v>297</v>
      </c>
      <c r="H200" s="173">
        <v>900000</v>
      </c>
      <c r="I200" s="173">
        <f>F200*H200</f>
        <v>64800000</v>
      </c>
    </row>
    <row r="201" spans="1:9" x14ac:dyDescent="0.25">
      <c r="A201" s="170"/>
      <c r="B201" s="171" t="s">
        <v>740</v>
      </c>
      <c r="C201" s="324"/>
      <c r="D201" s="324"/>
      <c r="E201" s="172" t="s">
        <v>347</v>
      </c>
      <c r="F201" s="172">
        <v>16</v>
      </c>
      <c r="G201" s="172" t="s">
        <v>347</v>
      </c>
      <c r="H201" s="173">
        <v>700000</v>
      </c>
      <c r="I201" s="173">
        <f t="shared" ref="I201" si="31">F201*H201</f>
        <v>11200000</v>
      </c>
    </row>
    <row r="202" spans="1:9" x14ac:dyDescent="0.25">
      <c r="A202" s="166" t="s">
        <v>28</v>
      </c>
      <c r="B202" s="166" t="s">
        <v>29</v>
      </c>
      <c r="C202" s="323"/>
      <c r="D202" s="323"/>
      <c r="E202" s="168"/>
      <c r="F202" s="168"/>
      <c r="G202" s="168"/>
      <c r="H202" s="169"/>
      <c r="I202" s="167">
        <f>SUM(I203:I205)</f>
        <v>190368000</v>
      </c>
    </row>
    <row r="203" spans="1:9" ht="30" x14ac:dyDescent="0.25">
      <c r="A203" s="170"/>
      <c r="B203" s="171" t="s">
        <v>741</v>
      </c>
      <c r="C203" s="324"/>
      <c r="D203" s="324"/>
      <c r="E203" s="172" t="s">
        <v>301</v>
      </c>
      <c r="F203" s="172">
        <v>288</v>
      </c>
      <c r="G203" s="172" t="s">
        <v>301</v>
      </c>
      <c r="H203" s="173">
        <v>430000</v>
      </c>
      <c r="I203" s="173">
        <f>F203*H203</f>
        <v>123840000</v>
      </c>
    </row>
    <row r="204" spans="1:9" ht="30" x14ac:dyDescent="0.25">
      <c r="A204" s="170"/>
      <c r="B204" s="171" t="s">
        <v>742</v>
      </c>
      <c r="C204" s="324"/>
      <c r="D204" s="324"/>
      <c r="E204" s="172" t="s">
        <v>296</v>
      </c>
      <c r="F204" s="172">
        <v>192</v>
      </c>
      <c r="G204" s="172" t="s">
        <v>296</v>
      </c>
      <c r="H204" s="173">
        <v>284000</v>
      </c>
      <c r="I204" s="173">
        <f t="shared" ref="I204" si="32">F204*H204</f>
        <v>54528000</v>
      </c>
    </row>
    <row r="205" spans="1:9" x14ac:dyDescent="0.25">
      <c r="A205" s="170"/>
      <c r="B205" s="171" t="s">
        <v>692</v>
      </c>
      <c r="C205" s="324"/>
      <c r="D205" s="324"/>
      <c r="E205" s="172" t="s">
        <v>296</v>
      </c>
      <c r="F205" s="172">
        <v>32</v>
      </c>
      <c r="G205" s="172" t="s">
        <v>296</v>
      </c>
      <c r="H205" s="173">
        <v>375000</v>
      </c>
      <c r="I205" s="173">
        <f>F205*H205</f>
        <v>12000000</v>
      </c>
    </row>
    <row r="206" spans="1:9" x14ac:dyDescent="0.25">
      <c r="A206" s="166" t="s">
        <v>18</v>
      </c>
      <c r="B206" s="166" t="s">
        <v>19</v>
      </c>
      <c r="C206" s="324"/>
      <c r="D206" s="324"/>
      <c r="E206" s="168"/>
      <c r="F206" s="168"/>
      <c r="G206" s="168"/>
      <c r="H206" s="169"/>
      <c r="I206" s="167">
        <f>SUM(I207:I209)</f>
        <v>125680000</v>
      </c>
    </row>
    <row r="207" spans="1:9" ht="30" x14ac:dyDescent="0.25">
      <c r="A207" s="170"/>
      <c r="B207" s="171" t="s">
        <v>693</v>
      </c>
      <c r="C207" s="323"/>
      <c r="D207" s="323"/>
      <c r="E207" s="172" t="s">
        <v>301</v>
      </c>
      <c r="F207" s="172">
        <v>300</v>
      </c>
      <c r="G207" s="172" t="s">
        <v>301</v>
      </c>
      <c r="H207" s="173">
        <v>210000</v>
      </c>
      <c r="I207" s="173">
        <f>F207*H207</f>
        <v>63000000</v>
      </c>
    </row>
    <row r="208" spans="1:9" ht="30" x14ac:dyDescent="0.25">
      <c r="A208" s="170"/>
      <c r="B208" s="171" t="s">
        <v>694</v>
      </c>
      <c r="C208" s="324"/>
      <c r="D208" s="324"/>
      <c r="E208" s="172" t="s">
        <v>296</v>
      </c>
      <c r="F208" s="172">
        <v>300</v>
      </c>
      <c r="G208" s="172" t="s">
        <v>296</v>
      </c>
      <c r="H208" s="173">
        <v>170000</v>
      </c>
      <c r="I208" s="173">
        <f>F208*H208</f>
        <v>51000000</v>
      </c>
    </row>
    <row r="209" spans="1:9" x14ac:dyDescent="0.25">
      <c r="A209" s="170"/>
      <c r="B209" s="171" t="s">
        <v>702</v>
      </c>
      <c r="C209" s="324"/>
      <c r="D209" s="324"/>
      <c r="E209" s="172" t="s">
        <v>296</v>
      </c>
      <c r="F209" s="172">
        <v>16</v>
      </c>
      <c r="G209" s="172" t="s">
        <v>296</v>
      </c>
      <c r="H209" s="173">
        <v>730000</v>
      </c>
      <c r="I209" s="173">
        <f>F209*H209</f>
        <v>11680000</v>
      </c>
    </row>
    <row r="210" spans="1:9" ht="12.95" customHeight="1" x14ac:dyDescent="0.25">
      <c r="A210" s="184"/>
      <c r="B210" s="267"/>
      <c r="C210" s="268"/>
      <c r="D210" s="268"/>
      <c r="E210" s="268"/>
      <c r="F210" s="268"/>
      <c r="G210" s="268"/>
      <c r="H210" s="269"/>
      <c r="I210" s="269"/>
    </row>
    <row r="211" spans="1:9" ht="12.95" customHeight="1" x14ac:dyDescent="0.25">
      <c r="A211" s="201"/>
      <c r="B211" s="204"/>
      <c r="C211" s="202"/>
      <c r="D211" s="202"/>
      <c r="E211" s="202"/>
      <c r="F211" s="202"/>
      <c r="G211" s="202"/>
      <c r="H211" s="201"/>
      <c r="I211" s="205"/>
    </row>
    <row r="212" spans="1:9" ht="12.95" customHeight="1" x14ac:dyDescent="0.3">
      <c r="A212" s="201"/>
      <c r="B212" s="204"/>
      <c r="D212" s="196"/>
      <c r="E212" s="196" t="s">
        <v>500</v>
      </c>
      <c r="F212" s="202"/>
      <c r="G212" s="196" t="s">
        <v>500</v>
      </c>
      <c r="H212" s="201"/>
      <c r="I212" s="203"/>
    </row>
    <row r="213" spans="1:9" ht="12.95" customHeight="1" x14ac:dyDescent="0.3">
      <c r="A213" s="201"/>
      <c r="B213" s="204"/>
      <c r="D213" s="196"/>
      <c r="E213" s="196"/>
      <c r="F213" s="202"/>
      <c r="G213" s="196"/>
      <c r="H213" s="201"/>
      <c r="I213" s="203"/>
    </row>
    <row r="214" spans="1:9" ht="12.95" customHeight="1" x14ac:dyDescent="0.3">
      <c r="A214" s="201"/>
      <c r="B214" s="201"/>
      <c r="D214" s="196"/>
      <c r="E214" s="196"/>
      <c r="F214" s="202"/>
      <c r="G214" s="196"/>
      <c r="H214" s="201"/>
      <c r="I214" s="206"/>
    </row>
    <row r="215" spans="1:9" s="207" customFormat="1" ht="12.95" customHeight="1" x14ac:dyDescent="0.3">
      <c r="A215" s="201"/>
      <c r="B215" s="201"/>
      <c r="D215" s="196"/>
      <c r="E215" s="196"/>
      <c r="F215" s="202"/>
      <c r="G215" s="196"/>
      <c r="H215" s="201"/>
      <c r="I215" s="203"/>
    </row>
    <row r="216" spans="1:9" ht="15.75" x14ac:dyDescent="0.3">
      <c r="D216" s="196"/>
      <c r="E216" s="196"/>
      <c r="G216" s="196"/>
    </row>
    <row r="217" spans="1:9" ht="15.75" x14ac:dyDescent="0.3">
      <c r="D217" s="196"/>
      <c r="E217" s="196" t="s">
        <v>706</v>
      </c>
      <c r="G217" s="196" t="s">
        <v>706</v>
      </c>
    </row>
    <row r="218" spans="1:9" ht="15.75" x14ac:dyDescent="0.3">
      <c r="D218" s="196"/>
      <c r="E218" s="196" t="s">
        <v>707</v>
      </c>
      <c r="G218" s="196" t="s">
        <v>707</v>
      </c>
    </row>
  </sheetData>
  <mergeCells count="8">
    <mergeCell ref="A1:I1"/>
    <mergeCell ref="A15:A16"/>
    <mergeCell ref="B15:B16"/>
    <mergeCell ref="C15:C16"/>
    <mergeCell ref="D15:D16"/>
    <mergeCell ref="E15:G15"/>
    <mergeCell ref="H15:H16"/>
    <mergeCell ref="I15:I16"/>
  </mergeCells>
  <pageMargins left="0.43307086614173229" right="0.27559055118110237" top="0.47244094488188981" bottom="0.43" header="0.31496062992125984" footer="0.19685039370078741"/>
  <pageSetup paperSize="9" scale="58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434C-F23D-4241-91F0-B451CFCE749C}">
  <sheetPr>
    <tabColor rgb="FFFF0000"/>
    <outlinePr summaryBelow="0"/>
    <pageSetUpPr fitToPage="1"/>
  </sheetPr>
  <dimension ref="A1:M66"/>
  <sheetViews>
    <sheetView showGridLines="0" topLeftCell="A37" zoomScale="85" zoomScaleNormal="85" workbookViewId="0">
      <selection activeCell="K56" sqref="K56"/>
    </sheetView>
  </sheetViews>
  <sheetFormatPr defaultColWidth="9.140625" defaultRowHeight="15" x14ac:dyDescent="0.25"/>
  <cols>
    <col min="1" max="1" width="23.85546875" style="197" customWidth="1"/>
    <col min="2" max="2" width="67.85546875" style="197" customWidth="1"/>
    <col min="3" max="3" width="9.85546875" style="300" customWidth="1"/>
    <col min="4" max="4" width="20.5703125" style="300" customWidth="1"/>
    <col min="5" max="5" width="13.140625" style="197" customWidth="1"/>
    <col min="6" max="6" width="14.85546875" style="300" customWidth="1"/>
    <col min="7" max="7" width="13.140625" style="197" hidden="1" customWidth="1"/>
    <col min="8" max="8" width="9.140625" style="197"/>
    <col min="9" max="9" width="11.5703125" style="197" bestFit="1" customWidth="1"/>
    <col min="10" max="16384" width="9.140625" style="197"/>
  </cols>
  <sheetData>
    <row r="1" spans="1:13" s="198" customFormat="1" x14ac:dyDescent="0.25">
      <c r="A1" s="412" t="s">
        <v>744</v>
      </c>
      <c r="B1" s="412"/>
      <c r="C1" s="412"/>
      <c r="D1" s="412"/>
      <c r="E1" s="412"/>
      <c r="F1" s="412"/>
      <c r="G1" s="412"/>
      <c r="H1" s="412"/>
      <c r="I1" s="412"/>
      <c r="J1" s="197"/>
      <c r="K1" s="197"/>
      <c r="L1" s="197"/>
      <c r="M1" s="197"/>
    </row>
    <row r="3" spans="1:13" s="198" customFormat="1" x14ac:dyDescent="0.25">
      <c r="A3" s="33" t="s">
        <v>480</v>
      </c>
      <c r="B3" s="200" t="s">
        <v>630</v>
      </c>
      <c r="C3" s="300"/>
      <c r="D3" s="300"/>
      <c r="E3" s="197"/>
      <c r="F3" s="296"/>
      <c r="G3" s="197"/>
      <c r="H3" s="197"/>
      <c r="I3" s="197"/>
      <c r="J3" s="197"/>
      <c r="K3" s="197"/>
      <c r="L3" s="197"/>
      <c r="M3" s="197"/>
    </row>
    <row r="4" spans="1:13" s="198" customFormat="1" x14ac:dyDescent="0.25">
      <c r="A4" s="33" t="s">
        <v>481</v>
      </c>
      <c r="B4" s="200" t="s">
        <v>490</v>
      </c>
      <c r="C4" s="300"/>
      <c r="D4" s="300"/>
      <c r="E4" s="197"/>
      <c r="F4" s="296"/>
      <c r="G4" s="197"/>
      <c r="H4" s="197"/>
      <c r="I4" s="197"/>
      <c r="J4" s="197"/>
      <c r="K4" s="197"/>
      <c r="L4" s="197"/>
      <c r="M4" s="197"/>
    </row>
    <row r="5" spans="1:13" s="198" customFormat="1" x14ac:dyDescent="0.25">
      <c r="A5" s="33" t="s">
        <v>482</v>
      </c>
      <c r="B5" s="200" t="s">
        <v>491</v>
      </c>
      <c r="C5" s="300"/>
      <c r="D5" s="300"/>
      <c r="E5" s="197"/>
      <c r="F5" s="296"/>
      <c r="G5" s="197"/>
      <c r="H5" s="197"/>
      <c r="I5" s="197"/>
      <c r="J5" s="197"/>
      <c r="K5" s="197"/>
      <c r="L5" s="197"/>
      <c r="M5" s="197"/>
    </row>
    <row r="6" spans="1:13" s="198" customFormat="1" x14ac:dyDescent="0.25">
      <c r="A6" s="33" t="s">
        <v>483</v>
      </c>
      <c r="B6" s="200" t="s">
        <v>711</v>
      </c>
      <c r="C6" s="300"/>
      <c r="D6" s="300"/>
      <c r="E6" s="197"/>
      <c r="F6" s="296"/>
      <c r="G6" s="197"/>
      <c r="H6" s="197"/>
      <c r="I6" s="197"/>
      <c r="J6" s="197"/>
      <c r="K6" s="197"/>
      <c r="L6" s="197"/>
      <c r="M6" s="197"/>
    </row>
    <row r="7" spans="1:13" s="198" customFormat="1" x14ac:dyDescent="0.25">
      <c r="A7" s="33" t="s">
        <v>484</v>
      </c>
      <c r="B7" s="200" t="s">
        <v>712</v>
      </c>
      <c r="C7" s="300"/>
      <c r="D7" s="300"/>
      <c r="E7" s="197"/>
      <c r="F7" s="296"/>
      <c r="G7" s="197"/>
      <c r="H7" s="197"/>
      <c r="I7" s="197"/>
      <c r="J7" s="197"/>
      <c r="K7" s="197"/>
      <c r="L7" s="197"/>
      <c r="M7" s="197"/>
    </row>
    <row r="8" spans="1:13" s="198" customFormat="1" x14ac:dyDescent="0.25">
      <c r="A8" s="33" t="s">
        <v>485</v>
      </c>
      <c r="B8" s="200" t="s">
        <v>713</v>
      </c>
      <c r="C8" s="300"/>
      <c r="D8" s="300"/>
      <c r="E8" s="197"/>
      <c r="F8" s="296"/>
      <c r="G8" s="197"/>
      <c r="H8" s="197"/>
      <c r="I8" s="197"/>
      <c r="J8" s="197"/>
      <c r="K8" s="197"/>
      <c r="L8" s="197"/>
      <c r="M8" s="197"/>
    </row>
    <row r="9" spans="1:13" s="198" customFormat="1" x14ac:dyDescent="0.25">
      <c r="A9" s="33" t="s">
        <v>745</v>
      </c>
      <c r="B9" s="200" t="s">
        <v>714</v>
      </c>
      <c r="C9" s="300"/>
      <c r="D9" s="300"/>
      <c r="E9" s="197"/>
      <c r="F9" s="296"/>
      <c r="G9" s="197"/>
      <c r="H9" s="197"/>
      <c r="I9" s="197"/>
      <c r="J9" s="197"/>
      <c r="K9" s="197"/>
      <c r="L9" s="197"/>
      <c r="M9" s="197"/>
    </row>
    <row r="10" spans="1:13" s="198" customFormat="1" x14ac:dyDescent="0.25">
      <c r="A10" s="33" t="s">
        <v>747</v>
      </c>
      <c r="B10" s="200" t="s">
        <v>624</v>
      </c>
      <c r="C10" s="300"/>
      <c r="D10" s="300"/>
      <c r="E10" s="197"/>
      <c r="F10" s="296"/>
      <c r="G10" s="197"/>
      <c r="H10" s="197"/>
      <c r="I10" s="197"/>
      <c r="J10" s="197"/>
      <c r="K10" s="197"/>
      <c r="L10" s="197"/>
      <c r="M10" s="197"/>
    </row>
    <row r="11" spans="1:13" s="198" customFormat="1" x14ac:dyDescent="0.25">
      <c r="A11" s="33" t="s">
        <v>748</v>
      </c>
      <c r="B11" s="200" t="s">
        <v>497</v>
      </c>
      <c r="C11" s="300"/>
      <c r="D11" s="300"/>
      <c r="E11" s="197"/>
      <c r="F11" s="296"/>
      <c r="G11" s="197"/>
      <c r="H11" s="197"/>
      <c r="I11" s="197"/>
      <c r="J11" s="197"/>
      <c r="K11" s="197"/>
      <c r="L11" s="197"/>
      <c r="M11" s="197"/>
    </row>
    <row r="12" spans="1:13" s="198" customFormat="1" x14ac:dyDescent="0.25">
      <c r="A12" s="33" t="s">
        <v>488</v>
      </c>
      <c r="B12" s="200" t="s">
        <v>794</v>
      </c>
      <c r="C12" s="300"/>
      <c r="D12" s="300"/>
      <c r="E12" s="197"/>
      <c r="F12" s="296"/>
      <c r="G12" s="197"/>
      <c r="H12" s="197"/>
      <c r="I12" s="197"/>
      <c r="J12" s="197"/>
      <c r="K12" s="197"/>
      <c r="L12" s="197"/>
      <c r="M12" s="197"/>
    </row>
    <row r="15" spans="1:13" s="200" customFormat="1" ht="33" customHeight="1" x14ac:dyDescent="0.25">
      <c r="A15" s="417" t="s">
        <v>749</v>
      </c>
      <c r="B15" s="417" t="s">
        <v>750</v>
      </c>
      <c r="C15" s="419" t="s">
        <v>751</v>
      </c>
      <c r="D15" s="419" t="s">
        <v>752</v>
      </c>
      <c r="E15" s="421" t="s">
        <v>755</v>
      </c>
      <c r="F15" s="422"/>
      <c r="G15" s="423"/>
      <c r="H15" s="419" t="s">
        <v>322</v>
      </c>
      <c r="I15" s="419" t="s">
        <v>743</v>
      </c>
    </row>
    <row r="16" spans="1:13" s="200" customFormat="1" ht="33" customHeight="1" x14ac:dyDescent="0.25">
      <c r="A16" s="418"/>
      <c r="B16" s="418"/>
      <c r="C16" s="420"/>
      <c r="D16" s="420"/>
      <c r="E16" s="288" t="s">
        <v>754</v>
      </c>
      <c r="F16" s="288" t="s">
        <v>780</v>
      </c>
      <c r="G16" s="288" t="s">
        <v>753</v>
      </c>
      <c r="H16" s="420"/>
      <c r="I16" s="420"/>
    </row>
    <row r="17" spans="1:9" s="137" customFormat="1" ht="30" x14ac:dyDescent="0.25">
      <c r="A17" s="154" t="s">
        <v>675</v>
      </c>
      <c r="B17" s="154" t="s">
        <v>55</v>
      </c>
      <c r="C17" s="289">
        <v>125</v>
      </c>
      <c r="D17" s="289"/>
      <c r="E17" s="155"/>
      <c r="F17" s="155"/>
      <c r="G17" s="155"/>
      <c r="H17" s="156"/>
      <c r="I17" s="157">
        <f>I18</f>
        <v>260520000</v>
      </c>
    </row>
    <row r="18" spans="1:9" s="137" customFormat="1" x14ac:dyDescent="0.25">
      <c r="A18" s="158" t="s">
        <v>9</v>
      </c>
      <c r="B18" s="158" t="s">
        <v>57</v>
      </c>
      <c r="C18" s="159" t="s">
        <v>11</v>
      </c>
      <c r="D18" s="302" t="s">
        <v>756</v>
      </c>
      <c r="E18" s="159"/>
      <c r="F18" s="159" t="s">
        <v>11</v>
      </c>
      <c r="G18" s="159"/>
      <c r="H18" s="160"/>
      <c r="I18" s="161">
        <f>I19+I30+I48</f>
        <v>260520000</v>
      </c>
    </row>
    <row r="19" spans="1:9" s="137" customFormat="1" ht="30" x14ac:dyDescent="0.25">
      <c r="A19" s="162" t="s">
        <v>12</v>
      </c>
      <c r="B19" s="162" t="s">
        <v>726</v>
      </c>
      <c r="C19" s="292"/>
      <c r="D19" s="292"/>
      <c r="E19" s="163"/>
      <c r="F19" s="163"/>
      <c r="G19" s="163"/>
      <c r="H19" s="164"/>
      <c r="I19" s="165">
        <f>I20+I24+I27</f>
        <v>92602000</v>
      </c>
    </row>
    <row r="20" spans="1:9" s="137" customFormat="1" x14ac:dyDescent="0.25">
      <c r="A20" s="166" t="s">
        <v>22</v>
      </c>
      <c r="B20" s="166" t="s">
        <v>23</v>
      </c>
      <c r="C20" s="293"/>
      <c r="D20" s="293"/>
      <c r="E20" s="168"/>
      <c r="F20" s="168"/>
      <c r="G20" s="168"/>
      <c r="H20" s="169"/>
      <c r="I20" s="167">
        <f>SUM(I21:I23)</f>
        <v>16022000</v>
      </c>
    </row>
    <row r="21" spans="1:9" s="137" customFormat="1" x14ac:dyDescent="0.25">
      <c r="A21" s="170"/>
      <c r="B21" s="171" t="s">
        <v>763</v>
      </c>
      <c r="C21" s="297"/>
      <c r="D21" s="297"/>
      <c r="E21" s="172" t="s">
        <v>296</v>
      </c>
      <c r="F21" s="172">
        <v>150</v>
      </c>
      <c r="G21" s="172" t="s">
        <v>296</v>
      </c>
      <c r="H21" s="173">
        <v>57000</v>
      </c>
      <c r="I21" s="173">
        <f>F21*H21</f>
        <v>8550000</v>
      </c>
    </row>
    <row r="22" spans="1:9" s="137" customFormat="1" x14ac:dyDescent="0.25">
      <c r="A22" s="170"/>
      <c r="B22" s="171" t="s">
        <v>764</v>
      </c>
      <c r="C22" s="297"/>
      <c r="D22" s="297"/>
      <c r="E22" s="172" t="s">
        <v>296</v>
      </c>
      <c r="F22" s="172">
        <v>300</v>
      </c>
      <c r="G22" s="172" t="s">
        <v>296</v>
      </c>
      <c r="H22" s="173">
        <v>24000</v>
      </c>
      <c r="I22" s="173">
        <f>F22*H22</f>
        <v>7200000</v>
      </c>
    </row>
    <row r="23" spans="1:9" s="137" customFormat="1" x14ac:dyDescent="0.25">
      <c r="A23" s="170"/>
      <c r="B23" s="178" t="s">
        <v>394</v>
      </c>
      <c r="C23" s="297"/>
      <c r="D23" s="297"/>
      <c r="E23" s="172" t="s">
        <v>303</v>
      </c>
      <c r="F23" s="172">
        <v>1</v>
      </c>
      <c r="G23" s="172" t="s">
        <v>303</v>
      </c>
      <c r="H23" s="173">
        <v>272000</v>
      </c>
      <c r="I23" s="173">
        <f>F23*H23</f>
        <v>272000</v>
      </c>
    </row>
    <row r="24" spans="1:9" s="137" customFormat="1" x14ac:dyDescent="0.25">
      <c r="A24" s="166" t="s">
        <v>28</v>
      </c>
      <c r="B24" s="166" t="s">
        <v>29</v>
      </c>
      <c r="C24" s="293"/>
      <c r="D24" s="293"/>
      <c r="E24" s="168"/>
      <c r="F24" s="168"/>
      <c r="G24" s="168"/>
      <c r="H24" s="169"/>
      <c r="I24" s="167">
        <f>SUM(I25:I26)</f>
        <v>49980000</v>
      </c>
    </row>
    <row r="25" spans="1:9" s="137" customFormat="1" x14ac:dyDescent="0.25">
      <c r="A25" s="170"/>
      <c r="B25" s="171" t="s">
        <v>765</v>
      </c>
      <c r="C25" s="297"/>
      <c r="D25" s="297"/>
      <c r="E25" s="172" t="s">
        <v>301</v>
      </c>
      <c r="F25" s="172">
        <v>70</v>
      </c>
      <c r="G25" s="172" t="s">
        <v>301</v>
      </c>
      <c r="H25" s="173">
        <v>430000</v>
      </c>
      <c r="I25" s="173">
        <f>F25*H25</f>
        <v>30100000</v>
      </c>
    </row>
    <row r="26" spans="1:9" s="137" customFormat="1" x14ac:dyDescent="0.25">
      <c r="A26" s="170"/>
      <c r="B26" s="171" t="s">
        <v>766</v>
      </c>
      <c r="C26" s="297"/>
      <c r="D26" s="297"/>
      <c r="E26" s="172" t="s">
        <v>296</v>
      </c>
      <c r="F26" s="172">
        <v>70</v>
      </c>
      <c r="G26" s="172" t="s">
        <v>296</v>
      </c>
      <c r="H26" s="173">
        <v>284000</v>
      </c>
      <c r="I26" s="173">
        <f t="shared" ref="I26" si="0">F26*H26</f>
        <v>19880000</v>
      </c>
    </row>
    <row r="27" spans="1:9" s="137" customFormat="1" x14ac:dyDescent="0.25">
      <c r="A27" s="166" t="s">
        <v>18</v>
      </c>
      <c r="B27" s="166" t="s">
        <v>19</v>
      </c>
      <c r="C27" s="293"/>
      <c r="D27" s="293"/>
      <c r="E27" s="168"/>
      <c r="F27" s="168"/>
      <c r="G27" s="168"/>
      <c r="H27" s="169"/>
      <c r="I27" s="167">
        <f>SUM(I28:I29)</f>
        <v>26600000</v>
      </c>
    </row>
    <row r="28" spans="1:9" s="137" customFormat="1" ht="30" x14ac:dyDescent="0.25">
      <c r="A28" s="170"/>
      <c r="B28" s="171" t="s">
        <v>767</v>
      </c>
      <c r="C28" s="297"/>
      <c r="D28" s="297"/>
      <c r="E28" s="172" t="s">
        <v>301</v>
      </c>
      <c r="F28" s="172">
        <v>70</v>
      </c>
      <c r="G28" s="172" t="s">
        <v>301</v>
      </c>
      <c r="H28" s="173">
        <v>210000</v>
      </c>
      <c r="I28" s="173">
        <f>F28*H28</f>
        <v>14700000</v>
      </c>
    </row>
    <row r="29" spans="1:9" s="137" customFormat="1" ht="30" x14ac:dyDescent="0.25">
      <c r="A29" s="170"/>
      <c r="B29" s="171" t="s">
        <v>768</v>
      </c>
      <c r="C29" s="297"/>
      <c r="D29" s="297"/>
      <c r="E29" s="172" t="s">
        <v>296</v>
      </c>
      <c r="F29" s="172">
        <v>70</v>
      </c>
      <c r="G29" s="172" t="s">
        <v>296</v>
      </c>
      <c r="H29" s="173">
        <v>170000</v>
      </c>
      <c r="I29" s="173">
        <f>F29*H29</f>
        <v>11900000</v>
      </c>
    </row>
    <row r="30" spans="1:9" s="137" customFormat="1" x14ac:dyDescent="0.25">
      <c r="A30" s="162" t="s">
        <v>26</v>
      </c>
      <c r="B30" s="162" t="s">
        <v>60</v>
      </c>
      <c r="C30" s="292"/>
      <c r="D30" s="292"/>
      <c r="E30" s="163"/>
      <c r="F30" s="163"/>
      <c r="G30" s="163"/>
      <c r="H30" s="164"/>
      <c r="I30" s="165">
        <f>I31+I37+I42+I45</f>
        <v>79298000</v>
      </c>
    </row>
    <row r="31" spans="1:9" s="137" customFormat="1" x14ac:dyDescent="0.25">
      <c r="A31" s="166" t="s">
        <v>22</v>
      </c>
      <c r="B31" s="166" t="s">
        <v>23</v>
      </c>
      <c r="C31" s="293"/>
      <c r="D31" s="293"/>
      <c r="E31" s="168"/>
      <c r="F31" s="168"/>
      <c r="G31" s="168"/>
      <c r="H31" s="169"/>
      <c r="I31" s="167">
        <f>SUM(I32:I36)</f>
        <v>8248000</v>
      </c>
    </row>
    <row r="32" spans="1:9" s="137" customFormat="1" x14ac:dyDescent="0.25">
      <c r="A32" s="170"/>
      <c r="B32" s="171" t="s">
        <v>559</v>
      </c>
      <c r="C32" s="297"/>
      <c r="D32" s="297"/>
      <c r="E32" s="172" t="s">
        <v>296</v>
      </c>
      <c r="F32" s="172">
        <v>100</v>
      </c>
      <c r="G32" s="172" t="s">
        <v>296</v>
      </c>
      <c r="H32" s="173">
        <v>57000</v>
      </c>
      <c r="I32" s="173">
        <f>F32*H32</f>
        <v>5700000</v>
      </c>
    </row>
    <row r="33" spans="1:9" s="137" customFormat="1" x14ac:dyDescent="0.25">
      <c r="A33" s="170"/>
      <c r="B33" s="171" t="s">
        <v>560</v>
      </c>
      <c r="C33" s="297"/>
      <c r="D33" s="297"/>
      <c r="E33" s="172" t="s">
        <v>296</v>
      </c>
      <c r="F33" s="172">
        <v>100</v>
      </c>
      <c r="G33" s="172" t="s">
        <v>296</v>
      </c>
      <c r="H33" s="173">
        <v>24000</v>
      </c>
      <c r="I33" s="173">
        <f>F33*H33</f>
        <v>2400000</v>
      </c>
    </row>
    <row r="34" spans="1:9" s="137" customFormat="1" x14ac:dyDescent="0.25">
      <c r="A34" s="170"/>
      <c r="B34" s="178" t="s">
        <v>569</v>
      </c>
      <c r="C34" s="297"/>
      <c r="D34" s="297"/>
      <c r="E34" s="172" t="s">
        <v>303</v>
      </c>
      <c r="F34" s="172">
        <v>1</v>
      </c>
      <c r="G34" s="172" t="s">
        <v>303</v>
      </c>
      <c r="H34" s="173">
        <f>358000-210000</f>
        <v>148000</v>
      </c>
      <c r="I34" s="173">
        <f>F34*H34</f>
        <v>148000</v>
      </c>
    </row>
    <row r="35" spans="1:9" s="137" customFormat="1" x14ac:dyDescent="0.25">
      <c r="A35" s="170"/>
      <c r="B35" s="178" t="s">
        <v>568</v>
      </c>
      <c r="C35" s="297"/>
      <c r="D35" s="297"/>
      <c r="E35" s="172" t="s">
        <v>298</v>
      </c>
      <c r="F35" s="172">
        <v>0</v>
      </c>
      <c r="G35" s="172" t="s">
        <v>298</v>
      </c>
      <c r="H35" s="173">
        <v>0</v>
      </c>
      <c r="I35" s="173">
        <f t="shared" ref="I35:I36" si="1">F35*H35</f>
        <v>0</v>
      </c>
    </row>
    <row r="36" spans="1:9" s="137" customFormat="1" x14ac:dyDescent="0.25">
      <c r="A36" s="170"/>
      <c r="B36" s="178" t="s">
        <v>777</v>
      </c>
      <c r="C36" s="297"/>
      <c r="D36" s="297"/>
      <c r="E36" s="172" t="s">
        <v>298</v>
      </c>
      <c r="F36" s="172">
        <v>0</v>
      </c>
      <c r="G36" s="172" t="s">
        <v>298</v>
      </c>
      <c r="H36" s="173">
        <v>0</v>
      </c>
      <c r="I36" s="173">
        <f t="shared" si="1"/>
        <v>0</v>
      </c>
    </row>
    <row r="37" spans="1:9" s="137" customFormat="1" x14ac:dyDescent="0.25">
      <c r="A37" s="166" t="s">
        <v>14</v>
      </c>
      <c r="B37" s="166" t="s">
        <v>15</v>
      </c>
      <c r="C37" s="293"/>
      <c r="D37" s="293"/>
      <c r="E37" s="168"/>
      <c r="F37" s="168"/>
      <c r="G37" s="168"/>
      <c r="H37" s="169"/>
      <c r="I37" s="167">
        <f>SUM(I38:I41)</f>
        <v>13850000</v>
      </c>
    </row>
    <row r="38" spans="1:9" s="137" customFormat="1" ht="30" x14ac:dyDescent="0.25">
      <c r="A38" s="170"/>
      <c r="B38" s="176" t="s">
        <v>360</v>
      </c>
      <c r="C38" s="297"/>
      <c r="D38" s="297"/>
      <c r="E38" s="172" t="s">
        <v>296</v>
      </c>
      <c r="F38" s="172">
        <v>1</v>
      </c>
      <c r="G38" s="172" t="s">
        <v>296</v>
      </c>
      <c r="H38" s="173">
        <v>450000</v>
      </c>
      <c r="I38" s="173">
        <f>F38*H38</f>
        <v>450000</v>
      </c>
    </row>
    <row r="39" spans="1:9" s="137" customFormat="1" ht="30" x14ac:dyDescent="0.25">
      <c r="A39" s="170"/>
      <c r="B39" s="176" t="s">
        <v>361</v>
      </c>
      <c r="C39" s="297"/>
      <c r="D39" s="297"/>
      <c r="E39" s="172" t="s">
        <v>296</v>
      </c>
      <c r="F39" s="172">
        <v>2</v>
      </c>
      <c r="G39" s="172" t="s">
        <v>296</v>
      </c>
      <c r="H39" s="173">
        <v>400000</v>
      </c>
      <c r="I39" s="173">
        <f t="shared" ref="I39:I41" si="2">F39*H39</f>
        <v>800000</v>
      </c>
    </row>
    <row r="40" spans="1:9" s="137" customFormat="1" ht="30" x14ac:dyDescent="0.25">
      <c r="A40" s="170"/>
      <c r="B40" s="176" t="s">
        <v>362</v>
      </c>
      <c r="C40" s="297"/>
      <c r="D40" s="297"/>
      <c r="E40" s="172" t="s">
        <v>296</v>
      </c>
      <c r="F40" s="172">
        <v>1</v>
      </c>
      <c r="G40" s="172" t="s">
        <v>296</v>
      </c>
      <c r="H40" s="173">
        <v>300000</v>
      </c>
      <c r="I40" s="173">
        <f t="shared" si="2"/>
        <v>300000</v>
      </c>
    </row>
    <row r="41" spans="1:9" s="137" customFormat="1" ht="30" x14ac:dyDescent="0.25">
      <c r="A41" s="170"/>
      <c r="B41" s="176" t="s">
        <v>363</v>
      </c>
      <c r="C41" s="297"/>
      <c r="D41" s="297"/>
      <c r="E41" s="172" t="s">
        <v>296</v>
      </c>
      <c r="F41" s="172">
        <v>41</v>
      </c>
      <c r="G41" s="172" t="s">
        <v>296</v>
      </c>
      <c r="H41" s="173">
        <v>300000</v>
      </c>
      <c r="I41" s="173">
        <f t="shared" si="2"/>
        <v>12300000</v>
      </c>
    </row>
    <row r="42" spans="1:9" s="137" customFormat="1" x14ac:dyDescent="0.25">
      <c r="A42" s="166" t="s">
        <v>16</v>
      </c>
      <c r="B42" s="166" t="s">
        <v>17</v>
      </c>
      <c r="C42" s="293"/>
      <c r="D42" s="293"/>
      <c r="E42" s="168"/>
      <c r="F42" s="168"/>
      <c r="G42" s="168"/>
      <c r="H42" s="169"/>
      <c r="I42" s="167">
        <f>SUM(I43:I44)</f>
        <v>7400000</v>
      </c>
    </row>
    <row r="43" spans="1:9" s="137" customFormat="1" x14ac:dyDescent="0.25">
      <c r="A43" s="170"/>
      <c r="B43" s="171" t="s">
        <v>778</v>
      </c>
      <c r="C43" s="297"/>
      <c r="D43" s="297"/>
      <c r="E43" s="172" t="s">
        <v>297</v>
      </c>
      <c r="F43" s="172">
        <v>6</v>
      </c>
      <c r="G43" s="172" t="s">
        <v>297</v>
      </c>
      <c r="H43" s="173">
        <v>1000000</v>
      </c>
      <c r="I43" s="173">
        <f>F43*H43</f>
        <v>6000000</v>
      </c>
    </row>
    <row r="44" spans="1:9" s="137" customFormat="1" x14ac:dyDescent="0.25">
      <c r="A44" s="170"/>
      <c r="B44" s="171" t="s">
        <v>389</v>
      </c>
      <c r="C44" s="297"/>
      <c r="D44" s="297"/>
      <c r="E44" s="172" t="s">
        <v>347</v>
      </c>
      <c r="F44" s="172">
        <v>2</v>
      </c>
      <c r="G44" s="172" t="s">
        <v>347</v>
      </c>
      <c r="H44" s="173">
        <v>700000</v>
      </c>
      <c r="I44" s="173">
        <f t="shared" ref="I44" si="3">F44*H44</f>
        <v>1400000</v>
      </c>
    </row>
    <row r="45" spans="1:9" s="137" customFormat="1" x14ac:dyDescent="0.25">
      <c r="A45" s="166" t="s">
        <v>18</v>
      </c>
      <c r="B45" s="166" t="s">
        <v>19</v>
      </c>
      <c r="C45" s="293"/>
      <c r="D45" s="293"/>
      <c r="E45" s="168"/>
      <c r="F45" s="168"/>
      <c r="G45" s="168"/>
      <c r="H45" s="169"/>
      <c r="I45" s="167">
        <f>SUM(I46:I47)</f>
        <v>49800000</v>
      </c>
    </row>
    <row r="46" spans="1:9" s="137" customFormat="1" ht="30" x14ac:dyDescent="0.25">
      <c r="A46" s="170"/>
      <c r="B46" s="171" t="s">
        <v>703</v>
      </c>
      <c r="C46" s="297"/>
      <c r="D46" s="297"/>
      <c r="E46" s="172" t="s">
        <v>301</v>
      </c>
      <c r="F46" s="172">
        <v>140</v>
      </c>
      <c r="G46" s="172" t="s">
        <v>301</v>
      </c>
      <c r="H46" s="173">
        <v>210000</v>
      </c>
      <c r="I46" s="173">
        <f>F46*H46</f>
        <v>29400000</v>
      </c>
    </row>
    <row r="47" spans="1:9" s="137" customFormat="1" ht="30" x14ac:dyDescent="0.25">
      <c r="A47" s="170"/>
      <c r="B47" s="171" t="s">
        <v>571</v>
      </c>
      <c r="C47" s="297"/>
      <c r="D47" s="297"/>
      <c r="E47" s="172" t="s">
        <v>296</v>
      </c>
      <c r="F47" s="172">
        <v>120</v>
      </c>
      <c r="G47" s="172" t="s">
        <v>296</v>
      </c>
      <c r="H47" s="173">
        <v>170000</v>
      </c>
      <c r="I47" s="173">
        <f>F47*H47</f>
        <v>20400000</v>
      </c>
    </row>
    <row r="48" spans="1:9" s="137" customFormat="1" x14ac:dyDescent="0.25">
      <c r="A48" s="162" t="s">
        <v>32</v>
      </c>
      <c r="B48" s="162" t="s">
        <v>64</v>
      </c>
      <c r="C48" s="292"/>
      <c r="D48" s="292"/>
      <c r="E48" s="163"/>
      <c r="F48" s="163"/>
      <c r="G48" s="163"/>
      <c r="H48" s="164"/>
      <c r="I48" s="165">
        <f>I49+I53+I56</f>
        <v>88620000</v>
      </c>
    </row>
    <row r="49" spans="1:9" s="137" customFormat="1" x14ac:dyDescent="0.25">
      <c r="A49" s="166" t="s">
        <v>22</v>
      </c>
      <c r="B49" s="166" t="s">
        <v>23</v>
      </c>
      <c r="C49" s="293"/>
      <c r="D49" s="293"/>
      <c r="E49" s="168"/>
      <c r="F49" s="168"/>
      <c r="G49" s="168"/>
      <c r="H49" s="169"/>
      <c r="I49" s="167">
        <f>SUM(I50:I52)</f>
        <v>22980000</v>
      </c>
    </row>
    <row r="50" spans="1:9" s="137" customFormat="1" x14ac:dyDescent="0.25">
      <c r="A50" s="170"/>
      <c r="B50" s="171" t="s">
        <v>727</v>
      </c>
      <c r="C50" s="297"/>
      <c r="D50" s="297"/>
      <c r="E50" s="172" t="s">
        <v>296</v>
      </c>
      <c r="F50" s="172">
        <v>280</v>
      </c>
      <c r="G50" s="172" t="s">
        <v>296</v>
      </c>
      <c r="H50" s="173">
        <v>57000</v>
      </c>
      <c r="I50" s="173">
        <f>F50*H50</f>
        <v>15960000</v>
      </c>
    </row>
    <row r="51" spans="1:9" s="137" customFormat="1" x14ac:dyDescent="0.25">
      <c r="A51" s="170"/>
      <c r="B51" s="171" t="s">
        <v>728</v>
      </c>
      <c r="C51" s="297"/>
      <c r="D51" s="297"/>
      <c r="E51" s="172" t="s">
        <v>296</v>
      </c>
      <c r="F51" s="172">
        <v>280</v>
      </c>
      <c r="G51" s="172" t="s">
        <v>296</v>
      </c>
      <c r="H51" s="173">
        <v>24000</v>
      </c>
      <c r="I51" s="173">
        <f>F51*H51</f>
        <v>6720000</v>
      </c>
    </row>
    <row r="52" spans="1:9" s="137" customFormat="1" x14ac:dyDescent="0.25">
      <c r="A52" s="170"/>
      <c r="B52" s="178" t="s">
        <v>394</v>
      </c>
      <c r="C52" s="297"/>
      <c r="D52" s="297"/>
      <c r="E52" s="172" t="s">
        <v>303</v>
      </c>
      <c r="F52" s="172">
        <v>1</v>
      </c>
      <c r="G52" s="172" t="s">
        <v>303</v>
      </c>
      <c r="H52" s="173">
        <v>300000</v>
      </c>
      <c r="I52" s="173">
        <f>F52*H52</f>
        <v>300000</v>
      </c>
    </row>
    <row r="53" spans="1:9" s="137" customFormat="1" x14ac:dyDescent="0.25">
      <c r="A53" s="166" t="s">
        <v>28</v>
      </c>
      <c r="B53" s="166" t="s">
        <v>29</v>
      </c>
      <c r="C53" s="293"/>
      <c r="D53" s="293"/>
      <c r="E53" s="168"/>
      <c r="F53" s="168"/>
      <c r="G53" s="168"/>
      <c r="H53" s="169"/>
      <c r="I53" s="167">
        <f>SUM(I54:I55)</f>
        <v>42840000</v>
      </c>
    </row>
    <row r="54" spans="1:9" s="137" customFormat="1" x14ac:dyDescent="0.25">
      <c r="A54" s="170"/>
      <c r="B54" s="171" t="s">
        <v>704</v>
      </c>
      <c r="C54" s="297"/>
      <c r="D54" s="297"/>
      <c r="E54" s="172" t="s">
        <v>301</v>
      </c>
      <c r="F54" s="172">
        <v>60</v>
      </c>
      <c r="G54" s="172" t="s">
        <v>301</v>
      </c>
      <c r="H54" s="173">
        <v>430000</v>
      </c>
      <c r="I54" s="173">
        <f>F54*H54</f>
        <v>25800000</v>
      </c>
    </row>
    <row r="55" spans="1:9" s="137" customFormat="1" x14ac:dyDescent="0.25">
      <c r="A55" s="170"/>
      <c r="B55" s="171" t="s">
        <v>556</v>
      </c>
      <c r="C55" s="297"/>
      <c r="D55" s="297"/>
      <c r="E55" s="172" t="s">
        <v>296</v>
      </c>
      <c r="F55" s="172">
        <v>60</v>
      </c>
      <c r="G55" s="172" t="s">
        <v>296</v>
      </c>
      <c r="H55" s="173">
        <v>284000</v>
      </c>
      <c r="I55" s="173">
        <f t="shared" ref="I55" si="4">F55*H55</f>
        <v>17040000</v>
      </c>
    </row>
    <row r="56" spans="1:9" s="137" customFormat="1" x14ac:dyDescent="0.25">
      <c r="A56" s="166" t="s">
        <v>18</v>
      </c>
      <c r="B56" s="166" t="s">
        <v>19</v>
      </c>
      <c r="C56" s="293"/>
      <c r="D56" s="293"/>
      <c r="E56" s="168"/>
      <c r="F56" s="168"/>
      <c r="G56" s="168"/>
      <c r="H56" s="169"/>
      <c r="I56" s="167">
        <f>SUM(I57:I58)</f>
        <v>22800000</v>
      </c>
    </row>
    <row r="57" spans="1:9" s="137" customFormat="1" ht="30" x14ac:dyDescent="0.25">
      <c r="A57" s="170"/>
      <c r="B57" s="171" t="s">
        <v>409</v>
      </c>
      <c r="C57" s="297"/>
      <c r="D57" s="297"/>
      <c r="E57" s="172" t="s">
        <v>301</v>
      </c>
      <c r="F57" s="172">
        <v>60</v>
      </c>
      <c r="G57" s="172" t="s">
        <v>301</v>
      </c>
      <c r="H57" s="173">
        <v>210000</v>
      </c>
      <c r="I57" s="173">
        <f>F57*H57</f>
        <v>12600000</v>
      </c>
    </row>
    <row r="58" spans="1:9" s="137" customFormat="1" ht="30" x14ac:dyDescent="0.25">
      <c r="A58" s="225"/>
      <c r="B58" s="232" t="s">
        <v>410</v>
      </c>
      <c r="C58" s="298"/>
      <c r="D58" s="298"/>
      <c r="E58" s="226" t="s">
        <v>296</v>
      </c>
      <c r="F58" s="226">
        <v>60</v>
      </c>
      <c r="G58" s="226" t="s">
        <v>296</v>
      </c>
      <c r="H58" s="227">
        <v>170000</v>
      </c>
      <c r="I58" s="227">
        <f>F58*H58</f>
        <v>10200000</v>
      </c>
    </row>
    <row r="59" spans="1:9" ht="12.95" customHeight="1" x14ac:dyDescent="0.25">
      <c r="A59" s="201"/>
      <c r="B59" s="204"/>
      <c r="C59" s="299"/>
      <c r="D59" s="299"/>
      <c r="E59" s="205"/>
      <c r="F59" s="299"/>
      <c r="G59" s="205"/>
    </row>
    <row r="60" spans="1:9" ht="12.95" customHeight="1" x14ac:dyDescent="0.25">
      <c r="A60" s="201"/>
      <c r="B60" s="204"/>
      <c r="D60" s="299"/>
      <c r="E60" s="322" t="s">
        <v>500</v>
      </c>
      <c r="F60" s="299"/>
      <c r="G60" s="322" t="s">
        <v>500</v>
      </c>
    </row>
    <row r="61" spans="1:9" ht="12.95" customHeight="1" x14ac:dyDescent="0.25">
      <c r="A61" s="201"/>
      <c r="B61" s="204"/>
      <c r="D61" s="299"/>
      <c r="E61" s="301"/>
      <c r="F61" s="299"/>
      <c r="G61" s="301"/>
    </row>
    <row r="62" spans="1:9" ht="12.95" customHeight="1" x14ac:dyDescent="0.25">
      <c r="A62" s="201"/>
      <c r="B62" s="201"/>
      <c r="D62" s="299"/>
      <c r="E62" s="301"/>
      <c r="F62" s="299"/>
      <c r="G62" s="301"/>
    </row>
    <row r="63" spans="1:9" s="207" customFormat="1" ht="12.95" customHeight="1" x14ac:dyDescent="0.25">
      <c r="A63" s="201"/>
      <c r="B63" s="201"/>
      <c r="D63" s="299"/>
      <c r="E63" s="301"/>
      <c r="F63" s="299"/>
      <c r="G63" s="301"/>
    </row>
    <row r="64" spans="1:9" x14ac:dyDescent="0.25">
      <c r="E64" s="301"/>
      <c r="G64" s="301"/>
    </row>
    <row r="65" spans="5:7" x14ac:dyDescent="0.25">
      <c r="E65" s="322" t="s">
        <v>706</v>
      </c>
      <c r="G65" s="322" t="s">
        <v>706</v>
      </c>
    </row>
    <row r="66" spans="5:7" x14ac:dyDescent="0.25">
      <c r="E66" s="322" t="s">
        <v>707</v>
      </c>
      <c r="G66" s="322" t="s">
        <v>707</v>
      </c>
    </row>
  </sheetData>
  <autoFilter ref="A16:B58" xr:uid="{3672E4ED-D1AC-4CAC-ABB6-F68B3F342D3D}"/>
  <mergeCells count="8">
    <mergeCell ref="A1:I1"/>
    <mergeCell ref="I15:I16"/>
    <mergeCell ref="A15:A16"/>
    <mergeCell ref="C15:C16"/>
    <mergeCell ref="D15:D16"/>
    <mergeCell ref="B15:B16"/>
    <mergeCell ref="H15:H16"/>
    <mergeCell ref="E15:G15"/>
  </mergeCells>
  <pageMargins left="0.43307086614173229" right="0.19685039370078741" top="0.27559055118110237" bottom="0.55118110236220474" header="0" footer="0"/>
  <pageSetup paperSize="9" scale="56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2373-F28B-4657-8A1E-8DD98DCFA446}">
  <sheetPr>
    <tabColor rgb="FF92D050"/>
    <outlinePr summaryBelow="0"/>
    <pageSetUpPr fitToPage="1"/>
  </sheetPr>
  <dimension ref="A1:L66"/>
  <sheetViews>
    <sheetView showGridLines="0" zoomScaleNormal="100" workbookViewId="0">
      <selection activeCell="K9" sqref="K9"/>
    </sheetView>
  </sheetViews>
  <sheetFormatPr defaultColWidth="9.140625" defaultRowHeight="15" x14ac:dyDescent="0.25"/>
  <cols>
    <col min="1" max="1" width="22.140625" style="199" customWidth="1"/>
    <col min="2" max="2" width="62.140625" style="197" bestFit="1" customWidth="1"/>
    <col min="3" max="3" width="9.85546875" style="199" customWidth="1"/>
    <col min="4" max="4" width="17.42578125" style="199" customWidth="1"/>
    <col min="5" max="6" width="5.85546875" style="197" bestFit="1" customWidth="1"/>
    <col min="7" max="7" width="9.140625" style="197"/>
    <col min="8" max="8" width="15.28515625" style="197" bestFit="1" customWidth="1"/>
    <col min="9" max="16384" width="9.140625" style="197"/>
  </cols>
  <sheetData>
    <row r="1" spans="1:12" s="198" customFormat="1" x14ac:dyDescent="0.25">
      <c r="A1" s="412" t="s">
        <v>744</v>
      </c>
      <c r="B1" s="412"/>
      <c r="C1" s="412"/>
      <c r="D1" s="412"/>
      <c r="E1" s="412"/>
      <c r="F1" s="412"/>
      <c r="G1" s="412"/>
      <c r="H1" s="412"/>
      <c r="I1" s="197"/>
      <c r="J1" s="197"/>
      <c r="K1" s="197"/>
      <c r="L1" s="197"/>
    </row>
    <row r="3" spans="1:12" s="198" customFormat="1" x14ac:dyDescent="0.25">
      <c r="A3" s="304" t="s">
        <v>480</v>
      </c>
      <c r="B3" s="200" t="s">
        <v>630</v>
      </c>
      <c r="C3" s="199"/>
      <c r="D3" s="199"/>
      <c r="E3" s="197"/>
      <c r="F3" s="197"/>
      <c r="G3" s="197"/>
      <c r="H3" s="197"/>
      <c r="I3" s="197"/>
      <c r="J3" s="197"/>
      <c r="K3" s="197"/>
      <c r="L3" s="197"/>
    </row>
    <row r="4" spans="1:12" s="198" customFormat="1" x14ac:dyDescent="0.25">
      <c r="A4" s="304" t="s">
        <v>481</v>
      </c>
      <c r="B4" s="200" t="s">
        <v>490</v>
      </c>
      <c r="C4" s="199"/>
      <c r="D4" s="199"/>
      <c r="E4" s="197"/>
      <c r="F4" s="197"/>
      <c r="G4" s="197"/>
      <c r="H4" s="197"/>
      <c r="I4" s="197"/>
      <c r="J4" s="197"/>
      <c r="K4" s="197"/>
      <c r="L4" s="197"/>
    </row>
    <row r="5" spans="1:12" s="198" customFormat="1" x14ac:dyDescent="0.25">
      <c r="A5" s="304" t="s">
        <v>482</v>
      </c>
      <c r="B5" s="200" t="s">
        <v>491</v>
      </c>
      <c r="C5" s="199"/>
      <c r="D5" s="199"/>
      <c r="E5" s="197"/>
      <c r="F5" s="197"/>
      <c r="G5" s="197"/>
      <c r="H5" s="197"/>
      <c r="I5" s="197"/>
      <c r="J5" s="197"/>
      <c r="K5" s="197"/>
      <c r="L5" s="197"/>
    </row>
    <row r="6" spans="1:12" s="198" customFormat="1" x14ac:dyDescent="0.25">
      <c r="A6" s="304" t="s">
        <v>483</v>
      </c>
      <c r="B6" s="200" t="s">
        <v>503</v>
      </c>
      <c r="C6" s="199"/>
      <c r="D6" s="199"/>
      <c r="E6" s="197"/>
      <c r="F6" s="197"/>
      <c r="G6" s="197"/>
      <c r="H6" s="197"/>
      <c r="I6" s="197"/>
      <c r="J6" s="197"/>
      <c r="K6" s="197"/>
      <c r="L6" s="197"/>
    </row>
    <row r="7" spans="1:12" s="198" customFormat="1" x14ac:dyDescent="0.25">
      <c r="A7" s="304" t="s">
        <v>484</v>
      </c>
      <c r="B7" s="200" t="s">
        <v>504</v>
      </c>
      <c r="C7" s="199"/>
      <c r="D7" s="199"/>
      <c r="E7" s="197"/>
      <c r="F7" s="197"/>
      <c r="G7" s="197"/>
      <c r="H7" s="197"/>
      <c r="I7" s="197"/>
      <c r="J7" s="197"/>
      <c r="K7" s="197"/>
      <c r="L7" s="197"/>
    </row>
    <row r="8" spans="1:12" s="198" customFormat="1" x14ac:dyDescent="0.25">
      <c r="A8" s="304" t="s">
        <v>485</v>
      </c>
      <c r="B8" s="200" t="s">
        <v>503</v>
      </c>
      <c r="C8" s="199"/>
      <c r="D8" s="199"/>
      <c r="E8" s="197"/>
      <c r="F8" s="197"/>
      <c r="G8" s="197"/>
      <c r="H8" s="197"/>
      <c r="I8" s="197"/>
      <c r="J8" s="197"/>
      <c r="K8" s="197"/>
      <c r="L8" s="197"/>
    </row>
    <row r="9" spans="1:12" s="198" customFormat="1" x14ac:dyDescent="0.25">
      <c r="A9" s="304" t="s">
        <v>745</v>
      </c>
      <c r="B9" s="200" t="s">
        <v>757</v>
      </c>
      <c r="C9" s="199"/>
      <c r="D9" s="199"/>
      <c r="E9" s="197"/>
      <c r="F9" s="197"/>
      <c r="G9" s="197"/>
      <c r="H9" s="197"/>
      <c r="I9" s="197"/>
      <c r="J9" s="197"/>
      <c r="K9" s="197"/>
      <c r="L9" s="197"/>
    </row>
    <row r="10" spans="1:12" s="198" customFormat="1" x14ac:dyDescent="0.25">
      <c r="A10" s="304" t="s">
        <v>747</v>
      </c>
      <c r="B10" s="200" t="s">
        <v>709</v>
      </c>
      <c r="C10" s="199"/>
      <c r="D10" s="199"/>
      <c r="E10" s="197"/>
      <c r="F10" s="197"/>
      <c r="G10" s="197"/>
      <c r="H10" s="197"/>
      <c r="I10" s="197"/>
      <c r="J10" s="197"/>
      <c r="K10" s="197"/>
      <c r="L10" s="197"/>
    </row>
    <row r="11" spans="1:12" s="198" customFormat="1" x14ac:dyDescent="0.25">
      <c r="A11" s="304" t="s">
        <v>748</v>
      </c>
      <c r="B11" s="200" t="s">
        <v>505</v>
      </c>
      <c r="C11" s="199"/>
      <c r="D11" s="199"/>
      <c r="E11" s="197"/>
      <c r="F11" s="197"/>
      <c r="G11" s="197"/>
      <c r="H11" s="197"/>
      <c r="I11" s="197"/>
      <c r="J11" s="197"/>
      <c r="K11" s="197"/>
      <c r="L11" s="197"/>
    </row>
    <row r="12" spans="1:12" s="198" customFormat="1" x14ac:dyDescent="0.25">
      <c r="A12" s="304" t="s">
        <v>488</v>
      </c>
      <c r="B12" s="200" t="s">
        <v>710</v>
      </c>
      <c r="C12" s="199"/>
      <c r="D12" s="199"/>
      <c r="E12" s="197"/>
      <c r="F12" s="197"/>
      <c r="G12" s="197"/>
      <c r="H12" s="197"/>
      <c r="I12" s="197"/>
      <c r="J12" s="197"/>
      <c r="K12" s="197"/>
      <c r="L12" s="197"/>
    </row>
    <row r="15" spans="1:12" s="200" customFormat="1" ht="33" customHeight="1" x14ac:dyDescent="0.25">
      <c r="A15" s="417" t="s">
        <v>749</v>
      </c>
      <c r="B15" s="417" t="s">
        <v>750</v>
      </c>
      <c r="C15" s="419" t="s">
        <v>751</v>
      </c>
      <c r="D15" s="419" t="s">
        <v>752</v>
      </c>
      <c r="E15" s="424" t="s">
        <v>755</v>
      </c>
      <c r="F15" s="425"/>
      <c r="G15" s="419" t="s">
        <v>322</v>
      </c>
      <c r="H15" s="419" t="s">
        <v>743</v>
      </c>
    </row>
    <row r="16" spans="1:12" s="200" customFormat="1" x14ac:dyDescent="0.25">
      <c r="A16" s="418"/>
      <c r="B16" s="418"/>
      <c r="C16" s="420"/>
      <c r="D16" s="420"/>
      <c r="E16" s="288" t="s">
        <v>754</v>
      </c>
      <c r="F16" s="288" t="s">
        <v>753</v>
      </c>
      <c r="G16" s="420"/>
      <c r="H16" s="420"/>
    </row>
    <row r="17" spans="1:8" s="137" customFormat="1" ht="30" x14ac:dyDescent="0.25">
      <c r="A17" s="289" t="s">
        <v>662</v>
      </c>
      <c r="B17" s="277" t="s">
        <v>70</v>
      </c>
      <c r="C17" s="305">
        <v>10543</v>
      </c>
      <c r="D17" s="278"/>
      <c r="E17" s="305" t="s">
        <v>306</v>
      </c>
      <c r="F17" s="278"/>
      <c r="G17" s="279"/>
      <c r="H17" s="280">
        <f t="shared" ref="H17:H19" si="0">H18</f>
        <v>407858073000</v>
      </c>
    </row>
    <row r="18" spans="1:8" s="137" customFormat="1" x14ac:dyDescent="0.25">
      <c r="A18" s="159" t="s">
        <v>71</v>
      </c>
      <c r="B18" s="158" t="s">
        <v>72</v>
      </c>
      <c r="C18" s="159" t="s">
        <v>11</v>
      </c>
      <c r="D18" s="302" t="s">
        <v>756</v>
      </c>
      <c r="E18" s="159"/>
      <c r="F18" s="159"/>
      <c r="G18" s="160"/>
      <c r="H18" s="161">
        <f t="shared" si="0"/>
        <v>407858073000</v>
      </c>
    </row>
    <row r="19" spans="1:8" s="137" customFormat="1" x14ac:dyDescent="0.25">
      <c r="A19" s="292" t="s">
        <v>12</v>
      </c>
      <c r="B19" s="162" t="s">
        <v>73</v>
      </c>
      <c r="C19" s="163"/>
      <c r="D19" s="163"/>
      <c r="E19" s="163"/>
      <c r="F19" s="163"/>
      <c r="G19" s="164"/>
      <c r="H19" s="165">
        <f t="shared" si="0"/>
        <v>407858073000</v>
      </c>
    </row>
    <row r="20" spans="1:8" s="137" customFormat="1" x14ac:dyDescent="0.25">
      <c r="A20" s="293" t="s">
        <v>74</v>
      </c>
      <c r="B20" s="166" t="s">
        <v>75</v>
      </c>
      <c r="C20" s="168"/>
      <c r="D20" s="168"/>
      <c r="E20" s="168"/>
      <c r="F20" s="168"/>
      <c r="G20" s="169"/>
      <c r="H20" s="167">
        <f>SUM(H21:H57)</f>
        <v>407858073000</v>
      </c>
    </row>
    <row r="21" spans="1:8" s="137" customFormat="1" x14ac:dyDescent="0.25">
      <c r="A21" s="294"/>
      <c r="B21" s="171" t="s">
        <v>573</v>
      </c>
      <c r="C21" s="172"/>
      <c r="D21" s="172"/>
      <c r="E21" s="172" t="s">
        <v>299</v>
      </c>
      <c r="F21" s="172">
        <v>4200</v>
      </c>
      <c r="G21" s="173">
        <v>3200000</v>
      </c>
      <c r="H21" s="173">
        <f t="shared" ref="H21:H57" si="1">F21*G21</f>
        <v>13440000000</v>
      </c>
    </row>
    <row r="22" spans="1:8" s="137" customFormat="1" x14ac:dyDescent="0.25">
      <c r="A22" s="294"/>
      <c r="B22" s="177" t="s">
        <v>174</v>
      </c>
      <c r="C22" s="172"/>
      <c r="D22" s="172"/>
      <c r="E22" s="172" t="s">
        <v>299</v>
      </c>
      <c r="F22" s="172">
        <v>4488</v>
      </c>
      <c r="G22" s="173">
        <v>3200000</v>
      </c>
      <c r="H22" s="173">
        <f t="shared" si="1"/>
        <v>14361600000</v>
      </c>
    </row>
    <row r="23" spans="1:8" s="137" customFormat="1" x14ac:dyDescent="0.25">
      <c r="A23" s="294"/>
      <c r="B23" s="171" t="s">
        <v>635</v>
      </c>
      <c r="C23" s="172"/>
      <c r="D23" s="172"/>
      <c r="E23" s="172" t="s">
        <v>299</v>
      </c>
      <c r="F23" s="172">
        <v>8964</v>
      </c>
      <c r="G23" s="173">
        <v>3100000</v>
      </c>
      <c r="H23" s="173">
        <f t="shared" si="1"/>
        <v>27788400000</v>
      </c>
    </row>
    <row r="24" spans="1:8" s="137" customFormat="1" x14ac:dyDescent="0.25">
      <c r="A24" s="294"/>
      <c r="B24" s="177" t="s">
        <v>176</v>
      </c>
      <c r="C24" s="172"/>
      <c r="D24" s="172"/>
      <c r="E24" s="172" t="s">
        <v>299</v>
      </c>
      <c r="F24" s="172">
        <v>8964</v>
      </c>
      <c r="G24" s="173">
        <v>3200000</v>
      </c>
      <c r="H24" s="173">
        <f t="shared" si="1"/>
        <v>28684800000</v>
      </c>
    </row>
    <row r="25" spans="1:8" s="137" customFormat="1" x14ac:dyDescent="0.25">
      <c r="A25" s="294"/>
      <c r="B25" s="171" t="s">
        <v>574</v>
      </c>
      <c r="C25" s="172"/>
      <c r="D25" s="172"/>
      <c r="E25" s="172" t="s">
        <v>299</v>
      </c>
      <c r="F25" s="172">
        <v>6600</v>
      </c>
      <c r="G25" s="173">
        <v>3400000</v>
      </c>
      <c r="H25" s="173">
        <f t="shared" si="1"/>
        <v>22440000000</v>
      </c>
    </row>
    <row r="26" spans="1:8" s="137" customFormat="1" x14ac:dyDescent="0.25">
      <c r="A26" s="294"/>
      <c r="B26" s="177" t="s">
        <v>178</v>
      </c>
      <c r="C26" s="172"/>
      <c r="D26" s="172"/>
      <c r="E26" s="172" t="s">
        <v>299</v>
      </c>
      <c r="F26" s="172">
        <v>6048</v>
      </c>
      <c r="G26" s="173">
        <v>3500000</v>
      </c>
      <c r="H26" s="173">
        <f t="shared" si="1"/>
        <v>21168000000</v>
      </c>
    </row>
    <row r="27" spans="1:8" s="137" customFormat="1" x14ac:dyDescent="0.25">
      <c r="A27" s="294"/>
      <c r="B27" s="171" t="s">
        <v>636</v>
      </c>
      <c r="C27" s="172"/>
      <c r="D27" s="172"/>
      <c r="E27" s="172" t="s">
        <v>299</v>
      </c>
      <c r="F27" s="172">
        <v>7404</v>
      </c>
      <c r="G27" s="173">
        <v>3500000</v>
      </c>
      <c r="H27" s="173">
        <f t="shared" si="1"/>
        <v>25914000000</v>
      </c>
    </row>
    <row r="28" spans="1:8" s="137" customFormat="1" x14ac:dyDescent="0.25">
      <c r="A28" s="294"/>
      <c r="B28" s="177" t="s">
        <v>180</v>
      </c>
      <c r="C28" s="172"/>
      <c r="D28" s="172"/>
      <c r="E28" s="172" t="s">
        <v>299</v>
      </c>
      <c r="F28" s="172">
        <v>7404</v>
      </c>
      <c r="G28" s="173">
        <v>3500000</v>
      </c>
      <c r="H28" s="173">
        <f t="shared" si="1"/>
        <v>25914000000</v>
      </c>
    </row>
    <row r="29" spans="1:8" s="137" customFormat="1" x14ac:dyDescent="0.25">
      <c r="A29" s="294"/>
      <c r="B29" s="177" t="s">
        <v>181</v>
      </c>
      <c r="C29" s="172"/>
      <c r="D29" s="172"/>
      <c r="E29" s="172" t="s">
        <v>299</v>
      </c>
      <c r="F29" s="172">
        <v>6420</v>
      </c>
      <c r="G29" s="173">
        <v>3500000</v>
      </c>
      <c r="H29" s="173">
        <f t="shared" si="1"/>
        <v>22470000000</v>
      </c>
    </row>
    <row r="30" spans="1:8" s="137" customFormat="1" x14ac:dyDescent="0.25">
      <c r="A30" s="294"/>
      <c r="B30" s="171" t="s">
        <v>575</v>
      </c>
      <c r="C30" s="172"/>
      <c r="D30" s="172"/>
      <c r="E30" s="172" t="s">
        <v>299</v>
      </c>
      <c r="F30" s="172">
        <v>9972</v>
      </c>
      <c r="G30" s="173">
        <v>3500000</v>
      </c>
      <c r="H30" s="173">
        <f t="shared" si="1"/>
        <v>34902000000</v>
      </c>
    </row>
    <row r="31" spans="1:8" s="137" customFormat="1" x14ac:dyDescent="0.25">
      <c r="A31" s="294"/>
      <c r="B31" s="171" t="s">
        <v>637</v>
      </c>
      <c r="C31" s="172"/>
      <c r="D31" s="172"/>
      <c r="E31" s="172" t="s">
        <v>299</v>
      </c>
      <c r="F31" s="172">
        <v>11064</v>
      </c>
      <c r="G31" s="173">
        <v>3500000</v>
      </c>
      <c r="H31" s="173">
        <f t="shared" si="1"/>
        <v>38724000000</v>
      </c>
    </row>
    <row r="32" spans="1:8" s="137" customFormat="1" x14ac:dyDescent="0.25">
      <c r="A32" s="294"/>
      <c r="B32" s="177" t="s">
        <v>184</v>
      </c>
      <c r="C32" s="172"/>
      <c r="D32" s="172"/>
      <c r="E32" s="172" t="s">
        <v>299</v>
      </c>
      <c r="F32" s="172">
        <v>11064</v>
      </c>
      <c r="G32" s="173">
        <v>3500000</v>
      </c>
      <c r="H32" s="173">
        <f t="shared" si="1"/>
        <v>38724000000</v>
      </c>
    </row>
    <row r="33" spans="1:8" s="137" customFormat="1" x14ac:dyDescent="0.25">
      <c r="A33" s="294"/>
      <c r="B33" s="177" t="s">
        <v>185</v>
      </c>
      <c r="C33" s="172"/>
      <c r="D33" s="172"/>
      <c r="E33" s="172" t="s">
        <v>299</v>
      </c>
      <c r="F33" s="172">
        <v>8544</v>
      </c>
      <c r="G33" s="173">
        <v>3350000</v>
      </c>
      <c r="H33" s="173">
        <f t="shared" si="1"/>
        <v>28622400000</v>
      </c>
    </row>
    <row r="34" spans="1:8" s="137" customFormat="1" x14ac:dyDescent="0.25">
      <c r="A34" s="294"/>
      <c r="B34" s="171" t="s">
        <v>186</v>
      </c>
      <c r="C34" s="172"/>
      <c r="D34" s="172"/>
      <c r="E34" s="172" t="s">
        <v>299</v>
      </c>
      <c r="F34" s="172">
        <v>5796</v>
      </c>
      <c r="G34" s="173">
        <v>3200000</v>
      </c>
      <c r="H34" s="173">
        <f t="shared" si="1"/>
        <v>18547200000</v>
      </c>
    </row>
    <row r="35" spans="1:8" s="137" customFormat="1" x14ac:dyDescent="0.25">
      <c r="A35" s="294"/>
      <c r="B35" s="171" t="s">
        <v>187</v>
      </c>
      <c r="C35" s="172"/>
      <c r="D35" s="172"/>
      <c r="E35" s="172" t="s">
        <v>299</v>
      </c>
      <c r="F35" s="172">
        <v>2088</v>
      </c>
      <c r="G35" s="173">
        <v>4078000</v>
      </c>
      <c r="H35" s="173">
        <f t="shared" si="1"/>
        <v>8514864000</v>
      </c>
    </row>
    <row r="36" spans="1:8" s="137" customFormat="1" x14ac:dyDescent="0.25">
      <c r="A36" s="294"/>
      <c r="B36" s="171" t="s">
        <v>188</v>
      </c>
      <c r="C36" s="172"/>
      <c r="D36" s="172"/>
      <c r="E36" s="172" t="s">
        <v>299</v>
      </c>
      <c r="F36" s="172">
        <v>2088</v>
      </c>
      <c r="G36" s="173">
        <v>4150000</v>
      </c>
      <c r="H36" s="173">
        <f t="shared" si="1"/>
        <v>8665200000</v>
      </c>
    </row>
    <row r="37" spans="1:8" s="137" customFormat="1" x14ac:dyDescent="0.25">
      <c r="A37" s="294"/>
      <c r="B37" s="171" t="s">
        <v>634</v>
      </c>
      <c r="C37" s="172"/>
      <c r="D37" s="172"/>
      <c r="E37" s="172" t="s">
        <v>299</v>
      </c>
      <c r="F37" s="172">
        <v>2088</v>
      </c>
      <c r="G37" s="173">
        <v>4150000</v>
      </c>
      <c r="H37" s="173">
        <f t="shared" si="1"/>
        <v>8665200000</v>
      </c>
    </row>
    <row r="38" spans="1:8" s="137" customFormat="1" ht="23.25" customHeight="1" x14ac:dyDescent="0.25">
      <c r="A38" s="294"/>
      <c r="B38" s="171" t="s">
        <v>189</v>
      </c>
      <c r="C38" s="172"/>
      <c r="D38" s="172"/>
      <c r="E38" s="172" t="s">
        <v>299</v>
      </c>
      <c r="F38" s="172">
        <v>1020</v>
      </c>
      <c r="G38" s="173">
        <v>3902000</v>
      </c>
      <c r="H38" s="173">
        <f t="shared" si="1"/>
        <v>3980040000</v>
      </c>
    </row>
    <row r="39" spans="1:8" s="137" customFormat="1" ht="23.25" customHeight="1" x14ac:dyDescent="0.25">
      <c r="A39" s="294"/>
      <c r="B39" s="177" t="s">
        <v>190</v>
      </c>
      <c r="C39" s="172"/>
      <c r="D39" s="172"/>
      <c r="E39" s="172" t="s">
        <v>299</v>
      </c>
      <c r="F39" s="172">
        <v>156</v>
      </c>
      <c r="G39" s="173">
        <v>4200000</v>
      </c>
      <c r="H39" s="173">
        <f t="shared" si="1"/>
        <v>655200000</v>
      </c>
    </row>
    <row r="40" spans="1:8" s="137" customFormat="1" ht="23.25" customHeight="1" x14ac:dyDescent="0.25">
      <c r="A40" s="294"/>
      <c r="B40" s="177" t="s">
        <v>191</v>
      </c>
      <c r="C40" s="172"/>
      <c r="D40" s="172"/>
      <c r="E40" s="172" t="s">
        <v>299</v>
      </c>
      <c r="F40" s="172">
        <v>144</v>
      </c>
      <c r="G40" s="173">
        <v>3860000</v>
      </c>
      <c r="H40" s="173">
        <f t="shared" si="1"/>
        <v>555840000</v>
      </c>
    </row>
    <row r="41" spans="1:8" s="137" customFormat="1" ht="23.25" customHeight="1" x14ac:dyDescent="0.25">
      <c r="A41" s="294"/>
      <c r="B41" s="177" t="s">
        <v>192</v>
      </c>
      <c r="C41" s="172"/>
      <c r="D41" s="172"/>
      <c r="E41" s="172" t="s">
        <v>299</v>
      </c>
      <c r="F41" s="172">
        <v>216</v>
      </c>
      <c r="G41" s="173">
        <v>3800000</v>
      </c>
      <c r="H41" s="173">
        <f t="shared" si="1"/>
        <v>820800000</v>
      </c>
    </row>
    <row r="42" spans="1:8" s="137" customFormat="1" ht="23.25" customHeight="1" x14ac:dyDescent="0.25">
      <c r="A42" s="294"/>
      <c r="B42" s="177" t="s">
        <v>193</v>
      </c>
      <c r="C42" s="172"/>
      <c r="D42" s="172"/>
      <c r="E42" s="172" t="s">
        <v>299</v>
      </c>
      <c r="F42" s="172">
        <v>24</v>
      </c>
      <c r="G42" s="173">
        <v>3450000</v>
      </c>
      <c r="H42" s="173">
        <f t="shared" si="1"/>
        <v>82800000</v>
      </c>
    </row>
    <row r="43" spans="1:8" s="137" customFormat="1" ht="23.25" customHeight="1" x14ac:dyDescent="0.25">
      <c r="A43" s="294"/>
      <c r="B43" s="177" t="s">
        <v>194</v>
      </c>
      <c r="C43" s="172"/>
      <c r="D43" s="172"/>
      <c r="E43" s="172" t="s">
        <v>299</v>
      </c>
      <c r="F43" s="172">
        <v>36</v>
      </c>
      <c r="G43" s="173">
        <v>3400000</v>
      </c>
      <c r="H43" s="173">
        <f t="shared" si="1"/>
        <v>122400000</v>
      </c>
    </row>
    <row r="44" spans="1:8" s="137" customFormat="1" ht="23.25" customHeight="1" x14ac:dyDescent="0.25">
      <c r="A44" s="294"/>
      <c r="B44" s="177" t="s">
        <v>195</v>
      </c>
      <c r="C44" s="172"/>
      <c r="D44" s="172"/>
      <c r="E44" s="172" t="s">
        <v>299</v>
      </c>
      <c r="F44" s="172">
        <v>48</v>
      </c>
      <c r="G44" s="173">
        <v>4300000</v>
      </c>
      <c r="H44" s="173">
        <f t="shared" si="1"/>
        <v>206400000</v>
      </c>
    </row>
    <row r="45" spans="1:8" s="137" customFormat="1" ht="23.25" customHeight="1" x14ac:dyDescent="0.25">
      <c r="A45" s="294"/>
      <c r="B45" s="177" t="s">
        <v>196</v>
      </c>
      <c r="C45" s="172"/>
      <c r="D45" s="172"/>
      <c r="E45" s="172" t="s">
        <v>299</v>
      </c>
      <c r="F45" s="172">
        <v>48</v>
      </c>
      <c r="G45" s="173">
        <v>3921000</v>
      </c>
      <c r="H45" s="173">
        <f t="shared" si="1"/>
        <v>188208000</v>
      </c>
    </row>
    <row r="46" spans="1:8" s="137" customFormat="1" ht="23.25" customHeight="1" x14ac:dyDescent="0.25">
      <c r="A46" s="294"/>
      <c r="B46" s="177" t="s">
        <v>197</v>
      </c>
      <c r="C46" s="172"/>
      <c r="D46" s="172"/>
      <c r="E46" s="172" t="s">
        <v>299</v>
      </c>
      <c r="F46" s="172">
        <v>36</v>
      </c>
      <c r="G46" s="173">
        <v>3500000</v>
      </c>
      <c r="H46" s="173">
        <f t="shared" si="1"/>
        <v>126000000</v>
      </c>
    </row>
    <row r="47" spans="1:8" s="137" customFormat="1" ht="23.25" customHeight="1" x14ac:dyDescent="0.25">
      <c r="A47" s="294"/>
      <c r="B47" s="177" t="s">
        <v>198</v>
      </c>
      <c r="C47" s="172"/>
      <c r="D47" s="172"/>
      <c r="E47" s="172" t="s">
        <v>299</v>
      </c>
      <c r="F47" s="172">
        <v>24</v>
      </c>
      <c r="G47" s="173">
        <v>3992000</v>
      </c>
      <c r="H47" s="173">
        <f t="shared" si="1"/>
        <v>95808000</v>
      </c>
    </row>
    <row r="48" spans="1:8" s="137" customFormat="1" ht="23.25" customHeight="1" x14ac:dyDescent="0.25">
      <c r="A48" s="294"/>
      <c r="B48" s="171" t="s">
        <v>572</v>
      </c>
      <c r="C48" s="172"/>
      <c r="D48" s="172"/>
      <c r="E48" s="172" t="s">
        <v>299</v>
      </c>
      <c r="F48" s="172">
        <v>960</v>
      </c>
      <c r="G48" s="173">
        <v>8205000</v>
      </c>
      <c r="H48" s="173">
        <f t="shared" si="1"/>
        <v>7876800000</v>
      </c>
    </row>
    <row r="49" spans="1:8" s="137" customFormat="1" ht="23.25" customHeight="1" x14ac:dyDescent="0.25">
      <c r="A49" s="294"/>
      <c r="B49" s="177" t="s">
        <v>200</v>
      </c>
      <c r="C49" s="172"/>
      <c r="D49" s="172"/>
      <c r="E49" s="172" t="s">
        <v>299</v>
      </c>
      <c r="F49" s="172">
        <v>156</v>
      </c>
      <c r="G49" s="173">
        <v>8220000</v>
      </c>
      <c r="H49" s="173">
        <f t="shared" si="1"/>
        <v>1282320000</v>
      </c>
    </row>
    <row r="50" spans="1:8" s="137" customFormat="1" ht="23.25" customHeight="1" x14ac:dyDescent="0.25">
      <c r="A50" s="294"/>
      <c r="B50" s="177" t="s">
        <v>201</v>
      </c>
      <c r="C50" s="172"/>
      <c r="D50" s="172"/>
      <c r="E50" s="172" t="s">
        <v>299</v>
      </c>
      <c r="F50" s="172">
        <v>144</v>
      </c>
      <c r="G50" s="173">
        <v>7648000</v>
      </c>
      <c r="H50" s="173">
        <f t="shared" si="1"/>
        <v>1101312000</v>
      </c>
    </row>
    <row r="51" spans="1:8" s="137" customFormat="1" ht="23.25" customHeight="1" x14ac:dyDescent="0.25">
      <c r="A51" s="294"/>
      <c r="B51" s="177" t="s">
        <v>202</v>
      </c>
      <c r="C51" s="172"/>
      <c r="D51" s="172"/>
      <c r="E51" s="172" t="s">
        <v>299</v>
      </c>
      <c r="F51" s="172">
        <v>216</v>
      </c>
      <c r="G51" s="173">
        <v>7528000</v>
      </c>
      <c r="H51" s="173">
        <f t="shared" si="1"/>
        <v>1626048000</v>
      </c>
    </row>
    <row r="52" spans="1:8" s="137" customFormat="1" ht="23.25" customHeight="1" x14ac:dyDescent="0.25">
      <c r="A52" s="294"/>
      <c r="B52" s="177" t="s">
        <v>203</v>
      </c>
      <c r="C52" s="172"/>
      <c r="D52" s="172"/>
      <c r="E52" s="172" t="s">
        <v>299</v>
      </c>
      <c r="F52" s="172">
        <v>24</v>
      </c>
      <c r="G52" s="173">
        <v>6929000</v>
      </c>
      <c r="H52" s="173">
        <f t="shared" si="1"/>
        <v>166296000</v>
      </c>
    </row>
    <row r="53" spans="1:8" s="137" customFormat="1" ht="23.25" customHeight="1" x14ac:dyDescent="0.25">
      <c r="A53" s="294"/>
      <c r="B53" s="177" t="s">
        <v>204</v>
      </c>
      <c r="C53" s="172"/>
      <c r="D53" s="172"/>
      <c r="E53" s="172" t="s">
        <v>299</v>
      </c>
      <c r="F53" s="172">
        <v>36</v>
      </c>
      <c r="G53" s="173">
        <v>6985000</v>
      </c>
      <c r="H53" s="173">
        <f t="shared" si="1"/>
        <v>251460000</v>
      </c>
    </row>
    <row r="54" spans="1:8" s="137" customFormat="1" ht="23.25" customHeight="1" x14ac:dyDescent="0.25">
      <c r="A54" s="294"/>
      <c r="B54" s="177" t="s">
        <v>205</v>
      </c>
      <c r="C54" s="172"/>
      <c r="D54" s="172"/>
      <c r="E54" s="172" t="s">
        <v>299</v>
      </c>
      <c r="F54" s="172">
        <v>48</v>
      </c>
      <c r="G54" s="173">
        <v>9817000</v>
      </c>
      <c r="H54" s="173">
        <f t="shared" si="1"/>
        <v>471216000</v>
      </c>
    </row>
    <row r="55" spans="1:8" s="137" customFormat="1" ht="23.25" customHeight="1" x14ac:dyDescent="0.25">
      <c r="A55" s="294"/>
      <c r="B55" s="177" t="s">
        <v>206</v>
      </c>
      <c r="C55" s="172"/>
      <c r="D55" s="172"/>
      <c r="E55" s="172" t="s">
        <v>299</v>
      </c>
      <c r="F55" s="172">
        <v>48</v>
      </c>
      <c r="G55" s="173">
        <v>8850000</v>
      </c>
      <c r="H55" s="173">
        <f t="shared" si="1"/>
        <v>424800000</v>
      </c>
    </row>
    <row r="56" spans="1:8" s="137" customFormat="1" ht="23.25" customHeight="1" x14ac:dyDescent="0.25">
      <c r="A56" s="294"/>
      <c r="B56" s="177" t="s">
        <v>207</v>
      </c>
      <c r="C56" s="172"/>
      <c r="D56" s="172"/>
      <c r="E56" s="172" t="s">
        <v>299</v>
      </c>
      <c r="F56" s="172">
        <v>36</v>
      </c>
      <c r="G56" s="173">
        <v>7528000</v>
      </c>
      <c r="H56" s="173">
        <f t="shared" si="1"/>
        <v>271008000</v>
      </c>
    </row>
    <row r="57" spans="1:8" s="137" customFormat="1" ht="23.25" customHeight="1" x14ac:dyDescent="0.25">
      <c r="A57" s="295"/>
      <c r="B57" s="232" t="s">
        <v>208</v>
      </c>
      <c r="C57" s="226"/>
      <c r="D57" s="226"/>
      <c r="E57" s="226" t="s">
        <v>299</v>
      </c>
      <c r="F57" s="226">
        <v>1</v>
      </c>
      <c r="G57" s="227">
        <f>7469000+184000</f>
        <v>7653000</v>
      </c>
      <c r="H57" s="227">
        <f t="shared" si="1"/>
        <v>7653000</v>
      </c>
    </row>
    <row r="58" spans="1:8" ht="12.95" customHeight="1" x14ac:dyDescent="0.25">
      <c r="A58" s="185"/>
      <c r="B58" s="267"/>
      <c r="C58" s="268"/>
      <c r="D58" s="268"/>
      <c r="E58" s="269"/>
      <c r="F58" s="269"/>
    </row>
    <row r="59" spans="1:8" ht="12.95" customHeight="1" x14ac:dyDescent="0.25">
      <c r="A59" s="202"/>
      <c r="B59" s="204"/>
      <c r="C59" s="202"/>
      <c r="D59" s="202"/>
      <c r="E59" s="201"/>
      <c r="F59" s="205"/>
    </row>
    <row r="60" spans="1:8" ht="12.95" customHeight="1" x14ac:dyDescent="0.25">
      <c r="A60" s="202"/>
      <c r="B60" s="204"/>
      <c r="D60" s="202"/>
      <c r="E60" s="201"/>
      <c r="F60" s="33" t="s">
        <v>500</v>
      </c>
    </row>
    <row r="61" spans="1:8" ht="12.95" customHeight="1" x14ac:dyDescent="0.25">
      <c r="A61" s="202"/>
      <c r="B61" s="204"/>
      <c r="D61" s="202"/>
      <c r="E61" s="201"/>
      <c r="F61" s="33"/>
    </row>
    <row r="62" spans="1:8" ht="12.95" customHeight="1" x14ac:dyDescent="0.25">
      <c r="A62" s="202"/>
      <c r="B62" s="201"/>
      <c r="D62" s="202"/>
      <c r="E62" s="201"/>
      <c r="F62" s="33"/>
    </row>
    <row r="63" spans="1:8" s="207" customFormat="1" ht="12.95" customHeight="1" x14ac:dyDescent="0.25">
      <c r="A63" s="202"/>
      <c r="B63" s="201"/>
      <c r="D63" s="202"/>
      <c r="E63" s="201"/>
      <c r="F63" s="33"/>
    </row>
    <row r="64" spans="1:8" x14ac:dyDescent="0.25">
      <c r="F64" s="33"/>
    </row>
    <row r="65" spans="6:6" x14ac:dyDescent="0.25">
      <c r="F65" s="33" t="s">
        <v>706</v>
      </c>
    </row>
    <row r="66" spans="6:6" x14ac:dyDescent="0.25">
      <c r="F66" s="33" t="s">
        <v>707</v>
      </c>
    </row>
  </sheetData>
  <autoFilter ref="A16:B57" xr:uid="{3672E4ED-D1AC-4CAC-ABB6-F68B3F342D3D}"/>
  <mergeCells count="8">
    <mergeCell ref="A1:H1"/>
    <mergeCell ref="H15:H16"/>
    <mergeCell ref="A15:A16"/>
    <mergeCell ref="D15:D16"/>
    <mergeCell ref="G15:G16"/>
    <mergeCell ref="B15:B16"/>
    <mergeCell ref="C15:C16"/>
    <mergeCell ref="E15:F15"/>
  </mergeCells>
  <pageMargins left="0.43307086614173229" right="0.19685039370078741" top="0.35" bottom="0.31496062992125984" header="0.11811023622047245" footer="0"/>
  <pageSetup paperSize="9" scale="66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8742-DCFB-4288-9AE9-77A1B26226F1}">
  <sheetPr>
    <outlinePr summaryBelow="0"/>
    <pageSetUpPr fitToPage="1"/>
  </sheetPr>
  <dimension ref="A1:L30"/>
  <sheetViews>
    <sheetView zoomScaleNormal="100" workbookViewId="0">
      <pane xSplit="2" ySplit="17" topLeftCell="C18" activePane="bottomRight" state="frozen"/>
      <selection activeCell="B14" sqref="B14"/>
      <selection pane="topRight" activeCell="B14" sqref="B14"/>
      <selection pane="bottomLeft" activeCell="B14" sqref="B14"/>
      <selection pane="bottomRight" activeCell="E26" sqref="E26"/>
    </sheetView>
  </sheetViews>
  <sheetFormatPr defaultColWidth="9.140625" defaultRowHeight="15" x14ac:dyDescent="0.25"/>
  <cols>
    <col min="1" max="1" width="26.140625" style="137" customWidth="1"/>
    <col min="2" max="2" width="50" style="137" customWidth="1"/>
    <col min="3" max="4" width="9.85546875" style="190" customWidth="1"/>
    <col min="5" max="6" width="14.85546875" style="137" customWidth="1"/>
    <col min="7" max="16384" width="9.140625" style="137"/>
  </cols>
  <sheetData>
    <row r="1" spans="1:12" x14ac:dyDescent="0.25">
      <c r="A1" s="409" t="s">
        <v>498</v>
      </c>
      <c r="B1" s="409"/>
      <c r="C1" s="409"/>
      <c r="D1" s="409"/>
      <c r="E1" s="409"/>
      <c r="F1" s="409"/>
    </row>
    <row r="3" spans="1:12" ht="15.75" x14ac:dyDescent="0.3">
      <c r="A3" s="196" t="s">
        <v>480</v>
      </c>
      <c r="B3" s="196" t="s">
        <v>499</v>
      </c>
    </row>
    <row r="4" spans="1:12" ht="15.75" x14ac:dyDescent="0.3">
      <c r="A4" s="196" t="s">
        <v>481</v>
      </c>
      <c r="B4" s="196" t="s">
        <v>490</v>
      </c>
    </row>
    <row r="5" spans="1:12" ht="15.75" x14ac:dyDescent="0.3">
      <c r="A5" s="196" t="s">
        <v>482</v>
      </c>
      <c r="B5" s="196" t="s">
        <v>506</v>
      </c>
    </row>
    <row r="6" spans="1:12" ht="15.75" x14ac:dyDescent="0.3">
      <c r="A6" s="196" t="s">
        <v>483</v>
      </c>
      <c r="B6" s="196" t="s">
        <v>507</v>
      </c>
    </row>
    <row r="7" spans="1:12" ht="15.75" x14ac:dyDescent="0.3">
      <c r="A7" s="196" t="s">
        <v>484</v>
      </c>
      <c r="B7" s="196" t="s">
        <v>623</v>
      </c>
    </row>
    <row r="8" spans="1:12" ht="15.75" hidden="1" x14ac:dyDescent="0.3">
      <c r="B8" s="196"/>
    </row>
    <row r="9" spans="1:12" ht="15.75" x14ac:dyDescent="0.3">
      <c r="A9" s="196" t="s">
        <v>485</v>
      </c>
      <c r="B9" s="196" t="s">
        <v>621</v>
      </c>
    </row>
    <row r="10" spans="1:12" s="183" customFormat="1" ht="15.75" x14ac:dyDescent="0.3">
      <c r="A10" s="196" t="s">
        <v>486</v>
      </c>
      <c r="B10" s="196" t="s">
        <v>622</v>
      </c>
      <c r="C10" s="190"/>
      <c r="D10" s="190"/>
      <c r="E10" s="137"/>
      <c r="F10" s="137"/>
      <c r="G10" s="137"/>
      <c r="H10" s="137"/>
      <c r="I10" s="137"/>
      <c r="J10" s="137"/>
      <c r="K10" s="137"/>
      <c r="L10" s="137"/>
    </row>
    <row r="11" spans="1:12" s="183" customFormat="1" ht="15.75" hidden="1" x14ac:dyDescent="0.3">
      <c r="B11" s="196"/>
      <c r="C11" s="190"/>
      <c r="D11" s="190"/>
      <c r="E11" s="137"/>
      <c r="F11" s="137"/>
      <c r="G11" s="137"/>
      <c r="H11" s="137"/>
      <c r="I11" s="137"/>
      <c r="J11" s="137"/>
      <c r="K11" s="137"/>
      <c r="L11" s="137"/>
    </row>
    <row r="12" spans="1:12" s="183" customFormat="1" ht="15.75" x14ac:dyDescent="0.3">
      <c r="A12" s="196" t="s">
        <v>320</v>
      </c>
      <c r="B12" s="196" t="s">
        <v>511</v>
      </c>
      <c r="C12" s="190"/>
      <c r="D12" s="190"/>
      <c r="E12" s="137"/>
      <c r="F12" s="137"/>
      <c r="G12" s="137"/>
      <c r="H12" s="137"/>
      <c r="I12" s="137"/>
      <c r="J12" s="137"/>
      <c r="K12" s="137"/>
      <c r="L12" s="137"/>
    </row>
    <row r="13" spans="1:12" ht="15.75" x14ac:dyDescent="0.3">
      <c r="A13" s="196" t="s">
        <v>487</v>
      </c>
      <c r="B13" s="196" t="s">
        <v>620</v>
      </c>
    </row>
    <row r="14" spans="1:12" ht="15.75" x14ac:dyDescent="0.3">
      <c r="A14" s="196" t="s">
        <v>488</v>
      </c>
      <c r="B14" s="196" t="s">
        <v>619</v>
      </c>
    </row>
    <row r="15" spans="1:12" ht="15.75" x14ac:dyDescent="0.3">
      <c r="B15" s="196"/>
    </row>
    <row r="16" spans="1:12" s="141" customFormat="1" ht="33" customHeight="1" x14ac:dyDescent="0.25">
      <c r="A16" s="413" t="s">
        <v>318</v>
      </c>
      <c r="B16" s="413" t="s">
        <v>319</v>
      </c>
      <c r="C16" s="413" t="s">
        <v>320</v>
      </c>
      <c r="D16" s="413" t="s">
        <v>321</v>
      </c>
      <c r="E16" s="410" t="s">
        <v>322</v>
      </c>
      <c r="F16" s="410" t="s">
        <v>323</v>
      </c>
    </row>
    <row r="17" spans="1:12" s="141" customFormat="1" x14ac:dyDescent="0.25">
      <c r="A17" s="414"/>
      <c r="B17" s="414"/>
      <c r="C17" s="414"/>
      <c r="D17" s="414"/>
      <c r="E17" s="411"/>
      <c r="F17" s="411"/>
    </row>
    <row r="18" spans="1:12" x14ac:dyDescent="0.25">
      <c r="A18" s="58" t="s">
        <v>147</v>
      </c>
      <c r="B18" s="58" t="s">
        <v>148</v>
      </c>
      <c r="C18" s="59">
        <v>1</v>
      </c>
      <c r="D18" s="59" t="s">
        <v>316</v>
      </c>
      <c r="E18" s="60"/>
      <c r="F18" s="61">
        <f>F19</f>
        <v>184289000</v>
      </c>
    </row>
    <row r="19" spans="1:12" x14ac:dyDescent="0.25">
      <c r="A19" s="191" t="s">
        <v>616</v>
      </c>
      <c r="B19" s="100" t="s">
        <v>617</v>
      </c>
      <c r="C19" s="101" t="s">
        <v>11</v>
      </c>
      <c r="D19" s="101"/>
      <c r="E19" s="52"/>
      <c r="F19" s="102">
        <f>F20</f>
        <v>184289000</v>
      </c>
    </row>
    <row r="20" spans="1:12" s="36" customFormat="1" ht="41.25" customHeight="1" x14ac:dyDescent="0.25">
      <c r="A20" s="66" t="s">
        <v>12</v>
      </c>
      <c r="B20" s="66" t="s">
        <v>425</v>
      </c>
      <c r="C20" s="67"/>
      <c r="D20" s="67"/>
      <c r="E20" s="68"/>
      <c r="F20" s="69">
        <f>F21</f>
        <v>184289000</v>
      </c>
    </row>
    <row r="21" spans="1:12" s="36" customFormat="1" ht="22.5" customHeight="1" x14ac:dyDescent="0.25">
      <c r="A21" s="70" t="s">
        <v>152</v>
      </c>
      <c r="B21" s="70" t="s">
        <v>153</v>
      </c>
      <c r="C21" s="71"/>
      <c r="D21" s="71"/>
      <c r="E21" s="72"/>
      <c r="F21" s="103">
        <f>SUM(F22:F22)</f>
        <v>184289000</v>
      </c>
    </row>
    <row r="22" spans="1:12" s="36" customFormat="1" ht="22.5" customHeight="1" x14ac:dyDescent="0.25">
      <c r="A22" s="104"/>
      <c r="B22" s="213" t="s">
        <v>343</v>
      </c>
      <c r="C22" s="106">
        <v>1</v>
      </c>
      <c r="D22" s="106" t="s">
        <v>300</v>
      </c>
      <c r="E22" s="107">
        <v>184289000</v>
      </c>
      <c r="F22" s="107">
        <f>C22*E22</f>
        <v>184289000</v>
      </c>
    </row>
    <row r="24" spans="1:12" ht="15.75" x14ac:dyDescent="0.3">
      <c r="C24" s="196" t="s">
        <v>500</v>
      </c>
    </row>
    <row r="25" spans="1:12" ht="15.75" x14ac:dyDescent="0.3">
      <c r="C25" s="196"/>
    </row>
    <row r="26" spans="1:12" s="190" customFormat="1" ht="15.75" x14ac:dyDescent="0.3">
      <c r="A26" s="137"/>
      <c r="B26" s="137"/>
      <c r="C26" s="196"/>
      <c r="E26" s="137"/>
      <c r="F26" s="137"/>
      <c r="G26" s="137"/>
      <c r="H26" s="137"/>
      <c r="I26" s="137"/>
      <c r="J26" s="137"/>
      <c r="K26" s="137"/>
      <c r="L26" s="137"/>
    </row>
    <row r="27" spans="1:12" s="190" customFormat="1" ht="15.75" x14ac:dyDescent="0.3">
      <c r="A27" s="137"/>
      <c r="B27" s="137"/>
      <c r="C27" s="196"/>
      <c r="E27" s="137"/>
      <c r="F27" s="137"/>
      <c r="G27" s="137"/>
      <c r="H27" s="137"/>
      <c r="I27" s="137"/>
      <c r="J27" s="137"/>
      <c r="K27" s="137"/>
      <c r="L27" s="137"/>
    </row>
    <row r="28" spans="1:12" s="190" customFormat="1" ht="15.75" x14ac:dyDescent="0.3">
      <c r="A28" s="137"/>
      <c r="B28" s="137"/>
      <c r="C28" s="196"/>
      <c r="E28" s="137"/>
      <c r="F28" s="137"/>
      <c r="G28" s="137"/>
      <c r="H28" s="137"/>
      <c r="I28" s="137"/>
      <c r="J28" s="137"/>
      <c r="K28" s="137"/>
      <c r="L28" s="137"/>
    </row>
    <row r="29" spans="1:12" s="190" customFormat="1" ht="15.75" x14ac:dyDescent="0.3">
      <c r="A29" s="137"/>
      <c r="B29" s="137"/>
      <c r="C29" s="196" t="s">
        <v>501</v>
      </c>
      <c r="E29" s="137"/>
      <c r="F29" s="137"/>
      <c r="G29" s="137"/>
      <c r="H29" s="137"/>
      <c r="I29" s="137"/>
      <c r="J29" s="137"/>
      <c r="K29" s="137"/>
      <c r="L29" s="137"/>
    </row>
    <row r="30" spans="1:12" s="190" customFormat="1" ht="15.75" x14ac:dyDescent="0.3">
      <c r="A30" s="137"/>
      <c r="B30" s="137"/>
      <c r="C30" s="196" t="s">
        <v>502</v>
      </c>
      <c r="E30" s="137"/>
      <c r="F30" s="137"/>
      <c r="G30" s="137"/>
      <c r="H30" s="137"/>
      <c r="I30" s="137"/>
      <c r="J30" s="137"/>
      <c r="K30" s="137"/>
      <c r="L30" s="137"/>
    </row>
  </sheetData>
  <autoFilter ref="A17:B19" xr:uid="{3672E4ED-D1AC-4CAC-ABB6-F68B3F342D3D}"/>
  <mergeCells count="7">
    <mergeCell ref="A1:F1"/>
    <mergeCell ref="A16:A17"/>
    <mergeCell ref="B16:B17"/>
    <mergeCell ref="C16:C17"/>
    <mergeCell ref="D16:D17"/>
    <mergeCell ref="E16:E17"/>
    <mergeCell ref="F16:F17"/>
  </mergeCells>
  <pageMargins left="0.38" right="0" top="0.39" bottom="0" header="0" footer="0"/>
  <pageSetup paperSize="9" scale="80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9565-6896-4971-8E09-504DDA617BAD}">
  <sheetPr>
    <outlinePr summaryBelow="0"/>
    <pageSetUpPr fitToPage="1"/>
  </sheetPr>
  <dimension ref="A1:L85"/>
  <sheetViews>
    <sheetView zoomScaleNormal="100" workbookViewId="0">
      <pane xSplit="2" ySplit="17" topLeftCell="C18" activePane="bottomRight" state="frozen"/>
      <selection activeCell="B14" sqref="B14"/>
      <selection pane="topRight" activeCell="B14" sqref="B14"/>
      <selection pane="bottomLeft" activeCell="B14" sqref="B14"/>
      <selection pane="bottomRight" activeCell="H81" sqref="H81"/>
    </sheetView>
  </sheetViews>
  <sheetFormatPr defaultColWidth="9.140625" defaultRowHeight="15" x14ac:dyDescent="0.25"/>
  <cols>
    <col min="1" max="1" width="26.140625" style="137" customWidth="1"/>
    <col min="2" max="2" width="50" style="137" customWidth="1"/>
    <col min="3" max="4" width="9.85546875" style="190" customWidth="1"/>
    <col min="5" max="6" width="14.85546875" style="137" customWidth="1"/>
    <col min="7" max="16384" width="9.140625" style="137"/>
  </cols>
  <sheetData>
    <row r="1" spans="1:12" x14ac:dyDescent="0.25">
      <c r="A1" s="409" t="s">
        <v>498</v>
      </c>
      <c r="B1" s="409"/>
      <c r="C1" s="409"/>
      <c r="D1" s="409"/>
      <c r="E1" s="409"/>
      <c r="F1" s="409"/>
    </row>
    <row r="3" spans="1:12" ht="15.75" x14ac:dyDescent="0.3">
      <c r="A3" s="196" t="s">
        <v>480</v>
      </c>
      <c r="B3" s="196" t="s">
        <v>499</v>
      </c>
    </row>
    <row r="4" spans="1:12" ht="15.75" x14ac:dyDescent="0.3">
      <c r="A4" s="196" t="s">
        <v>481</v>
      </c>
      <c r="B4" s="196" t="s">
        <v>490</v>
      </c>
    </row>
    <row r="5" spans="1:12" ht="15.75" x14ac:dyDescent="0.3">
      <c r="A5" s="196" t="s">
        <v>482</v>
      </c>
      <c r="B5" s="196" t="s">
        <v>506</v>
      </c>
    </row>
    <row r="6" spans="1:12" ht="15.75" x14ac:dyDescent="0.3">
      <c r="A6" s="196" t="s">
        <v>483</v>
      </c>
      <c r="B6" s="196" t="s">
        <v>507</v>
      </c>
    </row>
    <row r="7" spans="1:12" ht="15.75" x14ac:dyDescent="0.3">
      <c r="A7" s="196" t="s">
        <v>484</v>
      </c>
      <c r="B7" s="196" t="s">
        <v>508</v>
      </c>
    </row>
    <row r="8" spans="1:12" ht="15.75" x14ac:dyDescent="0.3">
      <c r="B8" s="196" t="s">
        <v>509</v>
      </c>
    </row>
    <row r="9" spans="1:12" ht="15.75" x14ac:dyDescent="0.3">
      <c r="A9" s="196" t="s">
        <v>485</v>
      </c>
      <c r="B9" s="196" t="s">
        <v>510</v>
      </c>
    </row>
    <row r="10" spans="1:12" s="183" customFormat="1" ht="15.75" x14ac:dyDescent="0.3">
      <c r="A10" s="196" t="s">
        <v>486</v>
      </c>
      <c r="B10" s="196" t="s">
        <v>590</v>
      </c>
      <c r="C10" s="190"/>
      <c r="D10" s="190"/>
      <c r="E10" s="137"/>
      <c r="F10" s="137"/>
      <c r="G10" s="137"/>
      <c r="H10" s="137"/>
      <c r="I10" s="137"/>
      <c r="J10" s="137"/>
      <c r="K10" s="137"/>
      <c r="L10" s="137"/>
    </row>
    <row r="11" spans="1:12" s="183" customFormat="1" ht="15.75" x14ac:dyDescent="0.3">
      <c r="B11" s="196" t="s">
        <v>591</v>
      </c>
      <c r="C11" s="190"/>
      <c r="D11" s="190"/>
      <c r="E11" s="137"/>
      <c r="F11" s="137"/>
      <c r="G11" s="137"/>
      <c r="H11" s="137"/>
      <c r="I11" s="137"/>
      <c r="J11" s="137"/>
      <c r="K11" s="137"/>
      <c r="L11" s="137"/>
    </row>
    <row r="12" spans="1:12" s="183" customFormat="1" ht="15.75" x14ac:dyDescent="0.3">
      <c r="A12" s="196" t="s">
        <v>320</v>
      </c>
      <c r="B12" s="196" t="s">
        <v>511</v>
      </c>
      <c r="C12" s="190"/>
      <c r="D12" s="190"/>
      <c r="E12" s="137"/>
      <c r="F12" s="137"/>
      <c r="G12" s="137"/>
      <c r="H12" s="137"/>
      <c r="I12" s="137"/>
      <c r="J12" s="137"/>
      <c r="K12" s="137"/>
      <c r="L12" s="137"/>
    </row>
    <row r="13" spans="1:12" ht="15.75" x14ac:dyDescent="0.3">
      <c r="A13" s="196" t="s">
        <v>487</v>
      </c>
      <c r="B13" s="196" t="s">
        <v>592</v>
      </c>
    </row>
    <row r="14" spans="1:12" ht="15.75" x14ac:dyDescent="0.3">
      <c r="A14" s="196" t="s">
        <v>488</v>
      </c>
      <c r="B14" s="196" t="s">
        <v>593</v>
      </c>
    </row>
    <row r="15" spans="1:12" ht="15.75" x14ac:dyDescent="0.3">
      <c r="B15" s="196"/>
    </row>
    <row r="16" spans="1:12" s="141" customFormat="1" ht="33" customHeight="1" x14ac:dyDescent="0.25">
      <c r="A16" s="413" t="s">
        <v>318</v>
      </c>
      <c r="B16" s="413" t="s">
        <v>319</v>
      </c>
      <c r="C16" s="413" t="s">
        <v>320</v>
      </c>
      <c r="D16" s="413" t="s">
        <v>321</v>
      </c>
      <c r="E16" s="410" t="s">
        <v>322</v>
      </c>
      <c r="F16" s="410" t="s">
        <v>323</v>
      </c>
    </row>
    <row r="17" spans="1:6" s="141" customFormat="1" x14ac:dyDescent="0.25">
      <c r="A17" s="414"/>
      <c r="B17" s="414"/>
      <c r="C17" s="414"/>
      <c r="D17" s="414"/>
      <c r="E17" s="411"/>
      <c r="F17" s="411"/>
    </row>
    <row r="18" spans="1:6" ht="30" x14ac:dyDescent="0.25">
      <c r="A18" s="154" t="s">
        <v>83</v>
      </c>
      <c r="B18" s="154" t="s">
        <v>84</v>
      </c>
      <c r="C18" s="155" t="s">
        <v>85</v>
      </c>
      <c r="D18" s="155" t="s">
        <v>308</v>
      </c>
      <c r="E18" s="156"/>
      <c r="F18" s="157">
        <v>464230000</v>
      </c>
    </row>
    <row r="19" spans="1:6" x14ac:dyDescent="0.25">
      <c r="A19" s="158" t="s">
        <v>9</v>
      </c>
      <c r="B19" s="158" t="s">
        <v>86</v>
      </c>
      <c r="C19" s="159" t="s">
        <v>11</v>
      </c>
      <c r="D19" s="159"/>
      <c r="E19" s="160"/>
      <c r="F19" s="161">
        <v>464230000</v>
      </c>
    </row>
    <row r="20" spans="1:6" s="36" customFormat="1" ht="35.25" customHeight="1" x14ac:dyDescent="0.25">
      <c r="A20" s="162" t="s">
        <v>12</v>
      </c>
      <c r="B20" s="162" t="s">
        <v>87</v>
      </c>
      <c r="C20" s="163"/>
      <c r="D20" s="163"/>
      <c r="E20" s="164"/>
      <c r="F20" s="165">
        <v>50050000</v>
      </c>
    </row>
    <row r="21" spans="1:6" s="36" customFormat="1" x14ac:dyDescent="0.25">
      <c r="A21" s="166" t="s">
        <v>22</v>
      </c>
      <c r="B21" s="166" t="s">
        <v>23</v>
      </c>
      <c r="C21" s="168"/>
      <c r="D21" s="168"/>
      <c r="E21" s="169"/>
      <c r="F21" s="167">
        <v>8125000</v>
      </c>
    </row>
    <row r="22" spans="1:6" s="36" customFormat="1" x14ac:dyDescent="0.25">
      <c r="A22" s="170"/>
      <c r="B22" s="171" t="s">
        <v>355</v>
      </c>
      <c r="C22" s="172">
        <v>75</v>
      </c>
      <c r="D22" s="172" t="s">
        <v>296</v>
      </c>
      <c r="E22" s="173">
        <v>57000</v>
      </c>
      <c r="F22" s="173">
        <v>4275000</v>
      </c>
    </row>
    <row r="23" spans="1:6" s="36" customFormat="1" x14ac:dyDescent="0.25">
      <c r="A23" s="170"/>
      <c r="B23" s="171" t="s">
        <v>356</v>
      </c>
      <c r="C23" s="172">
        <v>75</v>
      </c>
      <c r="D23" s="172" t="s">
        <v>296</v>
      </c>
      <c r="E23" s="173">
        <v>24000</v>
      </c>
      <c r="F23" s="173">
        <v>1800000</v>
      </c>
    </row>
    <row r="24" spans="1:6" s="36" customFormat="1" x14ac:dyDescent="0.25">
      <c r="A24" s="170"/>
      <c r="B24" s="175" t="s">
        <v>358</v>
      </c>
      <c r="C24" s="172">
        <v>1</v>
      </c>
      <c r="D24" s="172" t="s">
        <v>298</v>
      </c>
      <c r="E24" s="173">
        <v>1000000</v>
      </c>
      <c r="F24" s="173">
        <v>1000000</v>
      </c>
    </row>
    <row r="25" spans="1:6" s="36" customFormat="1" x14ac:dyDescent="0.25">
      <c r="A25" s="170"/>
      <c r="B25" s="175" t="s">
        <v>359</v>
      </c>
      <c r="C25" s="172">
        <v>1</v>
      </c>
      <c r="D25" s="172" t="s">
        <v>298</v>
      </c>
      <c r="E25" s="173">
        <v>500000</v>
      </c>
      <c r="F25" s="173">
        <v>500000</v>
      </c>
    </row>
    <row r="26" spans="1:6" s="36" customFormat="1" x14ac:dyDescent="0.25">
      <c r="A26" s="170"/>
      <c r="B26" s="175" t="s">
        <v>394</v>
      </c>
      <c r="C26" s="172">
        <v>1</v>
      </c>
      <c r="D26" s="172" t="s">
        <v>298</v>
      </c>
      <c r="E26" s="173">
        <v>550000</v>
      </c>
      <c r="F26" s="173">
        <v>550000</v>
      </c>
    </row>
    <row r="27" spans="1:6" ht="12.95" customHeight="1" x14ac:dyDescent="0.25">
      <c r="A27" s="166" t="s">
        <v>14</v>
      </c>
      <c r="B27" s="166" t="s">
        <v>15</v>
      </c>
      <c r="C27" s="168"/>
      <c r="D27" s="168"/>
      <c r="E27" s="169"/>
      <c r="F27" s="167">
        <v>4150000</v>
      </c>
    </row>
    <row r="28" spans="1:6" ht="12.95" customHeight="1" x14ac:dyDescent="0.25">
      <c r="A28" s="170"/>
      <c r="B28" s="176" t="s">
        <v>360</v>
      </c>
      <c r="C28" s="172">
        <v>1</v>
      </c>
      <c r="D28" s="172" t="s">
        <v>296</v>
      </c>
      <c r="E28" s="173">
        <v>450000</v>
      </c>
      <c r="F28" s="173">
        <v>450000</v>
      </c>
    </row>
    <row r="29" spans="1:6" ht="12.95" customHeight="1" x14ac:dyDescent="0.25">
      <c r="A29" s="170"/>
      <c r="B29" s="176" t="s">
        <v>361</v>
      </c>
      <c r="C29" s="172">
        <v>1</v>
      </c>
      <c r="D29" s="172" t="s">
        <v>296</v>
      </c>
      <c r="E29" s="173">
        <v>400000</v>
      </c>
      <c r="F29" s="173">
        <v>400000</v>
      </c>
    </row>
    <row r="30" spans="1:6" ht="12.95" customHeight="1" x14ac:dyDescent="0.25">
      <c r="A30" s="170"/>
      <c r="B30" s="176" t="s">
        <v>362</v>
      </c>
      <c r="C30" s="172">
        <v>1</v>
      </c>
      <c r="D30" s="172" t="s">
        <v>296</v>
      </c>
      <c r="E30" s="173">
        <v>300000</v>
      </c>
      <c r="F30" s="173">
        <v>300000</v>
      </c>
    </row>
    <row r="31" spans="1:6" ht="12.95" customHeight="1" x14ac:dyDescent="0.25">
      <c r="A31" s="170"/>
      <c r="B31" s="176" t="s">
        <v>363</v>
      </c>
      <c r="C31" s="172">
        <v>10</v>
      </c>
      <c r="D31" s="172" t="s">
        <v>296</v>
      </c>
      <c r="E31" s="173">
        <v>300000</v>
      </c>
      <c r="F31" s="173">
        <v>3000000</v>
      </c>
    </row>
    <row r="32" spans="1:6" s="138" customFormat="1" ht="12.95" customHeight="1" x14ac:dyDescent="0.25">
      <c r="A32" s="166" t="s">
        <v>16</v>
      </c>
      <c r="B32" s="166" t="s">
        <v>17</v>
      </c>
      <c r="C32" s="168"/>
      <c r="D32" s="168"/>
      <c r="E32" s="169"/>
      <c r="F32" s="167">
        <v>18800000</v>
      </c>
    </row>
    <row r="33" spans="1:6" ht="30" x14ac:dyDescent="0.25">
      <c r="A33" s="170"/>
      <c r="B33" s="171" t="s">
        <v>576</v>
      </c>
      <c r="C33" s="172">
        <v>16</v>
      </c>
      <c r="D33" s="172" t="s">
        <v>297</v>
      </c>
      <c r="E33" s="173">
        <v>1000000</v>
      </c>
      <c r="F33" s="173">
        <v>16000000</v>
      </c>
    </row>
    <row r="34" spans="1:6" x14ac:dyDescent="0.25">
      <c r="A34" s="170"/>
      <c r="B34" s="171" t="s">
        <v>577</v>
      </c>
      <c r="C34" s="172">
        <v>4</v>
      </c>
      <c r="D34" s="172" t="s">
        <v>347</v>
      </c>
      <c r="E34" s="173">
        <v>700000</v>
      </c>
      <c r="F34" s="173">
        <v>2800000</v>
      </c>
    </row>
    <row r="35" spans="1:6" x14ac:dyDescent="0.25">
      <c r="A35" s="166" t="s">
        <v>28</v>
      </c>
      <c r="B35" s="166" t="s">
        <v>29</v>
      </c>
      <c r="C35" s="168"/>
      <c r="D35" s="168"/>
      <c r="E35" s="169"/>
      <c r="F35" s="167">
        <v>18975000</v>
      </c>
    </row>
    <row r="36" spans="1:6" ht="30" x14ac:dyDescent="0.25">
      <c r="A36" s="170"/>
      <c r="B36" s="171" t="s">
        <v>578</v>
      </c>
      <c r="C36" s="172">
        <v>10</v>
      </c>
      <c r="D36" s="172" t="s">
        <v>301</v>
      </c>
      <c r="E36" s="173">
        <v>430000</v>
      </c>
      <c r="F36" s="173">
        <v>4300000</v>
      </c>
    </row>
    <row r="37" spans="1:6" ht="30" x14ac:dyDescent="0.25">
      <c r="A37" s="170"/>
      <c r="B37" s="171" t="s">
        <v>579</v>
      </c>
      <c r="C37" s="172">
        <v>25</v>
      </c>
      <c r="D37" s="172" t="s">
        <v>301</v>
      </c>
      <c r="E37" s="173">
        <v>130000</v>
      </c>
      <c r="F37" s="173">
        <v>3250000</v>
      </c>
    </row>
    <row r="38" spans="1:6" ht="30" x14ac:dyDescent="0.25">
      <c r="A38" s="170"/>
      <c r="B38" s="171" t="s">
        <v>583</v>
      </c>
      <c r="C38" s="172">
        <v>15</v>
      </c>
      <c r="D38" s="172" t="s">
        <v>301</v>
      </c>
      <c r="E38" s="173">
        <v>95000</v>
      </c>
      <c r="F38" s="173">
        <v>1425000</v>
      </c>
    </row>
    <row r="39" spans="1:6" ht="30" x14ac:dyDescent="0.25">
      <c r="A39" s="170"/>
      <c r="B39" s="171" t="s">
        <v>379</v>
      </c>
      <c r="C39" s="172">
        <v>50</v>
      </c>
      <c r="D39" s="172" t="s">
        <v>296</v>
      </c>
      <c r="E39" s="173">
        <v>200000</v>
      </c>
      <c r="F39" s="173">
        <v>10000000</v>
      </c>
    </row>
    <row r="40" spans="1:6" x14ac:dyDescent="0.25">
      <c r="A40" s="162" t="s">
        <v>26</v>
      </c>
      <c r="B40" s="162" t="s">
        <v>88</v>
      </c>
      <c r="C40" s="163"/>
      <c r="D40" s="163"/>
      <c r="E40" s="164"/>
      <c r="F40" s="165">
        <v>50455000</v>
      </c>
    </row>
    <row r="41" spans="1:6" x14ac:dyDescent="0.25">
      <c r="A41" s="166" t="s">
        <v>22</v>
      </c>
      <c r="B41" s="166" t="s">
        <v>23</v>
      </c>
      <c r="C41" s="168"/>
      <c r="D41" s="168"/>
      <c r="E41" s="169"/>
      <c r="F41" s="167">
        <v>8530000</v>
      </c>
    </row>
    <row r="42" spans="1:6" x14ac:dyDescent="0.25">
      <c r="A42" s="170"/>
      <c r="B42" s="171" t="s">
        <v>355</v>
      </c>
      <c r="C42" s="172">
        <v>80</v>
      </c>
      <c r="D42" s="172" t="s">
        <v>296</v>
      </c>
      <c r="E42" s="173">
        <v>57000</v>
      </c>
      <c r="F42" s="173">
        <v>4560000</v>
      </c>
    </row>
    <row r="43" spans="1:6" x14ac:dyDescent="0.25">
      <c r="A43" s="170"/>
      <c r="B43" s="171" t="s">
        <v>356</v>
      </c>
      <c r="C43" s="172">
        <v>80</v>
      </c>
      <c r="D43" s="172" t="s">
        <v>296</v>
      </c>
      <c r="E43" s="173">
        <v>24000</v>
      </c>
      <c r="F43" s="173">
        <v>1920000</v>
      </c>
    </row>
    <row r="44" spans="1:6" x14ac:dyDescent="0.25">
      <c r="A44" s="170"/>
      <c r="B44" s="175" t="s">
        <v>358</v>
      </c>
      <c r="C44" s="172">
        <v>1</v>
      </c>
      <c r="D44" s="172" t="s">
        <v>298</v>
      </c>
      <c r="E44" s="173">
        <v>1000000</v>
      </c>
      <c r="F44" s="173">
        <v>1000000</v>
      </c>
    </row>
    <row r="45" spans="1:6" x14ac:dyDescent="0.25">
      <c r="A45" s="170"/>
      <c r="B45" s="175" t="s">
        <v>359</v>
      </c>
      <c r="C45" s="172">
        <v>1</v>
      </c>
      <c r="D45" s="172" t="s">
        <v>298</v>
      </c>
      <c r="E45" s="173">
        <v>500000</v>
      </c>
      <c r="F45" s="173">
        <v>500000</v>
      </c>
    </row>
    <row r="46" spans="1:6" x14ac:dyDescent="0.25">
      <c r="A46" s="170"/>
      <c r="B46" s="175" t="s">
        <v>394</v>
      </c>
      <c r="C46" s="172">
        <v>1</v>
      </c>
      <c r="D46" s="172" t="s">
        <v>298</v>
      </c>
      <c r="E46" s="173">
        <v>550000</v>
      </c>
      <c r="F46" s="173">
        <v>550000</v>
      </c>
    </row>
    <row r="47" spans="1:6" x14ac:dyDescent="0.25">
      <c r="A47" s="166" t="s">
        <v>14</v>
      </c>
      <c r="B47" s="166" t="s">
        <v>15</v>
      </c>
      <c r="C47" s="168"/>
      <c r="D47" s="168"/>
      <c r="E47" s="169"/>
      <c r="F47" s="167">
        <v>4150000</v>
      </c>
    </row>
    <row r="48" spans="1:6" ht="30" x14ac:dyDescent="0.25">
      <c r="A48" s="170"/>
      <c r="B48" s="176" t="s">
        <v>360</v>
      </c>
      <c r="C48" s="172">
        <v>1</v>
      </c>
      <c r="D48" s="172" t="s">
        <v>296</v>
      </c>
      <c r="E48" s="173">
        <v>450000</v>
      </c>
      <c r="F48" s="173">
        <v>450000</v>
      </c>
    </row>
    <row r="49" spans="1:6" ht="30" x14ac:dyDescent="0.25">
      <c r="A49" s="170"/>
      <c r="B49" s="176" t="s">
        <v>361</v>
      </c>
      <c r="C49" s="172">
        <v>1</v>
      </c>
      <c r="D49" s="172" t="s">
        <v>296</v>
      </c>
      <c r="E49" s="173">
        <v>400000</v>
      </c>
      <c r="F49" s="173">
        <v>400000</v>
      </c>
    </row>
    <row r="50" spans="1:6" ht="30" x14ac:dyDescent="0.25">
      <c r="A50" s="170"/>
      <c r="B50" s="176" t="s">
        <v>362</v>
      </c>
      <c r="C50" s="172">
        <v>1</v>
      </c>
      <c r="D50" s="172" t="s">
        <v>296</v>
      </c>
      <c r="E50" s="173">
        <v>300000</v>
      </c>
      <c r="F50" s="173">
        <v>300000</v>
      </c>
    </row>
    <row r="51" spans="1:6" ht="30" x14ac:dyDescent="0.25">
      <c r="A51" s="170"/>
      <c r="B51" s="176" t="s">
        <v>363</v>
      </c>
      <c r="C51" s="172">
        <v>10</v>
      </c>
      <c r="D51" s="172" t="s">
        <v>296</v>
      </c>
      <c r="E51" s="173">
        <v>300000</v>
      </c>
      <c r="F51" s="173">
        <v>3000000</v>
      </c>
    </row>
    <row r="52" spans="1:6" x14ac:dyDescent="0.25">
      <c r="A52" s="166" t="s">
        <v>16</v>
      </c>
      <c r="B52" s="166" t="s">
        <v>17</v>
      </c>
      <c r="C52" s="168"/>
      <c r="D52" s="168"/>
      <c r="E52" s="169"/>
      <c r="F52" s="167">
        <v>18800000</v>
      </c>
    </row>
    <row r="53" spans="1:6" ht="30" x14ac:dyDescent="0.25">
      <c r="A53" s="170"/>
      <c r="B53" s="171" t="s">
        <v>576</v>
      </c>
      <c r="C53" s="172">
        <v>16</v>
      </c>
      <c r="D53" s="172" t="s">
        <v>297</v>
      </c>
      <c r="E53" s="173">
        <v>1000000</v>
      </c>
      <c r="F53" s="173">
        <v>16000000</v>
      </c>
    </row>
    <row r="54" spans="1:6" x14ac:dyDescent="0.25">
      <c r="A54" s="170"/>
      <c r="B54" s="171" t="s">
        <v>577</v>
      </c>
      <c r="C54" s="172">
        <v>4</v>
      </c>
      <c r="D54" s="172" t="s">
        <v>347</v>
      </c>
      <c r="E54" s="173">
        <v>700000</v>
      </c>
      <c r="F54" s="173">
        <v>2800000</v>
      </c>
    </row>
    <row r="55" spans="1:6" x14ac:dyDescent="0.25">
      <c r="A55" s="166" t="s">
        <v>28</v>
      </c>
      <c r="B55" s="166" t="s">
        <v>29</v>
      </c>
      <c r="C55" s="168"/>
      <c r="D55" s="168"/>
      <c r="E55" s="169"/>
      <c r="F55" s="167">
        <v>18975000</v>
      </c>
    </row>
    <row r="56" spans="1:6" ht="30" x14ac:dyDescent="0.25">
      <c r="A56" s="170"/>
      <c r="B56" s="171" t="s">
        <v>578</v>
      </c>
      <c r="C56" s="172">
        <v>10</v>
      </c>
      <c r="D56" s="172" t="s">
        <v>301</v>
      </c>
      <c r="E56" s="173">
        <v>430000</v>
      </c>
      <c r="F56" s="173">
        <v>4300000</v>
      </c>
    </row>
    <row r="57" spans="1:6" ht="30" x14ac:dyDescent="0.25">
      <c r="A57" s="170"/>
      <c r="B57" s="171" t="s">
        <v>579</v>
      </c>
      <c r="C57" s="172">
        <v>25</v>
      </c>
      <c r="D57" s="172" t="s">
        <v>301</v>
      </c>
      <c r="E57" s="173">
        <v>130000</v>
      </c>
      <c r="F57" s="173">
        <v>3250000</v>
      </c>
    </row>
    <row r="58" spans="1:6" ht="30" x14ac:dyDescent="0.25">
      <c r="A58" s="170"/>
      <c r="B58" s="171" t="s">
        <v>583</v>
      </c>
      <c r="C58" s="172">
        <v>15</v>
      </c>
      <c r="D58" s="172" t="s">
        <v>301</v>
      </c>
      <c r="E58" s="173">
        <v>95000</v>
      </c>
      <c r="F58" s="173">
        <v>1425000</v>
      </c>
    </row>
    <row r="59" spans="1:6" ht="30" x14ac:dyDescent="0.25">
      <c r="A59" s="170"/>
      <c r="B59" s="171" t="s">
        <v>379</v>
      </c>
      <c r="C59" s="172">
        <v>50</v>
      </c>
      <c r="D59" s="172" t="s">
        <v>296</v>
      </c>
      <c r="E59" s="173">
        <v>200000</v>
      </c>
      <c r="F59" s="173">
        <v>10000000</v>
      </c>
    </row>
    <row r="60" spans="1:6" x14ac:dyDescent="0.25">
      <c r="A60" s="162" t="s">
        <v>32</v>
      </c>
      <c r="B60" s="162" t="s">
        <v>89</v>
      </c>
      <c r="C60" s="163"/>
      <c r="D60" s="163"/>
      <c r="E60" s="164"/>
      <c r="F60" s="165">
        <v>363725000</v>
      </c>
    </row>
    <row r="61" spans="1:6" x14ac:dyDescent="0.25">
      <c r="A61" s="166" t="s">
        <v>22</v>
      </c>
      <c r="B61" s="166" t="s">
        <v>23</v>
      </c>
      <c r="C61" s="168"/>
      <c r="D61" s="168"/>
      <c r="E61" s="169"/>
      <c r="F61" s="167">
        <v>45025000</v>
      </c>
    </row>
    <row r="62" spans="1:6" ht="30" x14ac:dyDescent="0.25">
      <c r="A62" s="170"/>
      <c r="B62" s="171" t="s">
        <v>611</v>
      </c>
      <c r="C62" s="172">
        <v>500</v>
      </c>
      <c r="D62" s="172" t="s">
        <v>296</v>
      </c>
      <c r="E62" s="173">
        <v>57000</v>
      </c>
      <c r="F62" s="173">
        <v>28500000</v>
      </c>
    </row>
    <row r="63" spans="1:6" ht="30" x14ac:dyDescent="0.25">
      <c r="A63" s="170"/>
      <c r="B63" s="171" t="s">
        <v>612</v>
      </c>
      <c r="C63" s="172">
        <v>500</v>
      </c>
      <c r="D63" s="172" t="s">
        <v>296</v>
      </c>
      <c r="E63" s="173">
        <v>24000</v>
      </c>
      <c r="F63" s="173">
        <v>12000000</v>
      </c>
    </row>
    <row r="64" spans="1:6" x14ac:dyDescent="0.25">
      <c r="A64" s="170"/>
      <c r="B64" s="175" t="s">
        <v>358</v>
      </c>
      <c r="C64" s="172">
        <v>2</v>
      </c>
      <c r="D64" s="172" t="s">
        <v>298</v>
      </c>
      <c r="E64" s="173">
        <v>1000000</v>
      </c>
      <c r="F64" s="173">
        <v>2000000</v>
      </c>
    </row>
    <row r="65" spans="1:6" x14ac:dyDescent="0.25">
      <c r="A65" s="170"/>
      <c r="B65" s="175" t="s">
        <v>359</v>
      </c>
      <c r="C65" s="172">
        <v>2</v>
      </c>
      <c r="D65" s="172" t="s">
        <v>298</v>
      </c>
      <c r="E65" s="173">
        <v>1000000</v>
      </c>
      <c r="F65" s="173">
        <v>2000000</v>
      </c>
    </row>
    <row r="66" spans="1:6" x14ac:dyDescent="0.25">
      <c r="A66" s="170"/>
      <c r="B66" s="175" t="s">
        <v>344</v>
      </c>
      <c r="C66" s="172">
        <v>1</v>
      </c>
      <c r="D66" s="172" t="s">
        <v>298</v>
      </c>
      <c r="E66" s="173">
        <v>525000</v>
      </c>
      <c r="F66" s="173">
        <v>525000</v>
      </c>
    </row>
    <row r="67" spans="1:6" x14ac:dyDescent="0.25">
      <c r="A67" s="166" t="s">
        <v>16</v>
      </c>
      <c r="B67" s="166" t="s">
        <v>17</v>
      </c>
      <c r="C67" s="168"/>
      <c r="D67" s="168"/>
      <c r="E67" s="169"/>
      <c r="F67" s="167">
        <v>50800000</v>
      </c>
    </row>
    <row r="68" spans="1:6" ht="30" x14ac:dyDescent="0.25">
      <c r="A68" s="170"/>
      <c r="B68" s="171" t="s">
        <v>580</v>
      </c>
      <c r="C68" s="172">
        <v>48</v>
      </c>
      <c r="D68" s="172" t="s">
        <v>297</v>
      </c>
      <c r="E68" s="173">
        <v>1000000</v>
      </c>
      <c r="F68" s="173">
        <v>48000000</v>
      </c>
    </row>
    <row r="69" spans="1:6" x14ac:dyDescent="0.25">
      <c r="A69" s="170"/>
      <c r="B69" s="171" t="s">
        <v>577</v>
      </c>
      <c r="C69" s="172">
        <v>4</v>
      </c>
      <c r="D69" s="172" t="s">
        <v>347</v>
      </c>
      <c r="E69" s="173">
        <v>700000</v>
      </c>
      <c r="F69" s="173">
        <v>2800000</v>
      </c>
    </row>
    <row r="70" spans="1:6" x14ac:dyDescent="0.25">
      <c r="A70" s="166" t="s">
        <v>18</v>
      </c>
      <c r="B70" s="166" t="s">
        <v>19</v>
      </c>
      <c r="C70" s="168"/>
      <c r="D70" s="168"/>
      <c r="E70" s="169"/>
      <c r="F70" s="167">
        <v>36480000</v>
      </c>
    </row>
    <row r="71" spans="1:6" ht="30" x14ac:dyDescent="0.25">
      <c r="A71" s="170"/>
      <c r="B71" s="171" t="s">
        <v>581</v>
      </c>
      <c r="C71" s="172">
        <v>96</v>
      </c>
      <c r="D71" s="172" t="s">
        <v>301</v>
      </c>
      <c r="E71" s="173">
        <v>210000</v>
      </c>
      <c r="F71" s="173">
        <v>20160000</v>
      </c>
    </row>
    <row r="72" spans="1:6" ht="30" x14ac:dyDescent="0.25">
      <c r="A72" s="170"/>
      <c r="B72" s="171" t="s">
        <v>582</v>
      </c>
      <c r="C72" s="172">
        <v>96</v>
      </c>
      <c r="D72" s="172" t="s">
        <v>296</v>
      </c>
      <c r="E72" s="173">
        <v>170000</v>
      </c>
      <c r="F72" s="173">
        <v>16320000</v>
      </c>
    </row>
    <row r="73" spans="1:6" x14ac:dyDescent="0.25">
      <c r="A73" s="166" t="s">
        <v>28</v>
      </c>
      <c r="B73" s="166" t="s">
        <v>29</v>
      </c>
      <c r="C73" s="168"/>
      <c r="D73" s="168"/>
      <c r="E73" s="169"/>
      <c r="F73" s="167">
        <v>231420000</v>
      </c>
    </row>
    <row r="74" spans="1:6" ht="30" x14ac:dyDescent="0.25">
      <c r="A74" s="170"/>
      <c r="B74" s="171" t="s">
        <v>613</v>
      </c>
      <c r="C74" s="172">
        <v>180</v>
      </c>
      <c r="D74" s="172" t="s">
        <v>301</v>
      </c>
      <c r="E74" s="173">
        <v>430000</v>
      </c>
      <c r="F74" s="173">
        <v>77400000</v>
      </c>
    </row>
    <row r="75" spans="1:6" ht="30" x14ac:dyDescent="0.25">
      <c r="A75" s="170"/>
      <c r="B75" s="171" t="s">
        <v>614</v>
      </c>
      <c r="C75" s="172">
        <v>180</v>
      </c>
      <c r="D75" s="172" t="s">
        <v>296</v>
      </c>
      <c r="E75" s="173">
        <v>284000</v>
      </c>
      <c r="F75" s="173">
        <v>51120000</v>
      </c>
    </row>
    <row r="76" spans="1:6" x14ac:dyDescent="0.25">
      <c r="A76" s="170"/>
      <c r="B76" s="171" t="s">
        <v>615</v>
      </c>
      <c r="C76" s="172">
        <v>150</v>
      </c>
      <c r="D76" s="172" t="s">
        <v>296</v>
      </c>
      <c r="E76" s="173">
        <v>686000</v>
      </c>
      <c r="F76" s="173">
        <v>102900000</v>
      </c>
    </row>
    <row r="79" spans="1:6" ht="15.75" x14ac:dyDescent="0.3">
      <c r="C79" s="196" t="s">
        <v>500</v>
      </c>
    </row>
    <row r="80" spans="1:6" ht="15.75" x14ac:dyDescent="0.3">
      <c r="C80" s="196"/>
    </row>
    <row r="81" spans="3:3" ht="15.75" x14ac:dyDescent="0.3">
      <c r="C81" s="196"/>
    </row>
    <row r="82" spans="3:3" ht="15.75" x14ac:dyDescent="0.3">
      <c r="C82" s="196"/>
    </row>
    <row r="83" spans="3:3" ht="15.75" x14ac:dyDescent="0.3">
      <c r="C83" s="196"/>
    </row>
    <row r="84" spans="3:3" ht="15.75" x14ac:dyDescent="0.3">
      <c r="C84" s="196" t="s">
        <v>501</v>
      </c>
    </row>
    <row r="85" spans="3:3" ht="15.75" x14ac:dyDescent="0.3">
      <c r="C85" s="196" t="s">
        <v>502</v>
      </c>
    </row>
  </sheetData>
  <autoFilter ref="A17:B19" xr:uid="{3672E4ED-D1AC-4CAC-ABB6-F68B3F342D3D}"/>
  <mergeCells count="7">
    <mergeCell ref="A1:F1"/>
    <mergeCell ref="A16:A17"/>
    <mergeCell ref="B16:B17"/>
    <mergeCell ref="C16:C17"/>
    <mergeCell ref="D16:D17"/>
    <mergeCell ref="E16:E17"/>
    <mergeCell ref="F16:F17"/>
  </mergeCells>
  <pageMargins left="0.39370078740157483" right="0" top="0.39370078740157483" bottom="0.63" header="0" footer="0"/>
  <pageSetup paperSize="9" scale="79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ED1E-4715-4675-8C66-3F46E4F282DB}">
  <sheetPr>
    <tabColor rgb="FF92D050"/>
    <outlinePr summaryBelow="0"/>
    <pageSetUpPr fitToPage="1"/>
  </sheetPr>
  <dimension ref="A1:M71"/>
  <sheetViews>
    <sheetView showGridLines="0" topLeftCell="A13" zoomScale="85" zoomScaleNormal="85" workbookViewId="0">
      <selection activeCell="N56" sqref="N56"/>
    </sheetView>
  </sheetViews>
  <sheetFormatPr defaultColWidth="9.140625" defaultRowHeight="15" x14ac:dyDescent="0.25"/>
  <cols>
    <col min="1" max="1" width="24.5703125" style="199" customWidth="1"/>
    <col min="2" max="2" width="67.85546875" style="270" customWidth="1"/>
    <col min="3" max="3" width="10.140625" style="199" customWidth="1"/>
    <col min="4" max="4" width="18.28515625" style="199" customWidth="1"/>
    <col min="5" max="5" width="7.42578125" style="197" customWidth="1"/>
    <col min="6" max="6" width="8.7109375" style="197" customWidth="1"/>
    <col min="7" max="7" width="7.42578125" style="197" hidden="1" customWidth="1"/>
    <col min="8" max="8" width="9.28515625" style="197" bestFit="1" customWidth="1"/>
    <col min="9" max="9" width="11.28515625" style="197" bestFit="1" customWidth="1"/>
    <col min="10" max="16384" width="9.140625" style="197"/>
  </cols>
  <sheetData>
    <row r="1" spans="1:13" s="198" customFormat="1" x14ac:dyDescent="0.25">
      <c r="A1" s="412" t="s">
        <v>744</v>
      </c>
      <c r="B1" s="412"/>
      <c r="C1" s="412"/>
      <c r="D1" s="412"/>
      <c r="E1" s="412"/>
      <c r="F1" s="412"/>
      <c r="G1" s="412"/>
      <c r="H1" s="412"/>
      <c r="I1" s="412"/>
      <c r="J1" s="197"/>
      <c r="K1" s="197"/>
      <c r="L1" s="197"/>
      <c r="M1" s="197"/>
    </row>
    <row r="3" spans="1:13" s="198" customFormat="1" x14ac:dyDescent="0.25">
      <c r="A3" s="304" t="s">
        <v>480</v>
      </c>
      <c r="B3" s="270" t="s">
        <v>630</v>
      </c>
      <c r="C3" s="199"/>
      <c r="D3" s="199"/>
      <c r="E3" s="197"/>
      <c r="F3" s="197"/>
      <c r="G3" s="197"/>
      <c r="H3" s="197"/>
      <c r="I3" s="197"/>
      <c r="J3" s="197"/>
      <c r="K3" s="197"/>
      <c r="L3" s="197"/>
      <c r="M3" s="197"/>
    </row>
    <row r="4" spans="1:13" s="198" customFormat="1" x14ac:dyDescent="0.25">
      <c r="A4" s="304" t="s">
        <v>481</v>
      </c>
      <c r="B4" s="270" t="s">
        <v>490</v>
      </c>
      <c r="C4" s="199"/>
      <c r="D4" s="199"/>
      <c r="E4" s="197"/>
      <c r="F4" s="197"/>
      <c r="G4" s="197"/>
      <c r="H4" s="197"/>
      <c r="I4" s="197"/>
      <c r="J4" s="197"/>
      <c r="K4" s="197"/>
      <c r="L4" s="197"/>
      <c r="M4" s="197"/>
    </row>
    <row r="5" spans="1:13" s="198" customFormat="1" x14ac:dyDescent="0.25">
      <c r="A5" s="304" t="s">
        <v>482</v>
      </c>
      <c r="B5" s="270" t="s">
        <v>717</v>
      </c>
      <c r="C5" s="199"/>
      <c r="D5" s="199"/>
      <c r="E5" s="197"/>
      <c r="F5" s="197"/>
      <c r="G5" s="197"/>
      <c r="H5" s="197"/>
      <c r="I5" s="197"/>
      <c r="J5" s="197"/>
      <c r="K5" s="197"/>
      <c r="L5" s="197"/>
      <c r="M5" s="197"/>
    </row>
    <row r="6" spans="1:13" s="198" customFormat="1" x14ac:dyDescent="0.25">
      <c r="A6" s="304" t="s">
        <v>483</v>
      </c>
      <c r="B6" s="270" t="s">
        <v>718</v>
      </c>
      <c r="C6" s="199"/>
      <c r="D6" s="199"/>
      <c r="E6" s="197"/>
      <c r="F6" s="197"/>
      <c r="G6" s="197"/>
      <c r="H6" s="197"/>
      <c r="I6" s="197"/>
      <c r="J6" s="197"/>
      <c r="K6" s="197"/>
      <c r="L6" s="197"/>
      <c r="M6" s="197"/>
    </row>
    <row r="7" spans="1:13" s="198" customFormat="1" ht="30" x14ac:dyDescent="0.25">
      <c r="A7" s="309" t="s">
        <v>484</v>
      </c>
      <c r="B7" s="270" t="s">
        <v>759</v>
      </c>
      <c r="C7" s="199"/>
      <c r="D7" s="199"/>
      <c r="E7" s="197"/>
      <c r="F7" s="197"/>
      <c r="G7" s="197"/>
      <c r="H7" s="197"/>
      <c r="I7" s="197"/>
      <c r="J7" s="197"/>
      <c r="K7" s="197"/>
      <c r="L7" s="197"/>
      <c r="M7" s="197"/>
    </row>
    <row r="8" spans="1:13" s="198" customFormat="1" x14ac:dyDescent="0.25">
      <c r="A8" s="304" t="s">
        <v>485</v>
      </c>
      <c r="B8" s="270" t="s">
        <v>719</v>
      </c>
      <c r="C8" s="199"/>
      <c r="D8" s="199"/>
      <c r="E8" s="197"/>
      <c r="F8" s="197"/>
      <c r="G8" s="197"/>
      <c r="H8" s="197"/>
      <c r="I8" s="197"/>
      <c r="J8" s="197"/>
      <c r="K8" s="197"/>
      <c r="L8" s="197"/>
      <c r="M8" s="197"/>
    </row>
    <row r="9" spans="1:13" s="198" customFormat="1" x14ac:dyDescent="0.25">
      <c r="A9" s="304" t="s">
        <v>745</v>
      </c>
      <c r="B9" s="270" t="s">
        <v>720</v>
      </c>
      <c r="C9" s="199"/>
      <c r="D9" s="199"/>
      <c r="E9" s="197"/>
      <c r="F9" s="197"/>
      <c r="G9" s="197"/>
      <c r="H9" s="197"/>
      <c r="I9" s="197"/>
      <c r="J9" s="197"/>
      <c r="K9" s="197"/>
      <c r="L9" s="197"/>
      <c r="M9" s="197"/>
    </row>
    <row r="10" spans="1:13" s="198" customFormat="1" x14ac:dyDescent="0.25">
      <c r="A10" s="304" t="s">
        <v>747</v>
      </c>
      <c r="B10" s="270" t="s">
        <v>511</v>
      </c>
      <c r="C10" s="199"/>
      <c r="D10" s="199"/>
      <c r="E10" s="197"/>
      <c r="F10" s="197"/>
      <c r="G10" s="197"/>
      <c r="H10" s="197"/>
      <c r="I10" s="197"/>
      <c r="J10" s="197"/>
      <c r="K10" s="197"/>
      <c r="L10" s="197"/>
      <c r="M10" s="197"/>
    </row>
    <row r="11" spans="1:13" s="198" customFormat="1" x14ac:dyDescent="0.25">
      <c r="A11" s="304" t="s">
        <v>748</v>
      </c>
      <c r="B11" s="270" t="s">
        <v>592</v>
      </c>
      <c r="C11" s="199"/>
      <c r="D11" s="199"/>
      <c r="E11" s="197"/>
      <c r="F11" s="197"/>
      <c r="G11" s="197"/>
      <c r="H11" s="197"/>
      <c r="I11" s="197"/>
      <c r="J11" s="197"/>
      <c r="K11" s="197"/>
      <c r="L11" s="197"/>
      <c r="M11" s="197"/>
    </row>
    <row r="12" spans="1:13" s="198" customFormat="1" x14ac:dyDescent="0.25">
      <c r="A12" s="304" t="s">
        <v>488</v>
      </c>
      <c r="B12" s="270" t="s">
        <v>779</v>
      </c>
      <c r="C12" s="199"/>
      <c r="D12" s="199"/>
      <c r="E12" s="197"/>
      <c r="F12" s="197"/>
      <c r="G12" s="197"/>
      <c r="H12" s="197"/>
      <c r="I12" s="197"/>
      <c r="J12" s="197"/>
      <c r="K12" s="197"/>
      <c r="L12" s="197"/>
      <c r="M12" s="197"/>
    </row>
    <row r="15" spans="1:13" s="200" customFormat="1" ht="33" customHeight="1" x14ac:dyDescent="0.25">
      <c r="A15" s="417" t="s">
        <v>749</v>
      </c>
      <c r="B15" s="419" t="s">
        <v>750</v>
      </c>
      <c r="C15" s="419" t="s">
        <v>751</v>
      </c>
      <c r="D15" s="419" t="s">
        <v>752</v>
      </c>
      <c r="E15" s="421" t="s">
        <v>755</v>
      </c>
      <c r="F15" s="422"/>
      <c r="G15" s="423"/>
      <c r="H15" s="419" t="s">
        <v>322</v>
      </c>
      <c r="I15" s="419" t="s">
        <v>743</v>
      </c>
    </row>
    <row r="16" spans="1:13" s="200" customFormat="1" x14ac:dyDescent="0.25">
      <c r="A16" s="418"/>
      <c r="B16" s="420"/>
      <c r="C16" s="420"/>
      <c r="D16" s="420"/>
      <c r="E16" s="288" t="s">
        <v>754</v>
      </c>
      <c r="F16" s="288" t="s">
        <v>780</v>
      </c>
      <c r="G16" s="288" t="s">
        <v>753</v>
      </c>
      <c r="H16" s="420"/>
      <c r="I16" s="420"/>
    </row>
    <row r="17" spans="1:9" s="137" customFormat="1" ht="30" x14ac:dyDescent="0.25">
      <c r="A17" s="154" t="s">
        <v>660</v>
      </c>
      <c r="B17" s="154" t="s">
        <v>84</v>
      </c>
      <c r="C17" s="311" t="s">
        <v>783</v>
      </c>
      <c r="D17" s="280"/>
      <c r="E17" s="155" t="s">
        <v>308</v>
      </c>
      <c r="F17" s="155" t="s">
        <v>85</v>
      </c>
      <c r="G17" s="155" t="s">
        <v>308</v>
      </c>
      <c r="H17" s="156"/>
      <c r="I17" s="157">
        <f>I18</f>
        <v>193288000</v>
      </c>
    </row>
    <row r="18" spans="1:9" s="137" customFormat="1" x14ac:dyDescent="0.25">
      <c r="A18" s="158" t="s">
        <v>9</v>
      </c>
      <c r="B18" s="158" t="s">
        <v>86</v>
      </c>
      <c r="C18" s="161"/>
      <c r="D18" s="310" t="s">
        <v>756</v>
      </c>
      <c r="E18" s="159"/>
      <c r="F18" s="159" t="s">
        <v>11</v>
      </c>
      <c r="G18" s="159"/>
      <c r="H18" s="160"/>
      <c r="I18" s="161">
        <f>I19+I31+I48</f>
        <v>193288000</v>
      </c>
    </row>
    <row r="19" spans="1:9" s="137" customFormat="1" x14ac:dyDescent="0.25">
      <c r="A19" s="162" t="s">
        <v>12</v>
      </c>
      <c r="B19" s="162" t="s">
        <v>87</v>
      </c>
      <c r="C19" s="165"/>
      <c r="D19" s="165"/>
      <c r="E19" s="163"/>
      <c r="F19" s="163"/>
      <c r="G19" s="163"/>
      <c r="H19" s="164"/>
      <c r="I19" s="165">
        <f>I20+I23+I28+I25</f>
        <v>48920000</v>
      </c>
    </row>
    <row r="20" spans="1:9" s="137" customFormat="1" x14ac:dyDescent="0.25">
      <c r="A20" s="166" t="s">
        <v>22</v>
      </c>
      <c r="B20" s="166" t="s">
        <v>23</v>
      </c>
      <c r="C20" s="167"/>
      <c r="D20" s="167"/>
      <c r="E20" s="168"/>
      <c r="F20" s="168"/>
      <c r="G20" s="168"/>
      <c r="H20" s="169"/>
      <c r="I20" s="167">
        <f>SUM(I21:I22)</f>
        <v>8100000</v>
      </c>
    </row>
    <row r="21" spans="1:9" s="137" customFormat="1" x14ac:dyDescent="0.25">
      <c r="A21" s="170"/>
      <c r="B21" s="171" t="s">
        <v>355</v>
      </c>
      <c r="C21" s="173"/>
      <c r="D21" s="173"/>
      <c r="E21" s="172" t="s">
        <v>296</v>
      </c>
      <c r="F21" s="172">
        <v>100</v>
      </c>
      <c r="G21" s="172" t="s">
        <v>296</v>
      </c>
      <c r="H21" s="173">
        <v>57000</v>
      </c>
      <c r="I21" s="173">
        <f>F21*H21</f>
        <v>5700000</v>
      </c>
    </row>
    <row r="22" spans="1:9" s="137" customFormat="1" x14ac:dyDescent="0.25">
      <c r="A22" s="170"/>
      <c r="B22" s="171" t="s">
        <v>356</v>
      </c>
      <c r="C22" s="173"/>
      <c r="D22" s="173"/>
      <c r="E22" s="172" t="s">
        <v>296</v>
      </c>
      <c r="F22" s="172">
        <v>100</v>
      </c>
      <c r="G22" s="172" t="s">
        <v>296</v>
      </c>
      <c r="H22" s="173">
        <v>24000</v>
      </c>
      <c r="I22" s="173">
        <f>F22*H22</f>
        <v>2400000</v>
      </c>
    </row>
    <row r="23" spans="1:9" s="137" customFormat="1" x14ac:dyDescent="0.25">
      <c r="A23" s="166" t="s">
        <v>16</v>
      </c>
      <c r="B23" s="166" t="s">
        <v>17</v>
      </c>
      <c r="C23" s="167"/>
      <c r="D23" s="167"/>
      <c r="E23" s="168"/>
      <c r="F23" s="168"/>
      <c r="G23" s="168"/>
      <c r="H23" s="169"/>
      <c r="I23" s="167">
        <f>SUM(I24:I24)</f>
        <v>12000000</v>
      </c>
    </row>
    <row r="24" spans="1:9" s="137" customFormat="1" x14ac:dyDescent="0.25">
      <c r="A24" s="170"/>
      <c r="B24" s="171" t="s">
        <v>782</v>
      </c>
      <c r="C24" s="173"/>
      <c r="D24" s="173"/>
      <c r="E24" s="172" t="s">
        <v>297</v>
      </c>
      <c r="F24" s="172">
        <v>12</v>
      </c>
      <c r="G24" s="172" t="s">
        <v>297</v>
      </c>
      <c r="H24" s="173">
        <v>1000000</v>
      </c>
      <c r="I24" s="173">
        <f>F24*H24</f>
        <v>12000000</v>
      </c>
    </row>
    <row r="25" spans="1:9" s="137" customFormat="1" x14ac:dyDescent="0.25">
      <c r="A25" s="166" t="s">
        <v>28</v>
      </c>
      <c r="B25" s="166" t="s">
        <v>29</v>
      </c>
      <c r="C25" s="167"/>
      <c r="D25" s="167"/>
      <c r="E25" s="168"/>
      <c r="F25" s="168"/>
      <c r="G25" s="168"/>
      <c r="H25" s="169"/>
      <c r="I25" s="167">
        <f>SUM(I26:I27)</f>
        <v>8300000</v>
      </c>
    </row>
    <row r="26" spans="1:9" s="137" customFormat="1" x14ac:dyDescent="0.25">
      <c r="A26" s="170"/>
      <c r="B26" s="171" t="s">
        <v>656</v>
      </c>
      <c r="C26" s="173"/>
      <c r="D26" s="173"/>
      <c r="E26" s="172" t="s">
        <v>301</v>
      </c>
      <c r="F26" s="172">
        <v>10</v>
      </c>
      <c r="G26" s="172" t="s">
        <v>301</v>
      </c>
      <c r="H26" s="173">
        <v>430000</v>
      </c>
      <c r="I26" s="173">
        <f>F26*H26</f>
        <v>4300000</v>
      </c>
    </row>
    <row r="27" spans="1:9" s="137" customFormat="1" x14ac:dyDescent="0.25">
      <c r="A27" s="170"/>
      <c r="B27" s="171" t="s">
        <v>657</v>
      </c>
      <c r="C27" s="173"/>
      <c r="D27" s="173"/>
      <c r="E27" s="172" t="s">
        <v>296</v>
      </c>
      <c r="F27" s="172">
        <v>20</v>
      </c>
      <c r="G27" s="172" t="s">
        <v>296</v>
      </c>
      <c r="H27" s="173">
        <v>200000</v>
      </c>
      <c r="I27" s="173">
        <f t="shared" ref="I27" si="0">F27*H27</f>
        <v>4000000</v>
      </c>
    </row>
    <row r="28" spans="1:9" s="137" customFormat="1" x14ac:dyDescent="0.25">
      <c r="A28" s="166" t="s">
        <v>18</v>
      </c>
      <c r="B28" s="166" t="s">
        <v>19</v>
      </c>
      <c r="C28" s="167"/>
      <c r="D28" s="167"/>
      <c r="E28" s="168"/>
      <c r="F28" s="168"/>
      <c r="G28" s="168"/>
      <c r="H28" s="169"/>
      <c r="I28" s="167">
        <f>SUM(I29:I30)</f>
        <v>20520000</v>
      </c>
    </row>
    <row r="29" spans="1:9" s="137" customFormat="1" ht="30" x14ac:dyDescent="0.25">
      <c r="A29" s="170"/>
      <c r="B29" s="171" t="s">
        <v>658</v>
      </c>
      <c r="C29" s="173"/>
      <c r="D29" s="173"/>
      <c r="E29" s="172" t="s">
        <v>301</v>
      </c>
      <c r="F29" s="172">
        <v>54</v>
      </c>
      <c r="G29" s="172" t="s">
        <v>301</v>
      </c>
      <c r="H29" s="173">
        <v>210000</v>
      </c>
      <c r="I29" s="173">
        <f>F29*H29</f>
        <v>11340000</v>
      </c>
    </row>
    <row r="30" spans="1:9" s="137" customFormat="1" ht="30" x14ac:dyDescent="0.25">
      <c r="A30" s="170"/>
      <c r="B30" s="171" t="s">
        <v>659</v>
      </c>
      <c r="C30" s="173"/>
      <c r="D30" s="173"/>
      <c r="E30" s="172" t="s">
        <v>296</v>
      </c>
      <c r="F30" s="172">
        <v>54</v>
      </c>
      <c r="G30" s="172" t="s">
        <v>296</v>
      </c>
      <c r="H30" s="173">
        <v>170000</v>
      </c>
      <c r="I30" s="173">
        <f>F30*H30</f>
        <v>9180000</v>
      </c>
    </row>
    <row r="31" spans="1:9" s="137" customFormat="1" x14ac:dyDescent="0.25">
      <c r="A31" s="162" t="s">
        <v>26</v>
      </c>
      <c r="B31" s="162" t="s">
        <v>88</v>
      </c>
      <c r="C31" s="165"/>
      <c r="D31" s="165"/>
      <c r="E31" s="163"/>
      <c r="F31" s="163"/>
      <c r="G31" s="163"/>
      <c r="H31" s="164"/>
      <c r="I31" s="165">
        <f>I32+I35+I40+I45+I42</f>
        <v>51570000</v>
      </c>
    </row>
    <row r="32" spans="1:9" s="137" customFormat="1" x14ac:dyDescent="0.25">
      <c r="A32" s="166" t="s">
        <v>22</v>
      </c>
      <c r="B32" s="166" t="s">
        <v>23</v>
      </c>
      <c r="C32" s="167"/>
      <c r="D32" s="167"/>
      <c r="E32" s="168"/>
      <c r="F32" s="168"/>
      <c r="G32" s="168"/>
      <c r="H32" s="169"/>
      <c r="I32" s="167">
        <f>SUM(I33:I34)</f>
        <v>8100000</v>
      </c>
    </row>
    <row r="33" spans="1:9" s="137" customFormat="1" x14ac:dyDescent="0.25">
      <c r="A33" s="170"/>
      <c r="B33" s="171" t="s">
        <v>355</v>
      </c>
      <c r="C33" s="173"/>
      <c r="D33" s="173"/>
      <c r="E33" s="172" t="s">
        <v>296</v>
      </c>
      <c r="F33" s="172">
        <v>100</v>
      </c>
      <c r="G33" s="172" t="s">
        <v>296</v>
      </c>
      <c r="H33" s="173">
        <v>57000</v>
      </c>
      <c r="I33" s="173">
        <f>F33*H33</f>
        <v>5700000</v>
      </c>
    </row>
    <row r="34" spans="1:9" s="137" customFormat="1" x14ac:dyDescent="0.25">
      <c r="A34" s="170"/>
      <c r="B34" s="171" t="s">
        <v>356</v>
      </c>
      <c r="C34" s="173"/>
      <c r="D34" s="173"/>
      <c r="E34" s="172" t="s">
        <v>296</v>
      </c>
      <c r="F34" s="172">
        <v>100</v>
      </c>
      <c r="G34" s="172" t="s">
        <v>296</v>
      </c>
      <c r="H34" s="173">
        <v>24000</v>
      </c>
      <c r="I34" s="173">
        <f>F34*H34</f>
        <v>2400000</v>
      </c>
    </row>
    <row r="35" spans="1:9" s="137" customFormat="1" x14ac:dyDescent="0.25">
      <c r="A35" s="166" t="s">
        <v>14</v>
      </c>
      <c r="B35" s="166" t="s">
        <v>15</v>
      </c>
      <c r="C35" s="167"/>
      <c r="D35" s="167"/>
      <c r="E35" s="168"/>
      <c r="F35" s="168"/>
      <c r="G35" s="168"/>
      <c r="H35" s="169"/>
      <c r="I35" s="167">
        <f>SUM(I36:I39)</f>
        <v>2650000</v>
      </c>
    </row>
    <row r="36" spans="1:9" s="137" customFormat="1" ht="30" x14ac:dyDescent="0.25">
      <c r="A36" s="170"/>
      <c r="B36" s="176" t="s">
        <v>360</v>
      </c>
      <c r="C36" s="173"/>
      <c r="D36" s="173"/>
      <c r="E36" s="172" t="s">
        <v>296</v>
      </c>
      <c r="F36" s="172">
        <v>1</v>
      </c>
      <c r="G36" s="172" t="s">
        <v>296</v>
      </c>
      <c r="H36" s="173">
        <v>450000</v>
      </c>
      <c r="I36" s="173">
        <f>F36*H36</f>
        <v>450000</v>
      </c>
    </row>
    <row r="37" spans="1:9" s="137" customFormat="1" ht="30" x14ac:dyDescent="0.25">
      <c r="A37" s="170"/>
      <c r="B37" s="176" t="s">
        <v>361</v>
      </c>
      <c r="C37" s="173"/>
      <c r="D37" s="173"/>
      <c r="E37" s="172" t="s">
        <v>296</v>
      </c>
      <c r="F37" s="172">
        <v>1</v>
      </c>
      <c r="G37" s="172" t="s">
        <v>296</v>
      </c>
      <c r="H37" s="173">
        <v>400000</v>
      </c>
      <c r="I37" s="173">
        <f t="shared" ref="I37:I39" si="1">F37*H37</f>
        <v>400000</v>
      </c>
    </row>
    <row r="38" spans="1:9" s="137" customFormat="1" ht="30" x14ac:dyDescent="0.25">
      <c r="A38" s="170"/>
      <c r="B38" s="176" t="s">
        <v>362</v>
      </c>
      <c r="C38" s="173"/>
      <c r="D38" s="173"/>
      <c r="E38" s="172" t="s">
        <v>296</v>
      </c>
      <c r="F38" s="172">
        <v>1</v>
      </c>
      <c r="G38" s="172" t="s">
        <v>296</v>
      </c>
      <c r="H38" s="173">
        <v>300000</v>
      </c>
      <c r="I38" s="173">
        <f t="shared" si="1"/>
        <v>300000</v>
      </c>
    </row>
    <row r="39" spans="1:9" s="137" customFormat="1" ht="30" x14ac:dyDescent="0.25">
      <c r="A39" s="170"/>
      <c r="B39" s="176" t="s">
        <v>363</v>
      </c>
      <c r="C39" s="173"/>
      <c r="D39" s="173"/>
      <c r="E39" s="172" t="s">
        <v>296</v>
      </c>
      <c r="F39" s="172">
        <v>5</v>
      </c>
      <c r="G39" s="172" t="s">
        <v>296</v>
      </c>
      <c r="H39" s="173">
        <v>300000</v>
      </c>
      <c r="I39" s="173">
        <f t="shared" si="1"/>
        <v>1500000</v>
      </c>
    </row>
    <row r="40" spans="1:9" s="137" customFormat="1" x14ac:dyDescent="0.25">
      <c r="A40" s="166" t="s">
        <v>16</v>
      </c>
      <c r="B40" s="166" t="s">
        <v>17</v>
      </c>
      <c r="C40" s="167"/>
      <c r="D40" s="167"/>
      <c r="E40" s="168"/>
      <c r="F40" s="168"/>
      <c r="G40" s="168"/>
      <c r="H40" s="169"/>
      <c r="I40" s="167">
        <f>SUM(I41:I41)</f>
        <v>12000000</v>
      </c>
    </row>
    <row r="41" spans="1:9" s="137" customFormat="1" x14ac:dyDescent="0.25">
      <c r="A41" s="170"/>
      <c r="B41" s="171" t="s">
        <v>782</v>
      </c>
      <c r="C41" s="173"/>
      <c r="D41" s="173"/>
      <c r="E41" s="172" t="s">
        <v>297</v>
      </c>
      <c r="F41" s="172">
        <v>12</v>
      </c>
      <c r="G41" s="172" t="s">
        <v>297</v>
      </c>
      <c r="H41" s="173">
        <v>1000000</v>
      </c>
      <c r="I41" s="173">
        <f>F41*H41</f>
        <v>12000000</v>
      </c>
    </row>
    <row r="42" spans="1:9" s="137" customFormat="1" x14ac:dyDescent="0.25">
      <c r="A42" s="166" t="s">
        <v>28</v>
      </c>
      <c r="B42" s="166" t="s">
        <v>29</v>
      </c>
      <c r="C42" s="167"/>
      <c r="D42" s="167"/>
      <c r="E42" s="168"/>
      <c r="F42" s="168"/>
      <c r="G42" s="168"/>
      <c r="H42" s="169"/>
      <c r="I42" s="167">
        <f>SUM(I43:I44)</f>
        <v>8300000</v>
      </c>
    </row>
    <row r="43" spans="1:9" s="137" customFormat="1" x14ac:dyDescent="0.25">
      <c r="A43" s="170"/>
      <c r="B43" s="171" t="s">
        <v>656</v>
      </c>
      <c r="C43" s="173"/>
      <c r="D43" s="173"/>
      <c r="E43" s="172" t="s">
        <v>301</v>
      </c>
      <c r="F43" s="172">
        <v>10</v>
      </c>
      <c r="G43" s="172" t="s">
        <v>301</v>
      </c>
      <c r="H43" s="173">
        <v>430000</v>
      </c>
      <c r="I43" s="173">
        <f>F43*H43</f>
        <v>4300000</v>
      </c>
    </row>
    <row r="44" spans="1:9" s="137" customFormat="1" x14ac:dyDescent="0.25">
      <c r="A44" s="170"/>
      <c r="B44" s="171" t="s">
        <v>657</v>
      </c>
      <c r="C44" s="173"/>
      <c r="D44" s="173"/>
      <c r="E44" s="172" t="s">
        <v>296</v>
      </c>
      <c r="F44" s="172">
        <v>20</v>
      </c>
      <c r="G44" s="172" t="s">
        <v>296</v>
      </c>
      <c r="H44" s="173">
        <v>200000</v>
      </c>
      <c r="I44" s="173">
        <f t="shared" ref="I44" si="2">F44*H44</f>
        <v>4000000</v>
      </c>
    </row>
    <row r="45" spans="1:9" s="137" customFormat="1" x14ac:dyDescent="0.25">
      <c r="A45" s="166" t="s">
        <v>18</v>
      </c>
      <c r="B45" s="166" t="s">
        <v>19</v>
      </c>
      <c r="C45" s="167"/>
      <c r="D45" s="167"/>
      <c r="E45" s="168"/>
      <c r="F45" s="168"/>
      <c r="G45" s="168"/>
      <c r="H45" s="169"/>
      <c r="I45" s="167">
        <f>SUM(I46:I47)</f>
        <v>20520000</v>
      </c>
    </row>
    <row r="46" spans="1:9" s="137" customFormat="1" ht="30" x14ac:dyDescent="0.25">
      <c r="A46" s="170"/>
      <c r="B46" s="171" t="s">
        <v>658</v>
      </c>
      <c r="C46" s="173"/>
      <c r="D46" s="173"/>
      <c r="E46" s="172" t="s">
        <v>301</v>
      </c>
      <c r="F46" s="172">
        <v>54</v>
      </c>
      <c r="G46" s="172" t="s">
        <v>301</v>
      </c>
      <c r="H46" s="173">
        <v>210000</v>
      </c>
      <c r="I46" s="173">
        <f>F46*H46</f>
        <v>11340000</v>
      </c>
    </row>
    <row r="47" spans="1:9" s="137" customFormat="1" ht="30" x14ac:dyDescent="0.25">
      <c r="A47" s="170"/>
      <c r="B47" s="171" t="s">
        <v>659</v>
      </c>
      <c r="C47" s="173"/>
      <c r="D47" s="173"/>
      <c r="E47" s="172" t="s">
        <v>296</v>
      </c>
      <c r="F47" s="172">
        <v>54</v>
      </c>
      <c r="G47" s="172" t="s">
        <v>296</v>
      </c>
      <c r="H47" s="173">
        <v>170000</v>
      </c>
      <c r="I47" s="173">
        <f>F47*H47</f>
        <v>9180000</v>
      </c>
    </row>
    <row r="48" spans="1:9" s="137" customFormat="1" x14ac:dyDescent="0.25">
      <c r="A48" s="162" t="s">
        <v>32</v>
      </c>
      <c r="B48" s="162" t="s">
        <v>89</v>
      </c>
      <c r="C48" s="165"/>
      <c r="D48" s="165"/>
      <c r="E48" s="163"/>
      <c r="F48" s="163"/>
      <c r="G48" s="163"/>
      <c r="H48" s="164"/>
      <c r="I48" s="165">
        <f>I49+I53+I60+I56</f>
        <v>92798000</v>
      </c>
    </row>
    <row r="49" spans="1:9" s="137" customFormat="1" x14ac:dyDescent="0.25">
      <c r="A49" s="166" t="s">
        <v>22</v>
      </c>
      <c r="B49" s="166" t="s">
        <v>23</v>
      </c>
      <c r="C49" s="167"/>
      <c r="D49" s="167"/>
      <c r="E49" s="168"/>
      <c r="F49" s="168"/>
      <c r="G49" s="168"/>
      <c r="H49" s="169"/>
      <c r="I49" s="167">
        <f>SUM(I50:I52)</f>
        <v>12238000</v>
      </c>
    </row>
    <row r="50" spans="1:9" s="137" customFormat="1" ht="25.5" customHeight="1" x14ac:dyDescent="0.25">
      <c r="A50" s="170"/>
      <c r="B50" s="171" t="s">
        <v>653</v>
      </c>
      <c r="C50" s="173"/>
      <c r="D50" s="173"/>
      <c r="E50" s="172" t="s">
        <v>296</v>
      </c>
      <c r="F50" s="172">
        <v>150</v>
      </c>
      <c r="G50" s="172" t="s">
        <v>296</v>
      </c>
      <c r="H50" s="173">
        <v>57000</v>
      </c>
      <c r="I50" s="173">
        <f>F50*H50</f>
        <v>8550000</v>
      </c>
    </row>
    <row r="51" spans="1:9" s="137" customFormat="1" ht="25.5" customHeight="1" x14ac:dyDescent="0.25">
      <c r="A51" s="170"/>
      <c r="B51" s="171" t="s">
        <v>654</v>
      </c>
      <c r="C51" s="173"/>
      <c r="D51" s="173"/>
      <c r="E51" s="172" t="s">
        <v>296</v>
      </c>
      <c r="F51" s="172">
        <v>150</v>
      </c>
      <c r="G51" s="172" t="s">
        <v>296</v>
      </c>
      <c r="H51" s="173">
        <v>24000</v>
      </c>
      <c r="I51" s="173">
        <f>F51*H51</f>
        <v>3600000</v>
      </c>
    </row>
    <row r="52" spans="1:9" s="137" customFormat="1" ht="25.5" customHeight="1" x14ac:dyDescent="0.25">
      <c r="A52" s="170"/>
      <c r="B52" s="329" t="s">
        <v>344</v>
      </c>
      <c r="C52" s="173"/>
      <c r="D52" s="173"/>
      <c r="E52" s="172" t="s">
        <v>298</v>
      </c>
      <c r="F52" s="172">
        <v>1</v>
      </c>
      <c r="G52" s="172" t="s">
        <v>298</v>
      </c>
      <c r="H52" s="173">
        <f>1179000-654000-100000-337000</f>
        <v>88000</v>
      </c>
      <c r="I52" s="173">
        <f>F52*H52</f>
        <v>88000</v>
      </c>
    </row>
    <row r="53" spans="1:9" s="137" customFormat="1" x14ac:dyDescent="0.25">
      <c r="A53" s="166" t="s">
        <v>16</v>
      </c>
      <c r="B53" s="166" t="s">
        <v>17</v>
      </c>
      <c r="C53" s="167"/>
      <c r="D53" s="167"/>
      <c r="E53" s="168"/>
      <c r="F53" s="168"/>
      <c r="G53" s="168"/>
      <c r="H53" s="169"/>
      <c r="I53" s="167">
        <f>SUM(I54:I55)</f>
        <v>10800000</v>
      </c>
    </row>
    <row r="54" spans="1:9" s="137" customFormat="1" x14ac:dyDescent="0.25">
      <c r="A54" s="170"/>
      <c r="B54" s="171" t="s">
        <v>655</v>
      </c>
      <c r="C54" s="173"/>
      <c r="D54" s="173"/>
      <c r="E54" s="172" t="s">
        <v>297</v>
      </c>
      <c r="F54" s="172">
        <v>8</v>
      </c>
      <c r="G54" s="172" t="s">
        <v>297</v>
      </c>
      <c r="H54" s="173">
        <v>1000000</v>
      </c>
      <c r="I54" s="173">
        <f>F54*H54</f>
        <v>8000000</v>
      </c>
    </row>
    <row r="55" spans="1:9" s="137" customFormat="1" x14ac:dyDescent="0.25">
      <c r="A55" s="170"/>
      <c r="B55" s="171" t="s">
        <v>577</v>
      </c>
      <c r="C55" s="173"/>
      <c r="D55" s="173"/>
      <c r="E55" s="172" t="s">
        <v>347</v>
      </c>
      <c r="F55" s="172">
        <v>4</v>
      </c>
      <c r="G55" s="172" t="s">
        <v>347</v>
      </c>
      <c r="H55" s="173">
        <v>700000</v>
      </c>
      <c r="I55" s="173">
        <f t="shared" ref="I55" si="3">F55*H55</f>
        <v>2800000</v>
      </c>
    </row>
    <row r="56" spans="1:9" s="137" customFormat="1" x14ac:dyDescent="0.25">
      <c r="A56" s="166" t="s">
        <v>28</v>
      </c>
      <c r="B56" s="166" t="s">
        <v>29</v>
      </c>
      <c r="C56" s="167"/>
      <c r="D56" s="167"/>
      <c r="E56" s="168"/>
      <c r="F56" s="168"/>
      <c r="G56" s="168"/>
      <c r="H56" s="169"/>
      <c r="I56" s="167">
        <f>SUM(I57:I59)</f>
        <v>33280000</v>
      </c>
    </row>
    <row r="57" spans="1:9" s="137" customFormat="1" x14ac:dyDescent="0.25">
      <c r="A57" s="170"/>
      <c r="B57" s="171" t="s">
        <v>650</v>
      </c>
      <c r="C57" s="173"/>
      <c r="D57" s="173"/>
      <c r="E57" s="172" t="s">
        <v>301</v>
      </c>
      <c r="F57" s="172">
        <v>30</v>
      </c>
      <c r="G57" s="172" t="s">
        <v>301</v>
      </c>
      <c r="H57" s="173">
        <v>430000</v>
      </c>
      <c r="I57" s="173">
        <f>F57*H57</f>
        <v>12900000</v>
      </c>
    </row>
    <row r="58" spans="1:9" s="137" customFormat="1" x14ac:dyDescent="0.25">
      <c r="A58" s="170"/>
      <c r="B58" s="171" t="s">
        <v>651</v>
      </c>
      <c r="C58" s="173"/>
      <c r="D58" s="173"/>
      <c r="E58" s="172" t="s">
        <v>296</v>
      </c>
      <c r="F58" s="172">
        <v>20</v>
      </c>
      <c r="G58" s="172" t="s">
        <v>296</v>
      </c>
      <c r="H58" s="173">
        <v>284000</v>
      </c>
      <c r="I58" s="173">
        <f t="shared" ref="I58" si="4">F58*H58</f>
        <v>5680000</v>
      </c>
    </row>
    <row r="59" spans="1:9" s="137" customFormat="1" x14ac:dyDescent="0.25">
      <c r="A59" s="170"/>
      <c r="B59" s="171" t="s">
        <v>652</v>
      </c>
      <c r="C59" s="173"/>
      <c r="D59" s="173"/>
      <c r="E59" s="172" t="s">
        <v>296</v>
      </c>
      <c r="F59" s="172">
        <v>20</v>
      </c>
      <c r="G59" s="172" t="s">
        <v>296</v>
      </c>
      <c r="H59" s="173">
        <v>735000</v>
      </c>
      <c r="I59" s="173">
        <f>F59*H59</f>
        <v>14700000</v>
      </c>
    </row>
    <row r="60" spans="1:9" s="137" customFormat="1" x14ac:dyDescent="0.25">
      <c r="A60" s="166" t="s">
        <v>18</v>
      </c>
      <c r="B60" s="166" t="s">
        <v>19</v>
      </c>
      <c r="C60" s="167"/>
      <c r="D60" s="167"/>
      <c r="E60" s="168"/>
      <c r="F60" s="168"/>
      <c r="G60" s="168"/>
      <c r="H60" s="169"/>
      <c r="I60" s="167">
        <f>SUM(I61:I62)</f>
        <v>36480000</v>
      </c>
    </row>
    <row r="61" spans="1:9" s="137" customFormat="1" ht="30" x14ac:dyDescent="0.25">
      <c r="A61" s="170"/>
      <c r="B61" s="171" t="s">
        <v>581</v>
      </c>
      <c r="C61" s="173"/>
      <c r="D61" s="173"/>
      <c r="E61" s="172" t="s">
        <v>301</v>
      </c>
      <c r="F61" s="172">
        <v>96</v>
      </c>
      <c r="G61" s="172" t="s">
        <v>301</v>
      </c>
      <c r="H61" s="173">
        <v>210000</v>
      </c>
      <c r="I61" s="173">
        <f>F61*H61</f>
        <v>20160000</v>
      </c>
    </row>
    <row r="62" spans="1:9" s="137" customFormat="1" ht="30" x14ac:dyDescent="0.25">
      <c r="A62" s="225"/>
      <c r="B62" s="232" t="s">
        <v>582</v>
      </c>
      <c r="C62" s="227"/>
      <c r="D62" s="227"/>
      <c r="E62" s="226" t="s">
        <v>296</v>
      </c>
      <c r="F62" s="226">
        <v>96</v>
      </c>
      <c r="G62" s="226" t="s">
        <v>296</v>
      </c>
      <c r="H62" s="227">
        <v>170000</v>
      </c>
      <c r="I62" s="227">
        <f>F62*H62</f>
        <v>16320000</v>
      </c>
    </row>
    <row r="63" spans="1:9" ht="12.95" customHeight="1" x14ac:dyDescent="0.25">
      <c r="A63" s="185"/>
      <c r="B63" s="267"/>
      <c r="C63" s="268"/>
      <c r="D63" s="268"/>
      <c r="E63" s="269"/>
      <c r="F63" s="269"/>
      <c r="G63" s="269"/>
    </row>
    <row r="64" spans="1:9" ht="12.95" customHeight="1" x14ac:dyDescent="0.25">
      <c r="A64" s="202"/>
      <c r="B64" s="204"/>
      <c r="C64" s="202"/>
      <c r="D64" s="202"/>
      <c r="E64" s="205"/>
      <c r="F64" s="201"/>
      <c r="G64" s="205"/>
    </row>
    <row r="65" spans="1:7" ht="12.95" customHeight="1" x14ac:dyDescent="0.25">
      <c r="A65" s="202"/>
      <c r="B65" s="204"/>
      <c r="D65" s="202"/>
      <c r="E65" s="203"/>
      <c r="F65" s="33" t="s">
        <v>500</v>
      </c>
      <c r="G65" s="203"/>
    </row>
    <row r="66" spans="1:7" ht="12.95" customHeight="1" x14ac:dyDescent="0.25">
      <c r="A66" s="202"/>
      <c r="B66" s="204"/>
      <c r="D66" s="202"/>
      <c r="E66" s="203"/>
      <c r="F66" s="33"/>
      <c r="G66" s="203"/>
    </row>
    <row r="67" spans="1:7" ht="12.95" customHeight="1" x14ac:dyDescent="0.25">
      <c r="A67" s="202"/>
      <c r="B67" s="201"/>
      <c r="D67" s="202"/>
      <c r="E67" s="206"/>
      <c r="F67" s="33"/>
      <c r="G67" s="206"/>
    </row>
    <row r="68" spans="1:7" s="207" customFormat="1" ht="12.95" customHeight="1" x14ac:dyDescent="0.25">
      <c r="A68" s="202"/>
      <c r="B68" s="201"/>
      <c r="D68" s="202"/>
      <c r="E68" s="203"/>
      <c r="F68" s="33"/>
      <c r="G68" s="203"/>
    </row>
    <row r="69" spans="1:7" x14ac:dyDescent="0.25">
      <c r="F69" s="33"/>
    </row>
    <row r="70" spans="1:7" x14ac:dyDescent="0.25">
      <c r="F70" s="33" t="s">
        <v>706</v>
      </c>
    </row>
    <row r="71" spans="1:7" x14ac:dyDescent="0.25">
      <c r="F71" s="33" t="s">
        <v>707</v>
      </c>
    </row>
  </sheetData>
  <autoFilter ref="A16:B62" xr:uid="{3672E4ED-D1AC-4CAC-ABB6-F68B3F342D3D}"/>
  <mergeCells count="8">
    <mergeCell ref="A1:I1"/>
    <mergeCell ref="I15:I16"/>
    <mergeCell ref="A15:A16"/>
    <mergeCell ref="C15:C16"/>
    <mergeCell ref="D15:D16"/>
    <mergeCell ref="B15:B16"/>
    <mergeCell ref="H15:H16"/>
    <mergeCell ref="E15:G15"/>
  </mergeCells>
  <pageMargins left="0.43307086614173229" right="0.19685039370078741" top="0.43307086614173229" bottom="0.55118110236220474" header="0" footer="0"/>
  <pageSetup paperSize="9" scale="50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925D-7B9A-4276-80E6-CCB656328017}">
  <sheetPr>
    <tabColor rgb="FFFF0000"/>
    <outlinePr summaryBelow="0"/>
    <pageSetUpPr fitToPage="1"/>
  </sheetPr>
  <dimension ref="A1:M176"/>
  <sheetViews>
    <sheetView showGridLines="0" zoomScale="85" zoomScaleNormal="85" workbookViewId="0">
      <selection activeCell="F26" sqref="F26"/>
    </sheetView>
  </sheetViews>
  <sheetFormatPr defaultColWidth="9.140625" defaultRowHeight="15" x14ac:dyDescent="0.25"/>
  <cols>
    <col min="1" max="1" width="24.140625" style="137" customWidth="1"/>
    <col min="2" max="2" width="44.28515625" style="137" customWidth="1"/>
    <col min="3" max="3" width="9.85546875" style="190" customWidth="1"/>
    <col min="4" max="4" width="14.140625" style="190" customWidth="1"/>
    <col min="5" max="5" width="7.28515625" style="137" customWidth="1"/>
    <col min="6" max="6" width="8.7109375" style="137" customWidth="1"/>
    <col min="7" max="7" width="7.28515625" style="137" hidden="1" customWidth="1"/>
    <col min="8" max="8" width="13.85546875" style="137" bestFit="1" customWidth="1"/>
    <col min="9" max="9" width="14.85546875" style="137" customWidth="1"/>
    <col min="10" max="16384" width="9.140625" style="137"/>
  </cols>
  <sheetData>
    <row r="1" spans="1:13" x14ac:dyDescent="0.25">
      <c r="A1" s="409" t="s">
        <v>744</v>
      </c>
      <c r="B1" s="409"/>
      <c r="C1" s="409"/>
      <c r="D1" s="409"/>
      <c r="E1" s="409"/>
      <c r="F1" s="409"/>
      <c r="G1" s="409"/>
      <c r="H1" s="409"/>
      <c r="I1" s="409"/>
    </row>
    <row r="3" spans="1:13" x14ac:dyDescent="0.25">
      <c r="A3" s="304" t="s">
        <v>480</v>
      </c>
      <c r="B3" s="33" t="s">
        <v>630</v>
      </c>
    </row>
    <row r="4" spans="1:13" x14ac:dyDescent="0.25">
      <c r="A4" s="304" t="s">
        <v>481</v>
      </c>
      <c r="B4" s="33" t="s">
        <v>490</v>
      </c>
    </row>
    <row r="5" spans="1:13" x14ac:dyDescent="0.25">
      <c r="A5" s="304" t="s">
        <v>482</v>
      </c>
      <c r="B5" s="33" t="s">
        <v>506</v>
      </c>
    </row>
    <row r="6" spans="1:13" x14ac:dyDescent="0.25">
      <c r="A6" s="304" t="s">
        <v>483</v>
      </c>
      <c r="B6" s="33" t="s">
        <v>507</v>
      </c>
    </row>
    <row r="7" spans="1:13" ht="29.45" customHeight="1" x14ac:dyDescent="0.25">
      <c r="A7" s="309" t="s">
        <v>484</v>
      </c>
      <c r="B7" s="426" t="s">
        <v>760</v>
      </c>
      <c r="C7" s="426"/>
      <c r="D7" s="426"/>
      <c r="E7" s="426"/>
      <c r="F7" s="426"/>
      <c r="G7" s="426"/>
    </row>
    <row r="8" spans="1:13" x14ac:dyDescent="0.25">
      <c r="A8" s="304" t="s">
        <v>485</v>
      </c>
      <c r="B8" s="33" t="s">
        <v>510</v>
      </c>
    </row>
    <row r="9" spans="1:13" ht="30" x14ac:dyDescent="0.25">
      <c r="A9" s="304" t="s">
        <v>745</v>
      </c>
      <c r="B9" s="312" t="s">
        <v>761</v>
      </c>
    </row>
    <row r="10" spans="1:13" s="183" customFormat="1" x14ac:dyDescent="0.25">
      <c r="A10" s="304" t="s">
        <v>747</v>
      </c>
      <c r="B10" s="33" t="s">
        <v>511</v>
      </c>
      <c r="C10" s="190"/>
      <c r="D10" s="190"/>
      <c r="E10" s="137"/>
      <c r="F10" s="137"/>
      <c r="G10" s="137"/>
      <c r="H10" s="137"/>
      <c r="I10" s="137"/>
      <c r="J10" s="137"/>
      <c r="K10" s="137"/>
      <c r="L10" s="137"/>
      <c r="M10" s="137"/>
    </row>
    <row r="11" spans="1:13" s="183" customFormat="1" x14ac:dyDescent="0.25">
      <c r="A11" s="304" t="s">
        <v>748</v>
      </c>
      <c r="B11" s="33" t="s">
        <v>592</v>
      </c>
      <c r="C11" s="190"/>
      <c r="D11" s="190"/>
      <c r="E11" s="137"/>
      <c r="F11" s="137"/>
      <c r="G11" s="137"/>
      <c r="H11" s="137"/>
      <c r="I11" s="137"/>
      <c r="J11" s="137"/>
      <c r="K11" s="137"/>
      <c r="L11" s="137"/>
      <c r="M11" s="137"/>
    </row>
    <row r="12" spans="1:13" s="183" customFormat="1" x14ac:dyDescent="0.25">
      <c r="A12" s="304" t="s">
        <v>488</v>
      </c>
      <c r="B12" s="33" t="s">
        <v>795</v>
      </c>
      <c r="C12" s="190"/>
      <c r="D12" s="190"/>
      <c r="E12" s="137"/>
      <c r="F12" s="137"/>
      <c r="G12" s="137"/>
      <c r="H12" s="137"/>
      <c r="I12" s="137"/>
      <c r="J12" s="137"/>
      <c r="K12" s="137"/>
      <c r="L12" s="137"/>
      <c r="M12" s="137"/>
    </row>
    <row r="13" spans="1:13" ht="15.75" x14ac:dyDescent="0.3">
      <c r="B13" s="196"/>
    </row>
    <row r="14" spans="1:13" s="141" customFormat="1" ht="33" customHeight="1" x14ac:dyDescent="0.25">
      <c r="A14" s="417" t="s">
        <v>749</v>
      </c>
      <c r="B14" s="417" t="s">
        <v>750</v>
      </c>
      <c r="C14" s="419" t="s">
        <v>751</v>
      </c>
      <c r="D14" s="419" t="s">
        <v>752</v>
      </c>
      <c r="E14" s="421" t="s">
        <v>755</v>
      </c>
      <c r="F14" s="422"/>
      <c r="G14" s="423"/>
      <c r="H14" s="419" t="s">
        <v>322</v>
      </c>
      <c r="I14" s="419" t="s">
        <v>743</v>
      </c>
    </row>
    <row r="15" spans="1:13" s="141" customFormat="1" x14ac:dyDescent="0.25">
      <c r="A15" s="418"/>
      <c r="B15" s="418"/>
      <c r="C15" s="420"/>
      <c r="D15" s="420"/>
      <c r="E15" s="288" t="s">
        <v>754</v>
      </c>
      <c r="F15" s="288" t="s">
        <v>780</v>
      </c>
      <c r="G15" s="288" t="s">
        <v>753</v>
      </c>
      <c r="H15" s="420"/>
      <c r="I15" s="420"/>
    </row>
    <row r="16" spans="1:13" ht="30" x14ac:dyDescent="0.25">
      <c r="A16" s="154" t="s">
        <v>666</v>
      </c>
      <c r="B16" s="154" t="s">
        <v>93</v>
      </c>
      <c r="C16" s="278">
        <v>1</v>
      </c>
      <c r="D16" s="279"/>
      <c r="E16" s="155" t="s">
        <v>308</v>
      </c>
      <c r="F16" s="155" t="s">
        <v>85</v>
      </c>
      <c r="G16" s="155" t="s">
        <v>308</v>
      </c>
      <c r="H16" s="156"/>
      <c r="I16" s="157">
        <f>I17+I123</f>
        <v>120481552000</v>
      </c>
    </row>
    <row r="17" spans="1:12" x14ac:dyDescent="0.25">
      <c r="A17" s="158" t="s">
        <v>94</v>
      </c>
      <c r="B17" s="158" t="s">
        <v>95</v>
      </c>
      <c r="C17" s="159"/>
      <c r="D17" s="302" t="s">
        <v>756</v>
      </c>
      <c r="E17" s="159"/>
      <c r="F17" s="159" t="s">
        <v>11</v>
      </c>
      <c r="G17" s="159"/>
      <c r="H17" s="160"/>
      <c r="I17" s="161">
        <f>I18+I120</f>
        <v>114082512000</v>
      </c>
      <c r="J17" s="224"/>
      <c r="K17" s="224"/>
      <c r="L17" s="224"/>
    </row>
    <row r="18" spans="1:12" x14ac:dyDescent="0.25">
      <c r="A18" s="162" t="s">
        <v>12</v>
      </c>
      <c r="B18" s="162" t="s">
        <v>96</v>
      </c>
      <c r="C18" s="163"/>
      <c r="D18" s="163"/>
      <c r="E18" s="163"/>
      <c r="F18" s="163"/>
      <c r="G18" s="163"/>
      <c r="H18" s="164"/>
      <c r="I18" s="165">
        <f>I19+I23+I27+I31+I35+I39+I43+I47+I49+I53+I57+I82+I92+I94+I96+I98+I100+I102+I104+I106+I113+I116+I118</f>
        <v>79468504000</v>
      </c>
      <c r="J18" s="220"/>
      <c r="K18" s="220"/>
      <c r="L18" s="220"/>
    </row>
    <row r="19" spans="1:12" x14ac:dyDescent="0.25">
      <c r="A19" s="166" t="s">
        <v>97</v>
      </c>
      <c r="B19" s="215" t="s">
        <v>98</v>
      </c>
      <c r="C19" s="168"/>
      <c r="D19" s="168"/>
      <c r="E19" s="168"/>
      <c r="F19" s="168"/>
      <c r="G19" s="168"/>
      <c r="H19" s="169"/>
      <c r="I19" s="167">
        <f>SUM(I20:I22)</f>
        <v>29400000000</v>
      </c>
      <c r="J19" s="221"/>
      <c r="K19" s="221"/>
      <c r="L19" s="221"/>
    </row>
    <row r="20" spans="1:12" x14ac:dyDescent="0.25">
      <c r="A20" s="170"/>
      <c r="B20" s="217" t="s">
        <v>211</v>
      </c>
      <c r="C20" s="172"/>
      <c r="D20" s="172"/>
      <c r="E20" s="172" t="s">
        <v>309</v>
      </c>
      <c r="F20" s="172">
        <v>1</v>
      </c>
      <c r="G20" s="172" t="s">
        <v>309</v>
      </c>
      <c r="H20" s="173">
        <v>20580000000</v>
      </c>
      <c r="I20" s="173">
        <f>F20*H20</f>
        <v>20580000000</v>
      </c>
      <c r="J20" s="222"/>
      <c r="K20" s="222"/>
      <c r="L20" s="198"/>
    </row>
    <row r="21" spans="1:12" x14ac:dyDescent="0.25">
      <c r="A21" s="170"/>
      <c r="B21" s="217" t="s">
        <v>212</v>
      </c>
      <c r="C21" s="172"/>
      <c r="D21" s="172"/>
      <c r="E21" s="172" t="s">
        <v>310</v>
      </c>
      <c r="F21" s="172">
        <v>1</v>
      </c>
      <c r="G21" s="172" t="s">
        <v>310</v>
      </c>
      <c r="H21" s="173">
        <v>4410000000</v>
      </c>
      <c r="I21" s="173">
        <f>F21*H21</f>
        <v>4410000000</v>
      </c>
      <c r="J21" s="222"/>
      <c r="K21" s="222"/>
      <c r="L21" s="198"/>
    </row>
    <row r="22" spans="1:12" x14ac:dyDescent="0.25">
      <c r="A22" s="170"/>
      <c r="B22" s="217" t="s">
        <v>213</v>
      </c>
      <c r="C22" s="172"/>
      <c r="D22" s="172"/>
      <c r="E22" s="172" t="s">
        <v>310</v>
      </c>
      <c r="F22" s="172">
        <v>1</v>
      </c>
      <c r="G22" s="172" t="s">
        <v>310</v>
      </c>
      <c r="H22" s="173">
        <v>4410000000</v>
      </c>
      <c r="I22" s="173">
        <f>F22*H22</f>
        <v>4410000000</v>
      </c>
      <c r="J22" s="222"/>
      <c r="K22" s="222"/>
      <c r="L22" s="198"/>
    </row>
    <row r="23" spans="1:12" x14ac:dyDescent="0.25">
      <c r="A23" s="166" t="s">
        <v>99</v>
      </c>
      <c r="B23" s="215" t="s">
        <v>100</v>
      </c>
      <c r="C23" s="168"/>
      <c r="D23" s="168"/>
      <c r="E23" s="168"/>
      <c r="F23" s="168"/>
      <c r="G23" s="168"/>
      <c r="H23" s="169"/>
      <c r="I23" s="167">
        <f>SUM(I24:I26)</f>
        <v>433000</v>
      </c>
      <c r="J23" s="221"/>
      <c r="K23" s="221"/>
      <c r="L23" s="221"/>
    </row>
    <row r="24" spans="1:12" x14ac:dyDescent="0.25">
      <c r="A24" s="170"/>
      <c r="B24" s="217" t="s">
        <v>214</v>
      </c>
      <c r="C24" s="172"/>
      <c r="D24" s="172"/>
      <c r="E24" s="172" t="s">
        <v>309</v>
      </c>
      <c r="F24" s="172">
        <v>1</v>
      </c>
      <c r="G24" s="172" t="s">
        <v>309</v>
      </c>
      <c r="H24" s="173">
        <v>349000</v>
      </c>
      <c r="I24" s="173">
        <f>F24*H24</f>
        <v>349000</v>
      </c>
      <c r="J24" s="222"/>
      <c r="K24" s="222"/>
      <c r="L24" s="198"/>
    </row>
    <row r="25" spans="1:12" x14ac:dyDescent="0.25">
      <c r="A25" s="170"/>
      <c r="B25" s="217" t="s">
        <v>215</v>
      </c>
      <c r="C25" s="172"/>
      <c r="D25" s="172"/>
      <c r="E25" s="172" t="s">
        <v>310</v>
      </c>
      <c r="F25" s="172">
        <v>1</v>
      </c>
      <c r="G25" s="172" t="s">
        <v>310</v>
      </c>
      <c r="H25" s="173">
        <v>42000</v>
      </c>
      <c r="I25" s="173">
        <f>F25*H25</f>
        <v>42000</v>
      </c>
      <c r="J25" s="222"/>
      <c r="K25" s="222"/>
      <c r="L25" s="198"/>
    </row>
    <row r="26" spans="1:12" x14ac:dyDescent="0.25">
      <c r="A26" s="170"/>
      <c r="B26" s="217" t="s">
        <v>216</v>
      </c>
      <c r="C26" s="172"/>
      <c r="D26" s="172"/>
      <c r="E26" s="172" t="s">
        <v>310</v>
      </c>
      <c r="F26" s="172">
        <v>1</v>
      </c>
      <c r="G26" s="172" t="s">
        <v>310</v>
      </c>
      <c r="H26" s="173">
        <v>42000</v>
      </c>
      <c r="I26" s="173">
        <f>F26*H26</f>
        <v>42000</v>
      </c>
      <c r="J26" s="222"/>
      <c r="K26" s="222"/>
      <c r="L26" s="198"/>
    </row>
    <row r="27" spans="1:12" x14ac:dyDescent="0.25">
      <c r="A27" s="166" t="s">
        <v>101</v>
      </c>
      <c r="B27" s="215" t="s">
        <v>102</v>
      </c>
      <c r="C27" s="168"/>
      <c r="D27" s="168"/>
      <c r="E27" s="168"/>
      <c r="F27" s="168"/>
      <c r="G27" s="168"/>
      <c r="H27" s="169"/>
      <c r="I27" s="167">
        <f>SUM(I28:I30)</f>
        <v>2240000000</v>
      </c>
      <c r="J27" s="221"/>
      <c r="K27" s="221"/>
      <c r="L27" s="221"/>
    </row>
    <row r="28" spans="1:12" x14ac:dyDescent="0.25">
      <c r="A28" s="170"/>
      <c r="B28" s="217" t="s">
        <v>217</v>
      </c>
      <c r="C28" s="172"/>
      <c r="D28" s="172"/>
      <c r="E28" s="172" t="s">
        <v>309</v>
      </c>
      <c r="F28" s="172">
        <v>1</v>
      </c>
      <c r="G28" s="172" t="s">
        <v>309</v>
      </c>
      <c r="H28" s="173">
        <v>1836800000</v>
      </c>
      <c r="I28" s="173">
        <f>F28*H28</f>
        <v>1836800000</v>
      </c>
      <c r="J28" s="222"/>
      <c r="K28" s="222"/>
      <c r="L28" s="198"/>
    </row>
    <row r="29" spans="1:12" x14ac:dyDescent="0.25">
      <c r="A29" s="170"/>
      <c r="B29" s="217" t="s">
        <v>218</v>
      </c>
      <c r="C29" s="172"/>
      <c r="D29" s="172"/>
      <c r="E29" s="172" t="s">
        <v>310</v>
      </c>
      <c r="F29" s="172">
        <v>1</v>
      </c>
      <c r="G29" s="172" t="s">
        <v>310</v>
      </c>
      <c r="H29" s="173">
        <v>201600000</v>
      </c>
      <c r="I29" s="173">
        <f>F29*H29</f>
        <v>201600000</v>
      </c>
      <c r="J29" s="222"/>
      <c r="K29" s="222"/>
      <c r="L29" s="198"/>
    </row>
    <row r="30" spans="1:12" x14ac:dyDescent="0.25">
      <c r="A30" s="170"/>
      <c r="B30" s="217" t="s">
        <v>219</v>
      </c>
      <c r="C30" s="172"/>
      <c r="D30" s="172"/>
      <c r="E30" s="172" t="s">
        <v>310</v>
      </c>
      <c r="F30" s="172">
        <v>1</v>
      </c>
      <c r="G30" s="172" t="s">
        <v>310</v>
      </c>
      <c r="H30" s="173">
        <v>201600000</v>
      </c>
      <c r="I30" s="173">
        <f>F30*H30</f>
        <v>201600000</v>
      </c>
      <c r="J30" s="222"/>
      <c r="K30" s="222"/>
      <c r="L30" s="198"/>
    </row>
    <row r="31" spans="1:12" x14ac:dyDescent="0.25">
      <c r="A31" s="166" t="s">
        <v>103</v>
      </c>
      <c r="B31" s="215" t="s">
        <v>104</v>
      </c>
      <c r="C31" s="168"/>
      <c r="D31" s="168"/>
      <c r="E31" s="168"/>
      <c r="F31" s="168"/>
      <c r="G31" s="168"/>
      <c r="H31" s="169"/>
      <c r="I31" s="167">
        <f>SUM(I32:I34)</f>
        <v>308000000</v>
      </c>
      <c r="J31" s="221"/>
      <c r="K31" s="221"/>
      <c r="L31" s="221"/>
    </row>
    <row r="32" spans="1:12" x14ac:dyDescent="0.25">
      <c r="A32" s="170"/>
      <c r="B32" s="217" t="s">
        <v>220</v>
      </c>
      <c r="C32" s="172"/>
      <c r="D32" s="172"/>
      <c r="E32" s="172" t="s">
        <v>309</v>
      </c>
      <c r="F32" s="172">
        <v>1</v>
      </c>
      <c r="G32" s="172" t="s">
        <v>309</v>
      </c>
      <c r="H32" s="173">
        <v>264000000</v>
      </c>
      <c r="I32" s="173">
        <f>F32*H32</f>
        <v>264000000</v>
      </c>
      <c r="J32" s="222"/>
      <c r="K32" s="222"/>
      <c r="L32" s="198"/>
    </row>
    <row r="33" spans="1:12" x14ac:dyDescent="0.25">
      <c r="A33" s="170"/>
      <c r="B33" s="217" t="s">
        <v>221</v>
      </c>
      <c r="C33" s="172"/>
      <c r="D33" s="172"/>
      <c r="E33" s="172" t="s">
        <v>310</v>
      </c>
      <c r="F33" s="172">
        <v>1</v>
      </c>
      <c r="G33" s="172" t="s">
        <v>310</v>
      </c>
      <c r="H33" s="173">
        <v>22000000</v>
      </c>
      <c r="I33" s="173">
        <f>F33*H33</f>
        <v>22000000</v>
      </c>
      <c r="J33" s="222"/>
      <c r="K33" s="222"/>
      <c r="L33" s="198"/>
    </row>
    <row r="34" spans="1:12" x14ac:dyDescent="0.25">
      <c r="A34" s="170"/>
      <c r="B34" s="217" t="s">
        <v>222</v>
      </c>
      <c r="C34" s="172"/>
      <c r="D34" s="172"/>
      <c r="E34" s="172" t="s">
        <v>310</v>
      </c>
      <c r="F34" s="172">
        <v>1</v>
      </c>
      <c r="G34" s="172" t="s">
        <v>310</v>
      </c>
      <c r="H34" s="173">
        <v>22000000</v>
      </c>
      <c r="I34" s="173">
        <f>F34*H34</f>
        <v>22000000</v>
      </c>
      <c r="J34" s="222"/>
      <c r="K34" s="222"/>
      <c r="L34" s="198"/>
    </row>
    <row r="35" spans="1:12" x14ac:dyDescent="0.25">
      <c r="A35" s="166" t="s">
        <v>105</v>
      </c>
      <c r="B35" s="215" t="s">
        <v>106</v>
      </c>
      <c r="C35" s="168"/>
      <c r="D35" s="168"/>
      <c r="E35" s="168"/>
      <c r="F35" s="168"/>
      <c r="G35" s="168"/>
      <c r="H35" s="169"/>
      <c r="I35" s="167">
        <f>SUM(I36:I38)</f>
        <v>70000000</v>
      </c>
      <c r="J35" s="221"/>
      <c r="K35" s="221"/>
      <c r="L35" s="221"/>
    </row>
    <row r="36" spans="1:12" x14ac:dyDescent="0.25">
      <c r="A36" s="170"/>
      <c r="B36" s="217" t="s">
        <v>223</v>
      </c>
      <c r="C36" s="172"/>
      <c r="D36" s="172"/>
      <c r="E36" s="172" t="s">
        <v>309</v>
      </c>
      <c r="F36" s="172">
        <v>1</v>
      </c>
      <c r="G36" s="172" t="s">
        <v>309</v>
      </c>
      <c r="H36" s="173">
        <v>60000000</v>
      </c>
      <c r="I36" s="173">
        <f>F36*H36</f>
        <v>60000000</v>
      </c>
      <c r="J36" s="222"/>
      <c r="K36" s="222"/>
      <c r="L36" s="198"/>
    </row>
    <row r="37" spans="1:12" x14ac:dyDescent="0.25">
      <c r="A37" s="170"/>
      <c r="B37" s="217" t="s">
        <v>224</v>
      </c>
      <c r="C37" s="172"/>
      <c r="D37" s="172"/>
      <c r="E37" s="172" t="s">
        <v>310</v>
      </c>
      <c r="F37" s="172">
        <v>1</v>
      </c>
      <c r="G37" s="172" t="s">
        <v>310</v>
      </c>
      <c r="H37" s="173">
        <v>5000000</v>
      </c>
      <c r="I37" s="173">
        <f>F37*H37</f>
        <v>5000000</v>
      </c>
      <c r="J37" s="222"/>
      <c r="K37" s="222"/>
      <c r="L37" s="198"/>
    </row>
    <row r="38" spans="1:12" x14ac:dyDescent="0.25">
      <c r="A38" s="170"/>
      <c r="B38" s="217" t="s">
        <v>225</v>
      </c>
      <c r="C38" s="172"/>
      <c r="D38" s="172"/>
      <c r="E38" s="172" t="s">
        <v>310</v>
      </c>
      <c r="F38" s="172">
        <v>1</v>
      </c>
      <c r="G38" s="172" t="s">
        <v>310</v>
      </c>
      <c r="H38" s="173">
        <v>5000000</v>
      </c>
      <c r="I38" s="173">
        <f>F38*H38</f>
        <v>5000000</v>
      </c>
      <c r="J38" s="222"/>
      <c r="K38" s="222"/>
      <c r="L38" s="198"/>
    </row>
    <row r="39" spans="1:12" x14ac:dyDescent="0.25">
      <c r="A39" s="166" t="s">
        <v>107</v>
      </c>
      <c r="B39" s="215" t="s">
        <v>108</v>
      </c>
      <c r="C39" s="168"/>
      <c r="D39" s="168"/>
      <c r="E39" s="168"/>
      <c r="F39" s="168"/>
      <c r="G39" s="168"/>
      <c r="H39" s="169"/>
      <c r="I39" s="167">
        <f>SUM(I40:I42)</f>
        <v>4200000000</v>
      </c>
      <c r="J39" s="221"/>
      <c r="K39" s="221"/>
      <c r="L39" s="221"/>
    </row>
    <row r="40" spans="1:12" x14ac:dyDescent="0.25">
      <c r="A40" s="170"/>
      <c r="B40" s="217" t="s">
        <v>226</v>
      </c>
      <c r="C40" s="172"/>
      <c r="D40" s="172"/>
      <c r="E40" s="172" t="s">
        <v>309</v>
      </c>
      <c r="F40" s="172">
        <v>1</v>
      </c>
      <c r="G40" s="172" t="s">
        <v>309</v>
      </c>
      <c r="H40" s="173">
        <v>3600000000</v>
      </c>
      <c r="I40" s="173">
        <f>F40*H40</f>
        <v>3600000000</v>
      </c>
      <c r="J40" s="222"/>
      <c r="K40" s="222"/>
      <c r="L40" s="198"/>
    </row>
    <row r="41" spans="1:12" x14ac:dyDescent="0.25">
      <c r="A41" s="170"/>
      <c r="B41" s="217" t="s">
        <v>227</v>
      </c>
      <c r="C41" s="172"/>
      <c r="D41" s="172"/>
      <c r="E41" s="172" t="s">
        <v>310</v>
      </c>
      <c r="F41" s="172">
        <v>1</v>
      </c>
      <c r="G41" s="172" t="s">
        <v>310</v>
      </c>
      <c r="H41" s="173">
        <v>300000000</v>
      </c>
      <c r="I41" s="173">
        <f>F41*H41</f>
        <v>300000000</v>
      </c>
      <c r="J41" s="222"/>
      <c r="K41" s="222"/>
      <c r="L41" s="198"/>
    </row>
    <row r="42" spans="1:12" x14ac:dyDescent="0.25">
      <c r="A42" s="170"/>
      <c r="B42" s="217" t="s">
        <v>228</v>
      </c>
      <c r="C42" s="172"/>
      <c r="D42" s="172"/>
      <c r="E42" s="172" t="s">
        <v>310</v>
      </c>
      <c r="F42" s="172">
        <v>1</v>
      </c>
      <c r="G42" s="172" t="s">
        <v>310</v>
      </c>
      <c r="H42" s="173">
        <v>300000000</v>
      </c>
      <c r="I42" s="173">
        <f>F42*H42</f>
        <v>300000000</v>
      </c>
      <c r="J42" s="222"/>
      <c r="K42" s="222"/>
      <c r="L42" s="198"/>
    </row>
    <row r="43" spans="1:12" x14ac:dyDescent="0.25">
      <c r="A43" s="166" t="s">
        <v>109</v>
      </c>
      <c r="B43" s="215" t="s">
        <v>110</v>
      </c>
      <c r="C43" s="168"/>
      <c r="D43" s="168"/>
      <c r="E43" s="168"/>
      <c r="F43" s="168"/>
      <c r="G43" s="168"/>
      <c r="H43" s="169"/>
      <c r="I43" s="167">
        <f>SUM(I44:I46)</f>
        <v>399991000</v>
      </c>
      <c r="J43" s="221"/>
      <c r="K43" s="221"/>
      <c r="L43" s="221"/>
    </row>
    <row r="44" spans="1:12" x14ac:dyDescent="0.25">
      <c r="A44" s="170"/>
      <c r="B44" s="217" t="s">
        <v>229</v>
      </c>
      <c r="C44" s="172"/>
      <c r="D44" s="172"/>
      <c r="E44" s="172" t="s">
        <v>309</v>
      </c>
      <c r="F44" s="172">
        <v>1</v>
      </c>
      <c r="G44" s="172" t="s">
        <v>309</v>
      </c>
      <c r="H44" s="173">
        <v>354763000</v>
      </c>
      <c r="I44" s="173">
        <f>F44*H44</f>
        <v>354763000</v>
      </c>
      <c r="J44" s="222"/>
      <c r="K44" s="222"/>
      <c r="L44" s="198"/>
    </row>
    <row r="45" spans="1:12" x14ac:dyDescent="0.25">
      <c r="A45" s="170"/>
      <c r="B45" s="217" t="s">
        <v>230</v>
      </c>
      <c r="C45" s="172"/>
      <c r="D45" s="172"/>
      <c r="E45" s="172" t="s">
        <v>310</v>
      </c>
      <c r="F45" s="172">
        <v>1</v>
      </c>
      <c r="G45" s="172" t="s">
        <v>310</v>
      </c>
      <c r="H45" s="173">
        <v>22614000</v>
      </c>
      <c r="I45" s="173">
        <f>F45*H45</f>
        <v>22614000</v>
      </c>
      <c r="J45" s="222"/>
      <c r="K45" s="222"/>
      <c r="L45" s="198"/>
    </row>
    <row r="46" spans="1:12" x14ac:dyDescent="0.25">
      <c r="A46" s="170"/>
      <c r="B46" s="217" t="s">
        <v>231</v>
      </c>
      <c r="C46" s="172"/>
      <c r="D46" s="172"/>
      <c r="E46" s="172" t="s">
        <v>310</v>
      </c>
      <c r="F46" s="172">
        <v>1</v>
      </c>
      <c r="G46" s="172" t="s">
        <v>310</v>
      </c>
      <c r="H46" s="173">
        <v>22614000</v>
      </c>
      <c r="I46" s="173">
        <f>F46*H46</f>
        <v>22614000</v>
      </c>
      <c r="J46" s="222"/>
      <c r="K46" s="222"/>
      <c r="L46" s="198"/>
    </row>
    <row r="47" spans="1:12" x14ac:dyDescent="0.25">
      <c r="A47" s="166" t="s">
        <v>111</v>
      </c>
      <c r="B47" s="215" t="s">
        <v>112</v>
      </c>
      <c r="C47" s="168"/>
      <c r="D47" s="168"/>
      <c r="E47" s="168"/>
      <c r="F47" s="168"/>
      <c r="G47" s="168"/>
      <c r="H47" s="169"/>
      <c r="I47" s="167">
        <f>I48</f>
        <v>1050000000</v>
      </c>
      <c r="J47" s="221"/>
      <c r="K47" s="221"/>
      <c r="L47" s="221"/>
    </row>
    <row r="48" spans="1:12" x14ac:dyDescent="0.25">
      <c r="A48" s="170"/>
      <c r="B48" s="217" t="s">
        <v>232</v>
      </c>
      <c r="C48" s="172"/>
      <c r="D48" s="172"/>
      <c r="E48" s="172" t="s">
        <v>309</v>
      </c>
      <c r="F48" s="172">
        <v>1</v>
      </c>
      <c r="G48" s="172" t="s">
        <v>309</v>
      </c>
      <c r="H48" s="173">
        <v>1050000000</v>
      </c>
      <c r="I48" s="173">
        <f>F48*H48</f>
        <v>1050000000</v>
      </c>
      <c r="J48" s="222"/>
      <c r="K48" s="222"/>
      <c r="L48" s="198"/>
    </row>
    <row r="49" spans="1:12" x14ac:dyDescent="0.25">
      <c r="A49" s="166" t="s">
        <v>113</v>
      </c>
      <c r="B49" s="215" t="s">
        <v>114</v>
      </c>
      <c r="C49" s="168"/>
      <c r="D49" s="168"/>
      <c r="E49" s="168"/>
      <c r="F49" s="168"/>
      <c r="G49" s="168"/>
      <c r="H49" s="169"/>
      <c r="I49" s="167">
        <f>SUM(I50:I52)</f>
        <v>3839997000</v>
      </c>
      <c r="J49" s="221"/>
      <c r="K49" s="221"/>
      <c r="L49" s="221"/>
    </row>
    <row r="50" spans="1:12" x14ac:dyDescent="0.25">
      <c r="A50" s="170"/>
      <c r="B50" s="217" t="s">
        <v>233</v>
      </c>
      <c r="C50" s="172"/>
      <c r="D50" s="172"/>
      <c r="E50" s="172" t="s">
        <v>301</v>
      </c>
      <c r="F50" s="172">
        <v>42519</v>
      </c>
      <c r="G50" s="172" t="s">
        <v>301</v>
      </c>
      <c r="H50" s="173">
        <v>41000</v>
      </c>
      <c r="I50" s="173">
        <f>F50*H50</f>
        <v>1743279000</v>
      </c>
      <c r="J50" s="222"/>
      <c r="K50" s="222"/>
      <c r="L50" s="198"/>
    </row>
    <row r="51" spans="1:12" x14ac:dyDescent="0.25">
      <c r="A51" s="170"/>
      <c r="B51" s="217" t="s">
        <v>234</v>
      </c>
      <c r="C51" s="172"/>
      <c r="D51" s="172"/>
      <c r="E51" s="172" t="s">
        <v>301</v>
      </c>
      <c r="F51" s="172">
        <v>54254</v>
      </c>
      <c r="G51" s="172" t="s">
        <v>301</v>
      </c>
      <c r="H51" s="173">
        <v>37000</v>
      </c>
      <c r="I51" s="173">
        <f>F51*H51</f>
        <v>2007398000</v>
      </c>
      <c r="J51" s="222"/>
      <c r="K51" s="222"/>
      <c r="L51" s="198"/>
    </row>
    <row r="52" spans="1:12" x14ac:dyDescent="0.25">
      <c r="A52" s="170"/>
      <c r="B52" s="217" t="s">
        <v>235</v>
      </c>
      <c r="C52" s="172"/>
      <c r="D52" s="172"/>
      <c r="E52" s="172" t="s">
        <v>301</v>
      </c>
      <c r="F52" s="172">
        <v>2552</v>
      </c>
      <c r="G52" s="172" t="s">
        <v>301</v>
      </c>
      <c r="H52" s="173">
        <v>35000</v>
      </c>
      <c r="I52" s="173">
        <f>F52*H52</f>
        <v>89320000</v>
      </c>
      <c r="J52" s="222"/>
      <c r="K52" s="222"/>
      <c r="L52" s="198"/>
    </row>
    <row r="53" spans="1:12" x14ac:dyDescent="0.25">
      <c r="A53" s="166" t="s">
        <v>115</v>
      </c>
      <c r="B53" s="215" t="s">
        <v>116</v>
      </c>
      <c r="C53" s="168"/>
      <c r="D53" s="168"/>
      <c r="E53" s="168"/>
      <c r="F53" s="168"/>
      <c r="G53" s="168"/>
      <c r="H53" s="169"/>
      <c r="I53" s="167">
        <f>SUM(I54:I56)</f>
        <v>116060000</v>
      </c>
      <c r="J53" s="221"/>
      <c r="K53" s="221"/>
      <c r="L53" s="221"/>
    </row>
    <row r="54" spans="1:12" x14ac:dyDescent="0.25">
      <c r="A54" s="170"/>
      <c r="B54" s="217" t="s">
        <v>236</v>
      </c>
      <c r="C54" s="172"/>
      <c r="D54" s="172"/>
      <c r="E54" s="172" t="s">
        <v>309</v>
      </c>
      <c r="F54" s="172">
        <v>1</v>
      </c>
      <c r="G54" s="172" t="s">
        <v>309</v>
      </c>
      <c r="H54" s="173">
        <v>99480000</v>
      </c>
      <c r="I54" s="173">
        <f>F54*H54</f>
        <v>99480000</v>
      </c>
      <c r="J54" s="222"/>
      <c r="K54" s="222"/>
      <c r="L54" s="198"/>
    </row>
    <row r="55" spans="1:12" x14ac:dyDescent="0.25">
      <c r="A55" s="170"/>
      <c r="B55" s="217" t="s">
        <v>237</v>
      </c>
      <c r="C55" s="172"/>
      <c r="D55" s="172"/>
      <c r="E55" s="172" t="s">
        <v>310</v>
      </c>
      <c r="F55" s="172">
        <v>1</v>
      </c>
      <c r="G55" s="172" t="s">
        <v>310</v>
      </c>
      <c r="H55" s="173">
        <v>8290000</v>
      </c>
      <c r="I55" s="173">
        <f>F55*H55</f>
        <v>8290000</v>
      </c>
      <c r="J55" s="222"/>
      <c r="K55" s="222"/>
      <c r="L55" s="198"/>
    </row>
    <row r="56" spans="1:12" x14ac:dyDescent="0.25">
      <c r="A56" s="170"/>
      <c r="B56" s="217" t="s">
        <v>238</v>
      </c>
      <c r="C56" s="172"/>
      <c r="D56" s="172"/>
      <c r="E56" s="172" t="s">
        <v>310</v>
      </c>
      <c r="F56" s="172">
        <v>1</v>
      </c>
      <c r="G56" s="172" t="s">
        <v>310</v>
      </c>
      <c r="H56" s="173">
        <v>8290000</v>
      </c>
      <c r="I56" s="173">
        <f>F56*H56</f>
        <v>8290000</v>
      </c>
      <c r="J56" s="222"/>
      <c r="K56" s="222"/>
      <c r="L56" s="198"/>
    </row>
    <row r="57" spans="1:12" x14ac:dyDescent="0.25">
      <c r="A57" s="166" t="s">
        <v>117</v>
      </c>
      <c r="B57" s="215" t="s">
        <v>118</v>
      </c>
      <c r="C57" s="168"/>
      <c r="D57" s="168"/>
      <c r="E57" s="168"/>
      <c r="F57" s="168"/>
      <c r="G57" s="168"/>
      <c r="H57" s="169"/>
      <c r="I57" s="167">
        <f>SUM(I58:I81)</f>
        <v>22800000000</v>
      </c>
      <c r="J57" s="221"/>
      <c r="K57" s="221"/>
      <c r="L57" s="221"/>
    </row>
    <row r="58" spans="1:12" ht="30" x14ac:dyDescent="0.25">
      <c r="A58" s="170"/>
      <c r="B58" s="217" t="s">
        <v>239</v>
      </c>
      <c r="C58" s="172"/>
      <c r="D58" s="172"/>
      <c r="E58" s="172" t="s">
        <v>299</v>
      </c>
      <c r="F58" s="172">
        <v>312</v>
      </c>
      <c r="G58" s="172" t="s">
        <v>299</v>
      </c>
      <c r="H58" s="173">
        <v>3500000</v>
      </c>
      <c r="I58" s="173">
        <f t="shared" ref="I58:I81" si="0">F58*H58</f>
        <v>1092000000</v>
      </c>
      <c r="J58" s="222"/>
      <c r="K58" s="222"/>
      <c r="L58" s="198"/>
    </row>
    <row r="59" spans="1:12" ht="30" x14ac:dyDescent="0.25">
      <c r="A59" s="170"/>
      <c r="B59" s="217" t="s">
        <v>240</v>
      </c>
      <c r="C59" s="172"/>
      <c r="D59" s="172"/>
      <c r="E59" s="172" t="s">
        <v>299</v>
      </c>
      <c r="F59" s="172">
        <v>612</v>
      </c>
      <c r="G59" s="172" t="s">
        <v>299</v>
      </c>
      <c r="H59" s="173">
        <v>3500000</v>
      </c>
      <c r="I59" s="173">
        <f t="shared" si="0"/>
        <v>2142000000</v>
      </c>
      <c r="J59" s="222"/>
      <c r="K59" s="222"/>
      <c r="L59" s="198"/>
    </row>
    <row r="60" spans="1:12" ht="30" x14ac:dyDescent="0.25">
      <c r="A60" s="170"/>
      <c r="B60" s="217" t="s">
        <v>241</v>
      </c>
      <c r="C60" s="172"/>
      <c r="D60" s="172"/>
      <c r="E60" s="172" t="s">
        <v>299</v>
      </c>
      <c r="F60" s="172">
        <v>348</v>
      </c>
      <c r="G60" s="172" t="s">
        <v>299</v>
      </c>
      <c r="H60" s="173">
        <v>3500000</v>
      </c>
      <c r="I60" s="173">
        <f t="shared" si="0"/>
        <v>1218000000</v>
      </c>
      <c r="J60" s="222"/>
      <c r="K60" s="222"/>
      <c r="L60" s="198"/>
    </row>
    <row r="61" spans="1:12" ht="30" x14ac:dyDescent="0.25">
      <c r="A61" s="170"/>
      <c r="B61" s="217" t="s">
        <v>242</v>
      </c>
      <c r="C61" s="172"/>
      <c r="D61" s="172"/>
      <c r="E61" s="172" t="s">
        <v>299</v>
      </c>
      <c r="F61" s="172">
        <v>864</v>
      </c>
      <c r="G61" s="172" t="s">
        <v>299</v>
      </c>
      <c r="H61" s="173">
        <v>3500000</v>
      </c>
      <c r="I61" s="173">
        <f t="shared" si="0"/>
        <v>3024000000</v>
      </c>
      <c r="J61" s="222"/>
      <c r="K61" s="222"/>
      <c r="L61" s="198"/>
    </row>
    <row r="62" spans="1:12" ht="30" x14ac:dyDescent="0.25">
      <c r="A62" s="170"/>
      <c r="B62" s="217" t="s">
        <v>243</v>
      </c>
      <c r="C62" s="172"/>
      <c r="D62" s="172"/>
      <c r="E62" s="172" t="s">
        <v>299</v>
      </c>
      <c r="F62" s="172">
        <v>516</v>
      </c>
      <c r="G62" s="172" t="s">
        <v>299</v>
      </c>
      <c r="H62" s="173">
        <v>4000000</v>
      </c>
      <c r="I62" s="173">
        <f t="shared" si="0"/>
        <v>2064000000</v>
      </c>
      <c r="J62" s="222"/>
      <c r="K62" s="222"/>
      <c r="L62" s="198"/>
    </row>
    <row r="63" spans="1:12" ht="30" x14ac:dyDescent="0.25">
      <c r="A63" s="170"/>
      <c r="B63" s="217" t="s">
        <v>244</v>
      </c>
      <c r="C63" s="172"/>
      <c r="D63" s="172"/>
      <c r="E63" s="172" t="s">
        <v>299</v>
      </c>
      <c r="F63" s="172">
        <v>288</v>
      </c>
      <c r="G63" s="172" t="s">
        <v>299</v>
      </c>
      <c r="H63" s="173">
        <v>4000000</v>
      </c>
      <c r="I63" s="173">
        <f t="shared" si="0"/>
        <v>1152000000</v>
      </c>
      <c r="J63" s="222"/>
      <c r="K63" s="222"/>
      <c r="L63" s="198"/>
    </row>
    <row r="64" spans="1:12" ht="30" x14ac:dyDescent="0.25">
      <c r="A64" s="170"/>
      <c r="B64" s="217" t="s">
        <v>245</v>
      </c>
      <c r="C64" s="172"/>
      <c r="D64" s="172"/>
      <c r="E64" s="172" t="s">
        <v>299</v>
      </c>
      <c r="F64" s="172">
        <v>144</v>
      </c>
      <c r="G64" s="172" t="s">
        <v>299</v>
      </c>
      <c r="H64" s="173">
        <v>4100000</v>
      </c>
      <c r="I64" s="173">
        <f t="shared" si="0"/>
        <v>590400000</v>
      </c>
      <c r="J64" s="222"/>
      <c r="K64" s="222"/>
      <c r="L64" s="198"/>
    </row>
    <row r="65" spans="1:12" ht="30" x14ac:dyDescent="0.25">
      <c r="A65" s="170"/>
      <c r="B65" s="217" t="s">
        <v>246</v>
      </c>
      <c r="C65" s="172"/>
      <c r="D65" s="172"/>
      <c r="E65" s="172" t="s">
        <v>299</v>
      </c>
      <c r="F65" s="172">
        <v>396</v>
      </c>
      <c r="G65" s="172" t="s">
        <v>299</v>
      </c>
      <c r="H65" s="173">
        <v>4500000</v>
      </c>
      <c r="I65" s="173">
        <f t="shared" si="0"/>
        <v>1782000000</v>
      </c>
      <c r="J65" s="222"/>
      <c r="K65" s="222"/>
      <c r="L65" s="198"/>
    </row>
    <row r="66" spans="1:12" ht="30" x14ac:dyDescent="0.25">
      <c r="A66" s="170"/>
      <c r="B66" s="217" t="s">
        <v>247</v>
      </c>
      <c r="C66" s="172"/>
      <c r="D66" s="172"/>
      <c r="E66" s="172" t="s">
        <v>299</v>
      </c>
      <c r="F66" s="172">
        <v>144</v>
      </c>
      <c r="G66" s="172" t="s">
        <v>299</v>
      </c>
      <c r="H66" s="173">
        <v>4500000</v>
      </c>
      <c r="I66" s="173">
        <f t="shared" si="0"/>
        <v>648000000</v>
      </c>
      <c r="J66" s="222"/>
      <c r="K66" s="222"/>
      <c r="L66" s="198"/>
    </row>
    <row r="67" spans="1:12" ht="30" x14ac:dyDescent="0.25">
      <c r="A67" s="170"/>
      <c r="B67" s="216" t="s">
        <v>734</v>
      </c>
      <c r="C67" s="172"/>
      <c r="D67" s="172"/>
      <c r="E67" s="172" t="s">
        <v>299</v>
      </c>
      <c r="F67" s="172">
        <v>276</v>
      </c>
      <c r="G67" s="172" t="s">
        <v>299</v>
      </c>
      <c r="H67" s="173">
        <v>4500000</v>
      </c>
      <c r="I67" s="173">
        <f t="shared" si="0"/>
        <v>1242000000</v>
      </c>
      <c r="J67" s="222"/>
      <c r="K67" s="222"/>
      <c r="L67" s="198"/>
    </row>
    <row r="68" spans="1:12" ht="30" x14ac:dyDescent="0.25">
      <c r="A68" s="170"/>
      <c r="B68" s="217" t="s">
        <v>340</v>
      </c>
      <c r="C68" s="172"/>
      <c r="D68" s="172"/>
      <c r="E68" s="172" t="s">
        <v>299</v>
      </c>
      <c r="F68" s="172">
        <v>299</v>
      </c>
      <c r="G68" s="172" t="s">
        <v>299</v>
      </c>
      <c r="H68" s="173">
        <v>4200000</v>
      </c>
      <c r="I68" s="173">
        <f t="shared" si="0"/>
        <v>1255800000</v>
      </c>
      <c r="J68" s="222"/>
      <c r="K68" s="222"/>
      <c r="L68" s="198"/>
    </row>
    <row r="69" spans="1:12" ht="30" x14ac:dyDescent="0.25">
      <c r="A69" s="170"/>
      <c r="B69" s="217" t="s">
        <v>249</v>
      </c>
      <c r="C69" s="172"/>
      <c r="D69" s="172"/>
      <c r="E69" s="172" t="s">
        <v>299</v>
      </c>
      <c r="F69" s="172">
        <v>120</v>
      </c>
      <c r="G69" s="172" t="s">
        <v>299</v>
      </c>
      <c r="H69" s="173">
        <v>4200000</v>
      </c>
      <c r="I69" s="173">
        <f t="shared" si="0"/>
        <v>504000000</v>
      </c>
      <c r="J69" s="222"/>
      <c r="K69" s="222"/>
      <c r="L69" s="198"/>
    </row>
    <row r="70" spans="1:12" ht="30" x14ac:dyDescent="0.25">
      <c r="A70" s="170"/>
      <c r="B70" s="217" t="s">
        <v>250</v>
      </c>
      <c r="C70" s="172"/>
      <c r="D70" s="172"/>
      <c r="E70" s="172" t="s">
        <v>299</v>
      </c>
      <c r="F70" s="172">
        <v>144</v>
      </c>
      <c r="G70" s="172" t="s">
        <v>299</v>
      </c>
      <c r="H70" s="173">
        <v>4500000</v>
      </c>
      <c r="I70" s="173">
        <f t="shared" si="0"/>
        <v>648000000</v>
      </c>
      <c r="J70" s="222"/>
      <c r="K70" s="222"/>
      <c r="L70" s="198"/>
    </row>
    <row r="71" spans="1:12" ht="30" x14ac:dyDescent="0.25">
      <c r="A71" s="170"/>
      <c r="B71" s="216" t="s">
        <v>730</v>
      </c>
      <c r="C71" s="172"/>
      <c r="D71" s="172"/>
      <c r="E71" s="172" t="s">
        <v>299</v>
      </c>
      <c r="F71" s="172">
        <v>144</v>
      </c>
      <c r="G71" s="172" t="s">
        <v>299</v>
      </c>
      <c r="H71" s="173">
        <v>4500000</v>
      </c>
      <c r="I71" s="173">
        <f t="shared" si="0"/>
        <v>648000000</v>
      </c>
      <c r="J71" s="222"/>
      <c r="K71" s="222"/>
      <c r="L71" s="198"/>
    </row>
    <row r="72" spans="1:12" ht="30" x14ac:dyDescent="0.25">
      <c r="A72" s="170"/>
      <c r="B72" s="216" t="s">
        <v>731</v>
      </c>
      <c r="C72" s="172"/>
      <c r="D72" s="172"/>
      <c r="E72" s="172" t="s">
        <v>299</v>
      </c>
      <c r="F72" s="172">
        <v>144</v>
      </c>
      <c r="G72" s="172" t="s">
        <v>299</v>
      </c>
      <c r="H72" s="173">
        <v>4500000</v>
      </c>
      <c r="I72" s="173">
        <f t="shared" si="0"/>
        <v>648000000</v>
      </c>
      <c r="J72" s="222"/>
      <c r="K72" s="222"/>
      <c r="L72" s="198"/>
    </row>
    <row r="73" spans="1:12" ht="30" x14ac:dyDescent="0.25">
      <c r="A73" s="170"/>
      <c r="B73" s="216" t="s">
        <v>729</v>
      </c>
      <c r="C73" s="172"/>
      <c r="D73" s="172"/>
      <c r="E73" s="172" t="s">
        <v>299</v>
      </c>
      <c r="F73" s="172">
        <v>144</v>
      </c>
      <c r="G73" s="172" t="s">
        <v>299</v>
      </c>
      <c r="H73" s="173">
        <v>4500000</v>
      </c>
      <c r="I73" s="173">
        <f t="shared" si="0"/>
        <v>648000000</v>
      </c>
      <c r="J73" s="222"/>
      <c r="K73" s="222"/>
      <c r="L73" s="198"/>
    </row>
    <row r="74" spans="1:12" ht="30" x14ac:dyDescent="0.25">
      <c r="A74" s="170"/>
      <c r="B74" s="216" t="s">
        <v>732</v>
      </c>
      <c r="C74" s="172"/>
      <c r="D74" s="172"/>
      <c r="E74" s="172" t="s">
        <v>299</v>
      </c>
      <c r="F74" s="172">
        <v>144</v>
      </c>
      <c r="G74" s="172" t="s">
        <v>299</v>
      </c>
      <c r="H74" s="173">
        <v>4500000</v>
      </c>
      <c r="I74" s="173">
        <f t="shared" si="0"/>
        <v>648000000</v>
      </c>
      <c r="J74" s="222"/>
      <c r="K74" s="222"/>
      <c r="L74" s="198"/>
    </row>
    <row r="75" spans="1:12" ht="30" x14ac:dyDescent="0.25">
      <c r="A75" s="170"/>
      <c r="B75" s="217" t="s">
        <v>252</v>
      </c>
      <c r="C75" s="172"/>
      <c r="D75" s="172"/>
      <c r="E75" s="172" t="s">
        <v>299</v>
      </c>
      <c r="F75" s="172">
        <v>408</v>
      </c>
      <c r="G75" s="172" t="s">
        <v>299</v>
      </c>
      <c r="H75" s="173">
        <v>4500000</v>
      </c>
      <c r="I75" s="173">
        <f t="shared" si="0"/>
        <v>1836000000</v>
      </c>
      <c r="J75" s="222"/>
      <c r="K75" s="222"/>
      <c r="L75" s="198"/>
    </row>
    <row r="76" spans="1:12" ht="30" x14ac:dyDescent="0.25">
      <c r="A76" s="170"/>
      <c r="B76" s="217" t="s">
        <v>253</v>
      </c>
      <c r="C76" s="172"/>
      <c r="D76" s="172"/>
      <c r="E76" s="172" t="s">
        <v>299</v>
      </c>
      <c r="F76" s="172">
        <v>84</v>
      </c>
      <c r="G76" s="172" t="s">
        <v>299</v>
      </c>
      <c r="H76" s="173">
        <v>4200000</v>
      </c>
      <c r="I76" s="173">
        <f t="shared" si="0"/>
        <v>352800000</v>
      </c>
      <c r="J76" s="222"/>
      <c r="K76" s="222"/>
      <c r="L76" s="198"/>
    </row>
    <row r="77" spans="1:12" ht="30" x14ac:dyDescent="0.25">
      <c r="A77" s="170"/>
      <c r="B77" s="217" t="s">
        <v>254</v>
      </c>
      <c r="C77" s="172"/>
      <c r="D77" s="172"/>
      <c r="E77" s="172" t="s">
        <v>299</v>
      </c>
      <c r="F77" s="172">
        <v>60</v>
      </c>
      <c r="G77" s="172" t="s">
        <v>299</v>
      </c>
      <c r="H77" s="173">
        <v>4200000</v>
      </c>
      <c r="I77" s="173">
        <f t="shared" si="0"/>
        <v>252000000</v>
      </c>
      <c r="J77" s="222"/>
      <c r="K77" s="222"/>
      <c r="L77" s="198"/>
    </row>
    <row r="78" spans="1:12" ht="30" x14ac:dyDescent="0.25">
      <c r="A78" s="170"/>
      <c r="B78" s="217" t="s">
        <v>255</v>
      </c>
      <c r="C78" s="172"/>
      <c r="D78" s="172"/>
      <c r="E78" s="172" t="s">
        <v>299</v>
      </c>
      <c r="F78" s="172">
        <v>60</v>
      </c>
      <c r="G78" s="172" t="s">
        <v>299</v>
      </c>
      <c r="H78" s="173">
        <v>4200000</v>
      </c>
      <c r="I78" s="173">
        <f t="shared" si="0"/>
        <v>252000000</v>
      </c>
      <c r="J78" s="222"/>
      <c r="K78" s="222"/>
      <c r="L78" s="198"/>
    </row>
    <row r="79" spans="1:12" ht="30" x14ac:dyDescent="0.25">
      <c r="A79" s="170"/>
      <c r="B79" s="217" t="s">
        <v>256</v>
      </c>
      <c r="C79" s="172"/>
      <c r="D79" s="172"/>
      <c r="E79" s="172" t="s">
        <v>299</v>
      </c>
      <c r="F79" s="172">
        <v>12</v>
      </c>
      <c r="G79" s="172" t="s">
        <v>299</v>
      </c>
      <c r="H79" s="173">
        <v>4200000</v>
      </c>
      <c r="I79" s="173">
        <f t="shared" si="0"/>
        <v>50400000</v>
      </c>
      <c r="J79" s="222"/>
      <c r="K79" s="222"/>
      <c r="L79" s="198"/>
    </row>
    <row r="80" spans="1:12" ht="30" x14ac:dyDescent="0.25">
      <c r="A80" s="170"/>
      <c r="B80" s="217" t="s">
        <v>257</v>
      </c>
      <c r="C80" s="172"/>
      <c r="D80" s="172"/>
      <c r="E80" s="172" t="s">
        <v>299</v>
      </c>
      <c r="F80" s="172">
        <v>24</v>
      </c>
      <c r="G80" s="172" t="s">
        <v>299</v>
      </c>
      <c r="H80" s="173">
        <v>4100000</v>
      </c>
      <c r="I80" s="173">
        <f t="shared" si="0"/>
        <v>98400000</v>
      </c>
      <c r="J80" s="222"/>
      <c r="K80" s="222"/>
      <c r="L80" s="198"/>
    </row>
    <row r="81" spans="1:12" ht="30" x14ac:dyDescent="0.25">
      <c r="A81" s="170"/>
      <c r="B81" s="216" t="s">
        <v>733</v>
      </c>
      <c r="C81" s="172"/>
      <c r="D81" s="172"/>
      <c r="E81" s="172" t="s">
        <v>299</v>
      </c>
      <c r="F81" s="172">
        <v>1</v>
      </c>
      <c r="G81" s="172" t="s">
        <v>299</v>
      </c>
      <c r="H81" s="173">
        <v>4200000</v>
      </c>
      <c r="I81" s="173">
        <f t="shared" si="0"/>
        <v>4200000</v>
      </c>
      <c r="J81" s="222"/>
      <c r="K81" s="222"/>
      <c r="L81" s="198"/>
    </row>
    <row r="82" spans="1:12" x14ac:dyDescent="0.25">
      <c r="A82" s="166" t="s">
        <v>119</v>
      </c>
      <c r="B82" s="215" t="s">
        <v>120</v>
      </c>
      <c r="C82" s="168"/>
      <c r="D82" s="168"/>
      <c r="E82" s="168"/>
      <c r="F82" s="168"/>
      <c r="G82" s="168"/>
      <c r="H82" s="169"/>
      <c r="I82" s="167">
        <f>SUM(I83:I91)</f>
        <v>10200000000</v>
      </c>
      <c r="J82" s="221"/>
      <c r="K82" s="221"/>
      <c r="L82" s="221"/>
    </row>
    <row r="83" spans="1:12" ht="30" x14ac:dyDescent="0.25">
      <c r="A83" s="170"/>
      <c r="B83" s="217" t="s">
        <v>259</v>
      </c>
      <c r="C83" s="172"/>
      <c r="D83" s="172"/>
      <c r="E83" s="172" t="s">
        <v>299</v>
      </c>
      <c r="F83" s="172">
        <v>242</v>
      </c>
      <c r="G83" s="172" t="s">
        <v>299</v>
      </c>
      <c r="H83" s="173">
        <v>17450000</v>
      </c>
      <c r="I83" s="173">
        <f t="shared" ref="I83:I91" si="1">F83*H83</f>
        <v>4222900000</v>
      </c>
      <c r="J83" s="222"/>
      <c r="K83" s="222"/>
      <c r="L83" s="198"/>
    </row>
    <row r="84" spans="1:12" ht="30" x14ac:dyDescent="0.25">
      <c r="A84" s="170"/>
      <c r="B84" s="217" t="s">
        <v>260</v>
      </c>
      <c r="C84" s="172"/>
      <c r="D84" s="172"/>
      <c r="E84" s="172" t="s">
        <v>299</v>
      </c>
      <c r="F84" s="172">
        <v>84</v>
      </c>
      <c r="G84" s="172" t="s">
        <v>299</v>
      </c>
      <c r="H84" s="173">
        <v>17500000</v>
      </c>
      <c r="I84" s="173">
        <f t="shared" si="1"/>
        <v>1470000000</v>
      </c>
      <c r="J84" s="222"/>
      <c r="K84" s="222"/>
      <c r="L84" s="198"/>
    </row>
    <row r="85" spans="1:12" ht="30" x14ac:dyDescent="0.25">
      <c r="A85" s="170"/>
      <c r="B85" s="217" t="s">
        <v>261</v>
      </c>
      <c r="C85" s="172"/>
      <c r="D85" s="172"/>
      <c r="E85" s="172" t="s">
        <v>299</v>
      </c>
      <c r="F85" s="172">
        <v>60</v>
      </c>
      <c r="G85" s="172" t="s">
        <v>299</v>
      </c>
      <c r="H85" s="173">
        <v>17500000</v>
      </c>
      <c r="I85" s="173">
        <f t="shared" si="1"/>
        <v>1050000000</v>
      </c>
      <c r="J85" s="222"/>
      <c r="K85" s="222"/>
      <c r="L85" s="198"/>
    </row>
    <row r="86" spans="1:12" ht="30" x14ac:dyDescent="0.25">
      <c r="A86" s="170"/>
      <c r="B86" s="217" t="s">
        <v>262</v>
      </c>
      <c r="C86" s="172"/>
      <c r="D86" s="172"/>
      <c r="E86" s="172" t="s">
        <v>299</v>
      </c>
      <c r="F86" s="172">
        <v>60</v>
      </c>
      <c r="G86" s="172" t="s">
        <v>299</v>
      </c>
      <c r="H86" s="173">
        <v>17500000</v>
      </c>
      <c r="I86" s="173">
        <f t="shared" si="1"/>
        <v>1050000000</v>
      </c>
      <c r="J86" s="222"/>
      <c r="K86" s="222"/>
      <c r="L86" s="198"/>
    </row>
    <row r="87" spans="1:12" ht="30" x14ac:dyDescent="0.25">
      <c r="A87" s="170"/>
      <c r="B87" s="217" t="s">
        <v>263</v>
      </c>
      <c r="C87" s="172"/>
      <c r="D87" s="172"/>
      <c r="E87" s="172" t="s">
        <v>299</v>
      </c>
      <c r="F87" s="172">
        <v>18</v>
      </c>
      <c r="G87" s="172" t="s">
        <v>299</v>
      </c>
      <c r="H87" s="173">
        <v>17500000</v>
      </c>
      <c r="I87" s="173">
        <f t="shared" si="1"/>
        <v>315000000</v>
      </c>
      <c r="J87" s="222"/>
      <c r="K87" s="222"/>
      <c r="L87" s="198"/>
    </row>
    <row r="88" spans="1:12" ht="30" x14ac:dyDescent="0.25">
      <c r="A88" s="170"/>
      <c r="B88" s="217" t="s">
        <v>264</v>
      </c>
      <c r="C88" s="172"/>
      <c r="D88" s="172"/>
      <c r="E88" s="172" t="s">
        <v>299</v>
      </c>
      <c r="F88" s="172">
        <v>24</v>
      </c>
      <c r="G88" s="172" t="s">
        <v>299</v>
      </c>
      <c r="H88" s="173">
        <v>16900000</v>
      </c>
      <c r="I88" s="173">
        <f t="shared" si="1"/>
        <v>405600000</v>
      </c>
      <c r="J88" s="222"/>
      <c r="K88" s="222"/>
      <c r="L88" s="198"/>
    </row>
    <row r="89" spans="1:12" ht="30" x14ac:dyDescent="0.25">
      <c r="A89" s="170"/>
      <c r="B89" s="216" t="s">
        <v>735</v>
      </c>
      <c r="C89" s="172"/>
      <c r="D89" s="172"/>
      <c r="E89" s="172" t="s">
        <v>299</v>
      </c>
      <c r="F89" s="172">
        <v>84</v>
      </c>
      <c r="G89" s="172" t="s">
        <v>299</v>
      </c>
      <c r="H89" s="173">
        <v>17500000</v>
      </c>
      <c r="I89" s="173">
        <f t="shared" si="1"/>
        <v>1470000000</v>
      </c>
      <c r="J89" s="222"/>
      <c r="K89" s="222"/>
      <c r="L89" s="198"/>
    </row>
    <row r="90" spans="1:12" ht="30" x14ac:dyDescent="0.25">
      <c r="A90" s="170"/>
      <c r="B90" s="217" t="s">
        <v>265</v>
      </c>
      <c r="C90" s="172"/>
      <c r="D90" s="172"/>
      <c r="E90" s="172" t="s">
        <v>299</v>
      </c>
      <c r="F90" s="172">
        <v>12</v>
      </c>
      <c r="G90" s="172" t="s">
        <v>299</v>
      </c>
      <c r="H90" s="173">
        <v>16900000</v>
      </c>
      <c r="I90" s="173">
        <f t="shared" si="1"/>
        <v>202800000</v>
      </c>
      <c r="J90" s="222"/>
      <c r="K90" s="222"/>
      <c r="L90" s="198"/>
    </row>
    <row r="91" spans="1:12" ht="30" x14ac:dyDescent="0.25">
      <c r="A91" s="170"/>
      <c r="B91" s="217" t="s">
        <v>266</v>
      </c>
      <c r="C91" s="172"/>
      <c r="D91" s="172"/>
      <c r="E91" s="172" t="s">
        <v>299</v>
      </c>
      <c r="F91" s="172">
        <v>1</v>
      </c>
      <c r="G91" s="172" t="s">
        <v>299</v>
      </c>
      <c r="H91" s="173">
        <v>13700000</v>
      </c>
      <c r="I91" s="173">
        <f t="shared" si="1"/>
        <v>13700000</v>
      </c>
      <c r="J91" s="222"/>
      <c r="K91" s="222"/>
      <c r="L91" s="198"/>
    </row>
    <row r="92" spans="1:12" s="1" customFormat="1" x14ac:dyDescent="0.25">
      <c r="A92" s="223">
        <v>511611</v>
      </c>
      <c r="B92" s="215" t="s">
        <v>594</v>
      </c>
      <c r="C92" s="168"/>
      <c r="D92" s="168"/>
      <c r="E92" s="168"/>
      <c r="F92" s="168"/>
      <c r="G92" s="168"/>
      <c r="H92" s="169"/>
      <c r="I92" s="167">
        <f>I93</f>
        <v>490000000</v>
      </c>
      <c r="J92" s="221"/>
      <c r="K92" s="221"/>
      <c r="L92" s="221"/>
    </row>
    <row r="93" spans="1:12" s="1" customFormat="1" x14ac:dyDescent="0.25">
      <c r="A93" s="170"/>
      <c r="B93" s="216" t="s">
        <v>595</v>
      </c>
      <c r="C93" s="172"/>
      <c r="D93" s="172"/>
      <c r="E93" s="172" t="s">
        <v>309</v>
      </c>
      <c r="F93" s="172">
        <v>1</v>
      </c>
      <c r="G93" s="172" t="s">
        <v>309</v>
      </c>
      <c r="H93" s="173">
        <v>490000000</v>
      </c>
      <c r="I93" s="173">
        <f>F93*H93</f>
        <v>490000000</v>
      </c>
      <c r="J93" s="222"/>
      <c r="K93" s="222"/>
      <c r="L93" s="198"/>
    </row>
    <row r="94" spans="1:12" s="1" customFormat="1" x14ac:dyDescent="0.25">
      <c r="A94" s="223">
        <v>511619</v>
      </c>
      <c r="B94" s="215" t="s">
        <v>596</v>
      </c>
      <c r="C94" s="168"/>
      <c r="D94" s="168"/>
      <c r="E94" s="168"/>
      <c r="F94" s="168"/>
      <c r="G94" s="168"/>
      <c r="H94" s="169"/>
      <c r="I94" s="167">
        <f>I95</f>
        <v>24000</v>
      </c>
      <c r="J94" s="221"/>
      <c r="K94" s="221"/>
      <c r="L94" s="221"/>
    </row>
    <row r="95" spans="1:12" s="1" customFormat="1" x14ac:dyDescent="0.25">
      <c r="A95" s="170"/>
      <c r="B95" s="216" t="s">
        <v>597</v>
      </c>
      <c r="C95" s="172"/>
      <c r="D95" s="172"/>
      <c r="E95" s="172" t="s">
        <v>309</v>
      </c>
      <c r="F95" s="172">
        <v>1</v>
      </c>
      <c r="G95" s="172" t="s">
        <v>309</v>
      </c>
      <c r="H95" s="173">
        <v>24000</v>
      </c>
      <c r="I95" s="173">
        <f>F95*H95</f>
        <v>24000</v>
      </c>
      <c r="J95" s="222"/>
      <c r="K95" s="222"/>
      <c r="L95" s="198"/>
    </row>
    <row r="96" spans="1:12" s="1" customFormat="1" x14ac:dyDescent="0.25">
      <c r="A96" s="223">
        <v>511621</v>
      </c>
      <c r="B96" s="215" t="s">
        <v>598</v>
      </c>
      <c r="C96" s="168"/>
      <c r="D96" s="168"/>
      <c r="E96" s="168"/>
      <c r="F96" s="168"/>
      <c r="G96" s="168"/>
      <c r="H96" s="169"/>
      <c r="I96" s="167">
        <f>I97</f>
        <v>56000000</v>
      </c>
      <c r="J96" s="221"/>
      <c r="K96" s="221"/>
      <c r="L96" s="221"/>
    </row>
    <row r="97" spans="1:12" s="1" customFormat="1" x14ac:dyDescent="0.25">
      <c r="A97" s="170"/>
      <c r="B97" s="216" t="s">
        <v>599</v>
      </c>
      <c r="C97" s="172"/>
      <c r="D97" s="172"/>
      <c r="E97" s="172" t="s">
        <v>309</v>
      </c>
      <c r="F97" s="172">
        <v>1</v>
      </c>
      <c r="G97" s="172" t="s">
        <v>309</v>
      </c>
      <c r="H97" s="173">
        <v>56000000</v>
      </c>
      <c r="I97" s="173">
        <f>F97*H97</f>
        <v>56000000</v>
      </c>
      <c r="J97" s="222"/>
      <c r="K97" s="222"/>
      <c r="L97" s="198"/>
    </row>
    <row r="98" spans="1:12" s="1" customFormat="1" x14ac:dyDescent="0.25">
      <c r="A98" s="223">
        <v>511622</v>
      </c>
      <c r="B98" s="215" t="s">
        <v>600</v>
      </c>
      <c r="C98" s="168"/>
      <c r="D98" s="168"/>
      <c r="E98" s="168"/>
      <c r="F98" s="168"/>
      <c r="G98" s="168"/>
      <c r="H98" s="169"/>
      <c r="I98" s="167">
        <f>I99</f>
        <v>28000000</v>
      </c>
      <c r="J98" s="221"/>
      <c r="K98" s="221"/>
      <c r="L98" s="221"/>
    </row>
    <row r="99" spans="1:12" s="1" customFormat="1" x14ac:dyDescent="0.25">
      <c r="A99" s="170"/>
      <c r="B99" s="216" t="s">
        <v>601</v>
      </c>
      <c r="C99" s="172"/>
      <c r="D99" s="172"/>
      <c r="E99" s="172" t="s">
        <v>309</v>
      </c>
      <c r="F99" s="172">
        <v>1</v>
      </c>
      <c r="G99" s="172" t="s">
        <v>309</v>
      </c>
      <c r="H99" s="173">
        <v>28000000</v>
      </c>
      <c r="I99" s="173">
        <f>F99*H99</f>
        <v>28000000</v>
      </c>
      <c r="J99" s="222"/>
      <c r="K99" s="222"/>
      <c r="L99" s="198"/>
    </row>
    <row r="100" spans="1:12" s="1" customFormat="1" x14ac:dyDescent="0.25">
      <c r="A100" s="223">
        <v>511624</v>
      </c>
      <c r="B100" s="215" t="s">
        <v>602</v>
      </c>
      <c r="C100" s="168"/>
      <c r="D100" s="168"/>
      <c r="E100" s="168"/>
      <c r="F100" s="168"/>
      <c r="G100" s="168"/>
      <c r="H100" s="169"/>
      <c r="I100" s="167">
        <f>I101</f>
        <v>126000000</v>
      </c>
      <c r="J100" s="221"/>
      <c r="K100" s="221"/>
      <c r="L100" s="221"/>
    </row>
    <row r="101" spans="1:12" s="1" customFormat="1" x14ac:dyDescent="0.25">
      <c r="A101" s="170"/>
      <c r="B101" s="216" t="s">
        <v>603</v>
      </c>
      <c r="C101" s="172"/>
      <c r="D101" s="172"/>
      <c r="E101" s="172" t="s">
        <v>309</v>
      </c>
      <c r="F101" s="172">
        <v>1</v>
      </c>
      <c r="G101" s="172" t="s">
        <v>309</v>
      </c>
      <c r="H101" s="173">
        <v>126000000</v>
      </c>
      <c r="I101" s="173">
        <f>F101*H101</f>
        <v>126000000</v>
      </c>
      <c r="J101" s="222"/>
      <c r="K101" s="222"/>
      <c r="L101" s="198"/>
    </row>
    <row r="102" spans="1:12" s="1" customFormat="1" x14ac:dyDescent="0.25">
      <c r="A102" s="223">
        <v>511625</v>
      </c>
      <c r="B102" s="215" t="s">
        <v>604</v>
      </c>
      <c r="C102" s="168"/>
      <c r="D102" s="168"/>
      <c r="E102" s="168"/>
      <c r="F102" s="168"/>
      <c r="G102" s="168"/>
      <c r="H102" s="169"/>
      <c r="I102" s="167">
        <f>I103</f>
        <v>42000000</v>
      </c>
      <c r="J102" s="221"/>
      <c r="K102" s="221"/>
      <c r="L102" s="221"/>
    </row>
    <row r="103" spans="1:12" s="1" customFormat="1" x14ac:dyDescent="0.25">
      <c r="A103" s="170"/>
      <c r="B103" s="216" t="s">
        <v>605</v>
      </c>
      <c r="C103" s="172"/>
      <c r="D103" s="172"/>
      <c r="E103" s="172" t="s">
        <v>309</v>
      </c>
      <c r="F103" s="172">
        <v>1</v>
      </c>
      <c r="G103" s="172" t="s">
        <v>309</v>
      </c>
      <c r="H103" s="173">
        <v>42000000</v>
      </c>
      <c r="I103" s="173">
        <f>F103*H103</f>
        <v>42000000</v>
      </c>
      <c r="J103" s="222"/>
      <c r="K103" s="222"/>
      <c r="L103" s="198"/>
    </row>
    <row r="104" spans="1:12" s="1" customFormat="1" x14ac:dyDescent="0.25">
      <c r="A104" s="223">
        <v>511628</v>
      </c>
      <c r="B104" s="215" t="s">
        <v>606</v>
      </c>
      <c r="C104" s="168"/>
      <c r="D104" s="168"/>
      <c r="E104" s="168"/>
      <c r="F104" s="168"/>
      <c r="G104" s="168"/>
      <c r="H104" s="169"/>
      <c r="I104" s="167">
        <f>I105</f>
        <v>98000000</v>
      </c>
      <c r="J104" s="221"/>
      <c r="K104" s="221"/>
      <c r="L104" s="221"/>
    </row>
    <row r="105" spans="1:12" s="1" customFormat="1" x14ac:dyDescent="0.25">
      <c r="A105" s="170"/>
      <c r="B105" s="216" t="s">
        <v>607</v>
      </c>
      <c r="C105" s="172"/>
      <c r="D105" s="172"/>
      <c r="E105" s="172" t="s">
        <v>309</v>
      </c>
      <c r="F105" s="172">
        <v>1</v>
      </c>
      <c r="G105" s="172" t="s">
        <v>309</v>
      </c>
      <c r="H105" s="173">
        <v>98000000</v>
      </c>
      <c r="I105" s="173">
        <f>F105*H105</f>
        <v>98000000</v>
      </c>
      <c r="J105" s="222"/>
      <c r="K105" s="222"/>
      <c r="L105" s="198"/>
    </row>
    <row r="106" spans="1:12" x14ac:dyDescent="0.25">
      <c r="A106" s="166" t="s">
        <v>121</v>
      </c>
      <c r="B106" s="215" t="s">
        <v>122</v>
      </c>
      <c r="C106" s="168"/>
      <c r="D106" s="168"/>
      <c r="E106" s="168"/>
      <c r="F106" s="168"/>
      <c r="G106" s="168"/>
      <c r="H106" s="169"/>
      <c r="I106" s="167">
        <f>SUM(I107:I112)</f>
        <v>59997000</v>
      </c>
      <c r="J106" s="221"/>
      <c r="K106" s="221"/>
      <c r="L106" s="221"/>
    </row>
    <row r="107" spans="1:12" x14ac:dyDescent="0.25">
      <c r="A107" s="170"/>
      <c r="B107" s="217" t="s">
        <v>267</v>
      </c>
      <c r="C107" s="172"/>
      <c r="D107" s="172"/>
      <c r="E107" s="172" t="s">
        <v>297</v>
      </c>
      <c r="F107" s="172">
        <v>50</v>
      </c>
      <c r="G107" s="172" t="s">
        <v>297</v>
      </c>
      <c r="H107" s="173">
        <v>36000</v>
      </c>
      <c r="I107" s="173">
        <f>F107*H107</f>
        <v>1800000</v>
      </c>
      <c r="J107" s="222"/>
      <c r="K107" s="222"/>
      <c r="L107" s="198"/>
    </row>
    <row r="108" spans="1:12" x14ac:dyDescent="0.25">
      <c r="A108" s="170"/>
      <c r="B108" s="217" t="s">
        <v>268</v>
      </c>
      <c r="C108" s="172"/>
      <c r="D108" s="172"/>
      <c r="E108" s="172" t="s">
        <v>297</v>
      </c>
      <c r="F108" s="172">
        <v>846</v>
      </c>
      <c r="G108" s="172" t="s">
        <v>297</v>
      </c>
      <c r="H108" s="173">
        <v>30000</v>
      </c>
      <c r="I108" s="173">
        <f t="shared" ref="I108:I112" si="2">F108*H108</f>
        <v>25380000</v>
      </c>
      <c r="J108" s="222"/>
      <c r="K108" s="222"/>
      <c r="L108" s="198"/>
    </row>
    <row r="109" spans="1:12" x14ac:dyDescent="0.25">
      <c r="A109" s="170"/>
      <c r="B109" s="217" t="s">
        <v>269</v>
      </c>
      <c r="C109" s="172"/>
      <c r="D109" s="172"/>
      <c r="E109" s="172" t="s">
        <v>297</v>
      </c>
      <c r="F109" s="172">
        <v>20</v>
      </c>
      <c r="G109" s="172" t="s">
        <v>297</v>
      </c>
      <c r="H109" s="173">
        <v>24000</v>
      </c>
      <c r="I109" s="173">
        <f t="shared" si="2"/>
        <v>480000</v>
      </c>
      <c r="J109" s="222"/>
      <c r="K109" s="222"/>
      <c r="L109" s="198"/>
    </row>
    <row r="110" spans="1:12" x14ac:dyDescent="0.25">
      <c r="A110" s="170"/>
      <c r="B110" s="217" t="s">
        <v>233</v>
      </c>
      <c r="C110" s="172"/>
      <c r="D110" s="172"/>
      <c r="E110" s="172" t="s">
        <v>301</v>
      </c>
      <c r="F110" s="172">
        <v>23</v>
      </c>
      <c r="G110" s="172" t="s">
        <v>301</v>
      </c>
      <c r="H110" s="173">
        <v>41000</v>
      </c>
      <c r="I110" s="173">
        <f t="shared" si="2"/>
        <v>943000</v>
      </c>
      <c r="J110" s="222"/>
      <c r="K110" s="222"/>
      <c r="L110" s="198"/>
    </row>
    <row r="111" spans="1:12" x14ac:dyDescent="0.25">
      <c r="A111" s="170"/>
      <c r="B111" s="217" t="s">
        <v>234</v>
      </c>
      <c r="C111" s="172"/>
      <c r="D111" s="172"/>
      <c r="E111" s="172" t="s">
        <v>301</v>
      </c>
      <c r="F111" s="172">
        <v>822</v>
      </c>
      <c r="G111" s="172" t="s">
        <v>301</v>
      </c>
      <c r="H111" s="173">
        <v>37000</v>
      </c>
      <c r="I111" s="173">
        <f t="shared" si="2"/>
        <v>30414000</v>
      </c>
      <c r="J111" s="222"/>
      <c r="K111" s="222"/>
      <c r="L111" s="198"/>
    </row>
    <row r="112" spans="1:12" x14ac:dyDescent="0.25">
      <c r="A112" s="170"/>
      <c r="B112" s="216" t="s">
        <v>773</v>
      </c>
      <c r="C112" s="172"/>
      <c r="D112" s="172"/>
      <c r="E112" s="172" t="s">
        <v>301</v>
      </c>
      <c r="F112" s="172">
        <v>28</v>
      </c>
      <c r="G112" s="172" t="s">
        <v>301</v>
      </c>
      <c r="H112" s="173">
        <v>35000</v>
      </c>
      <c r="I112" s="173">
        <f t="shared" si="2"/>
        <v>980000</v>
      </c>
      <c r="J112" s="222"/>
      <c r="K112" s="222"/>
      <c r="L112" s="198"/>
    </row>
    <row r="113" spans="1:12" s="1" customFormat="1" x14ac:dyDescent="0.25">
      <c r="A113" s="223">
        <v>512212</v>
      </c>
      <c r="B113" s="215" t="s">
        <v>608</v>
      </c>
      <c r="C113" s="168"/>
      <c r="D113" s="168"/>
      <c r="E113" s="168"/>
      <c r="F113" s="168"/>
      <c r="G113" s="168"/>
      <c r="H113" s="169"/>
      <c r="I113" s="167">
        <f>SUM(I114:I115)</f>
        <v>24002000</v>
      </c>
      <c r="J113" s="221"/>
      <c r="K113" s="221"/>
      <c r="L113" s="221"/>
    </row>
    <row r="114" spans="1:12" s="1" customFormat="1" x14ac:dyDescent="0.25">
      <c r="A114" s="170"/>
      <c r="B114" s="216" t="s">
        <v>632</v>
      </c>
      <c r="C114" s="172"/>
      <c r="D114" s="172"/>
      <c r="E114" s="172" t="s">
        <v>297</v>
      </c>
      <c r="F114" s="172">
        <v>694</v>
      </c>
      <c r="G114" s="172" t="s">
        <v>297</v>
      </c>
      <c r="H114" s="173">
        <v>30000</v>
      </c>
      <c r="I114" s="173">
        <f>F114*H114</f>
        <v>20820000</v>
      </c>
      <c r="J114" s="222"/>
      <c r="K114" s="222"/>
      <c r="L114" s="198"/>
    </row>
    <row r="115" spans="1:12" s="1" customFormat="1" x14ac:dyDescent="0.25">
      <c r="A115" s="170"/>
      <c r="B115" s="216" t="s">
        <v>633</v>
      </c>
      <c r="C115" s="172"/>
      <c r="D115" s="172"/>
      <c r="E115" s="172" t="s">
        <v>301</v>
      </c>
      <c r="F115" s="172">
        <v>86</v>
      </c>
      <c r="G115" s="172" t="s">
        <v>301</v>
      </c>
      <c r="H115" s="173">
        <v>37000</v>
      </c>
      <c r="I115" s="173">
        <f>F115*H115</f>
        <v>3182000</v>
      </c>
      <c r="J115" s="222"/>
      <c r="K115" s="222"/>
      <c r="L115" s="198"/>
    </row>
    <row r="116" spans="1:12" ht="19.5" customHeight="1" x14ac:dyDescent="0.25">
      <c r="A116" s="223">
        <v>512411</v>
      </c>
      <c r="B116" s="215" t="s">
        <v>626</v>
      </c>
      <c r="C116" s="168"/>
      <c r="D116" s="168"/>
      <c r="E116" s="168"/>
      <c r="F116" s="168"/>
      <c r="G116" s="168"/>
      <c r="H116" s="169"/>
      <c r="I116" s="167">
        <f>SUM(I117:I117)</f>
        <v>3220000000</v>
      </c>
      <c r="J116" s="221"/>
      <c r="K116" s="221"/>
      <c r="L116" s="221"/>
    </row>
    <row r="117" spans="1:12" ht="19.5" customHeight="1" x14ac:dyDescent="0.25">
      <c r="A117" s="170"/>
      <c r="B117" s="216" t="s">
        <v>627</v>
      </c>
      <c r="C117" s="172"/>
      <c r="D117" s="172"/>
      <c r="E117" s="172" t="s">
        <v>309</v>
      </c>
      <c r="F117" s="172">
        <v>1</v>
      </c>
      <c r="G117" s="172" t="s">
        <v>309</v>
      </c>
      <c r="H117" s="173">
        <v>3220000000</v>
      </c>
      <c r="I117" s="173">
        <f>F117*H117</f>
        <v>3220000000</v>
      </c>
      <c r="J117" s="222"/>
      <c r="K117" s="222"/>
      <c r="L117" s="198"/>
    </row>
    <row r="118" spans="1:12" ht="19.5" customHeight="1" x14ac:dyDescent="0.25">
      <c r="A118" s="223">
        <v>512414</v>
      </c>
      <c r="B118" s="215" t="s">
        <v>628</v>
      </c>
      <c r="C118" s="168"/>
      <c r="D118" s="168"/>
      <c r="E118" s="168"/>
      <c r="F118" s="168"/>
      <c r="G118" s="168"/>
      <c r="H118" s="169"/>
      <c r="I118" s="167">
        <f>SUM(I119:I119)</f>
        <v>700000000</v>
      </c>
      <c r="J118" s="221"/>
      <c r="K118" s="221"/>
      <c r="L118" s="221"/>
    </row>
    <row r="119" spans="1:12" ht="19.5" customHeight="1" x14ac:dyDescent="0.25">
      <c r="A119" s="170"/>
      <c r="B119" s="216" t="s">
        <v>629</v>
      </c>
      <c r="C119" s="172"/>
      <c r="D119" s="172"/>
      <c r="E119" s="172" t="s">
        <v>309</v>
      </c>
      <c r="F119" s="172">
        <v>1</v>
      </c>
      <c r="G119" s="172" t="s">
        <v>309</v>
      </c>
      <c r="H119" s="173">
        <v>700000000</v>
      </c>
      <c r="I119" s="173">
        <f>F119*H119</f>
        <v>700000000</v>
      </c>
      <c r="J119" s="222"/>
      <c r="K119" s="222"/>
      <c r="L119" s="198"/>
    </row>
    <row r="120" spans="1:12" ht="19.5" customHeight="1" x14ac:dyDescent="0.25">
      <c r="A120" s="162" t="s">
        <v>26</v>
      </c>
      <c r="B120" s="236" t="s">
        <v>638</v>
      </c>
      <c r="C120" s="239"/>
      <c r="D120" s="239"/>
      <c r="E120" s="239"/>
      <c r="F120" s="165"/>
      <c r="G120" s="239"/>
      <c r="H120" s="240"/>
      <c r="I120" s="239">
        <f>I121</f>
        <v>34614008000</v>
      </c>
      <c r="J120" s="220"/>
      <c r="K120" s="198"/>
    </row>
    <row r="121" spans="1:12" ht="19.5" customHeight="1" x14ac:dyDescent="0.25">
      <c r="A121" s="223">
        <v>512411</v>
      </c>
      <c r="B121" s="215" t="s">
        <v>626</v>
      </c>
      <c r="C121" s="237"/>
      <c r="D121" s="237"/>
      <c r="E121" s="237"/>
      <c r="F121" s="167"/>
      <c r="G121" s="237"/>
      <c r="H121" s="237"/>
      <c r="I121" s="238">
        <f>I122</f>
        <v>34614008000</v>
      </c>
      <c r="J121" s="221"/>
      <c r="K121" s="197"/>
    </row>
    <row r="122" spans="1:12" ht="28.5" customHeight="1" x14ac:dyDescent="0.25">
      <c r="A122" s="170"/>
      <c r="B122" s="216" t="s">
        <v>639</v>
      </c>
      <c r="C122" s="172"/>
      <c r="D122" s="172"/>
      <c r="E122" s="172" t="s">
        <v>309</v>
      </c>
      <c r="F122" s="172">
        <v>1</v>
      </c>
      <c r="G122" s="172" t="s">
        <v>309</v>
      </c>
      <c r="H122" s="173">
        <v>34614008000</v>
      </c>
      <c r="I122" s="173">
        <f>F122*H122</f>
        <v>34614008000</v>
      </c>
      <c r="J122" s="198"/>
      <c r="K122" s="197"/>
    </row>
    <row r="123" spans="1:12" ht="19.5" customHeight="1" x14ac:dyDescent="0.25">
      <c r="A123" s="158" t="s">
        <v>123</v>
      </c>
      <c r="B123" s="158" t="s">
        <v>124</v>
      </c>
      <c r="C123" s="159"/>
      <c r="D123" s="302" t="s">
        <v>756</v>
      </c>
      <c r="E123" s="233"/>
      <c r="F123" s="233" t="s">
        <v>11</v>
      </c>
      <c r="G123" s="233"/>
      <c r="H123" s="234"/>
      <c r="I123" s="235">
        <f>I124+I146+I153+I158</f>
        <v>6399040000</v>
      </c>
      <c r="J123" s="222"/>
    </row>
    <row r="124" spans="1:12" ht="19.5" customHeight="1" x14ac:dyDescent="0.25">
      <c r="A124" s="162" t="s">
        <v>12</v>
      </c>
      <c r="B124" s="162" t="s">
        <v>125</v>
      </c>
      <c r="C124" s="163"/>
      <c r="D124" s="163"/>
      <c r="E124" s="163"/>
      <c r="F124" s="163"/>
      <c r="G124" s="163"/>
      <c r="H124" s="164"/>
      <c r="I124" s="165">
        <f>I125+I130+I142+I144</f>
        <v>813325000</v>
      </c>
      <c r="J124" s="222"/>
    </row>
    <row r="125" spans="1:12" ht="19.5" customHeight="1" x14ac:dyDescent="0.25">
      <c r="A125" s="166" t="s">
        <v>126</v>
      </c>
      <c r="B125" s="166" t="s">
        <v>127</v>
      </c>
      <c r="C125" s="168"/>
      <c r="D125" s="168"/>
      <c r="E125" s="168"/>
      <c r="F125" s="168"/>
      <c r="G125" s="168"/>
      <c r="H125" s="169"/>
      <c r="I125" s="167">
        <f>SUM(I126:I129)</f>
        <v>417085000</v>
      </c>
      <c r="J125" s="222"/>
    </row>
    <row r="126" spans="1:12" ht="30" x14ac:dyDescent="0.25">
      <c r="A126" s="170"/>
      <c r="B126" s="217" t="s">
        <v>270</v>
      </c>
      <c r="C126" s="172"/>
      <c r="D126" s="172"/>
      <c r="E126" s="172" t="s">
        <v>305</v>
      </c>
      <c r="F126" s="219">
        <v>80</v>
      </c>
      <c r="G126" s="172" t="s">
        <v>305</v>
      </c>
      <c r="H126" s="173">
        <v>1520000</v>
      </c>
      <c r="I126" s="173">
        <f t="shared" ref="I126:I129" si="3">F126*H126</f>
        <v>121600000</v>
      </c>
      <c r="J126" s="222"/>
    </row>
    <row r="127" spans="1:12" x14ac:dyDescent="0.25">
      <c r="A127" s="170"/>
      <c r="B127" s="217" t="s">
        <v>274</v>
      </c>
      <c r="C127" s="172"/>
      <c r="D127" s="172"/>
      <c r="E127" s="172" t="s">
        <v>309</v>
      </c>
      <c r="F127" s="219">
        <v>1</v>
      </c>
      <c r="G127" s="172" t="s">
        <v>309</v>
      </c>
      <c r="H127" s="173">
        <f>65000000-19517000+2000</f>
        <v>45485000</v>
      </c>
      <c r="I127" s="173">
        <f t="shared" si="3"/>
        <v>45485000</v>
      </c>
      <c r="J127" s="221"/>
    </row>
    <row r="128" spans="1:12" ht="30" x14ac:dyDescent="0.25">
      <c r="A128" s="170"/>
      <c r="B128" s="217" t="s">
        <v>275</v>
      </c>
      <c r="C128" s="172"/>
      <c r="D128" s="172"/>
      <c r="E128" s="172" t="s">
        <v>309</v>
      </c>
      <c r="F128" s="219">
        <v>1</v>
      </c>
      <c r="G128" s="172" t="s">
        <v>309</v>
      </c>
      <c r="H128" s="173">
        <v>10000000</v>
      </c>
      <c r="I128" s="173">
        <f t="shared" si="3"/>
        <v>10000000</v>
      </c>
      <c r="J128" s="222"/>
    </row>
    <row r="129" spans="1:10" x14ac:dyDescent="0.25">
      <c r="A129" s="170"/>
      <c r="B129" s="216" t="s">
        <v>631</v>
      </c>
      <c r="C129" s="172"/>
      <c r="D129" s="172"/>
      <c r="E129" s="172" t="s">
        <v>309</v>
      </c>
      <c r="F129" s="219">
        <v>1</v>
      </c>
      <c r="G129" s="172" t="s">
        <v>309</v>
      </c>
      <c r="H129" s="173">
        <v>240000000</v>
      </c>
      <c r="I129" s="173">
        <f t="shared" si="3"/>
        <v>240000000</v>
      </c>
      <c r="J129" s="221"/>
    </row>
    <row r="130" spans="1:10" x14ac:dyDescent="0.25">
      <c r="A130" s="166" t="s">
        <v>128</v>
      </c>
      <c r="B130" s="166" t="s">
        <v>129</v>
      </c>
      <c r="C130" s="168"/>
      <c r="D130" s="168"/>
      <c r="E130" s="168"/>
      <c r="F130" s="168"/>
      <c r="G130" s="168"/>
      <c r="H130" s="169"/>
      <c r="I130" s="167">
        <f>SUM(I131:I141)</f>
        <v>204240000</v>
      </c>
      <c r="J130" s="221"/>
    </row>
    <row r="131" spans="1:10" ht="30" x14ac:dyDescent="0.25">
      <c r="A131" s="170"/>
      <c r="B131" s="177" t="s">
        <v>412</v>
      </c>
      <c r="C131" s="172"/>
      <c r="D131" s="172"/>
      <c r="E131" s="172" t="s">
        <v>299</v>
      </c>
      <c r="F131" s="172">
        <v>12</v>
      </c>
      <c r="G131" s="172" t="s">
        <v>299</v>
      </c>
      <c r="H131" s="214">
        <v>200000</v>
      </c>
      <c r="I131" s="173">
        <f>F131*H131</f>
        <v>2400000</v>
      </c>
      <c r="J131" s="222"/>
    </row>
    <row r="132" spans="1:10" x14ac:dyDescent="0.25">
      <c r="A132" s="170"/>
      <c r="B132" s="177" t="s">
        <v>413</v>
      </c>
      <c r="C132" s="172"/>
      <c r="D132" s="172"/>
      <c r="E132" s="172" t="s">
        <v>299</v>
      </c>
      <c r="F132" s="172">
        <v>12</v>
      </c>
      <c r="G132" s="172" t="s">
        <v>299</v>
      </c>
      <c r="H132" s="214">
        <v>200000</v>
      </c>
      <c r="I132" s="173">
        <f t="shared" ref="I132:I141" si="4">F132*H132</f>
        <v>2400000</v>
      </c>
      <c r="J132" s="221"/>
    </row>
    <row r="133" spans="1:10" ht="30" x14ac:dyDescent="0.25">
      <c r="A133" s="170"/>
      <c r="B133" s="177" t="s">
        <v>414</v>
      </c>
      <c r="C133" s="172"/>
      <c r="D133" s="172"/>
      <c r="E133" s="172" t="s">
        <v>299</v>
      </c>
      <c r="F133" s="172">
        <v>36</v>
      </c>
      <c r="G133" s="172" t="s">
        <v>299</v>
      </c>
      <c r="H133" s="214">
        <v>150000</v>
      </c>
      <c r="I133" s="173">
        <f t="shared" si="4"/>
        <v>5400000</v>
      </c>
      <c r="J133" s="222"/>
    </row>
    <row r="134" spans="1:10" ht="30" x14ac:dyDescent="0.25">
      <c r="A134" s="170"/>
      <c r="B134" s="177" t="s">
        <v>415</v>
      </c>
      <c r="C134" s="172"/>
      <c r="D134" s="172"/>
      <c r="E134" s="172" t="s">
        <v>299</v>
      </c>
      <c r="F134" s="172">
        <v>12</v>
      </c>
      <c r="G134" s="172" t="s">
        <v>299</v>
      </c>
      <c r="H134" s="214">
        <v>150000</v>
      </c>
      <c r="I134" s="173">
        <f t="shared" si="4"/>
        <v>1800000</v>
      </c>
      <c r="J134" s="220"/>
    </row>
    <row r="135" spans="1:10" ht="30" x14ac:dyDescent="0.25">
      <c r="A135" s="170"/>
      <c r="B135" s="177" t="s">
        <v>416</v>
      </c>
      <c r="C135" s="172"/>
      <c r="D135" s="172"/>
      <c r="E135" s="172" t="s">
        <v>299</v>
      </c>
      <c r="F135" s="172">
        <v>24</v>
      </c>
      <c r="G135" s="172" t="s">
        <v>299</v>
      </c>
      <c r="H135" s="214">
        <v>180000</v>
      </c>
      <c r="I135" s="173">
        <f t="shared" si="4"/>
        <v>4320000</v>
      </c>
      <c r="J135" s="221"/>
    </row>
    <row r="136" spans="1:10" ht="30" x14ac:dyDescent="0.25">
      <c r="A136" s="170"/>
      <c r="B136" s="177" t="s">
        <v>697</v>
      </c>
      <c r="C136" s="172"/>
      <c r="D136" s="172"/>
      <c r="E136" s="172" t="s">
        <v>299</v>
      </c>
      <c r="F136" s="172">
        <v>12</v>
      </c>
      <c r="G136" s="172" t="s">
        <v>299</v>
      </c>
      <c r="H136" s="214">
        <v>3500000</v>
      </c>
      <c r="I136" s="173">
        <f t="shared" si="4"/>
        <v>42000000</v>
      </c>
      <c r="J136" s="222"/>
    </row>
    <row r="137" spans="1:10" ht="30" x14ac:dyDescent="0.25">
      <c r="A137" s="170"/>
      <c r="B137" s="177" t="s">
        <v>698</v>
      </c>
      <c r="C137" s="172"/>
      <c r="D137" s="172"/>
      <c r="E137" s="172" t="s">
        <v>299</v>
      </c>
      <c r="F137" s="172">
        <v>12</v>
      </c>
      <c r="G137" s="172" t="s">
        <v>299</v>
      </c>
      <c r="H137" s="214">
        <v>3390000</v>
      </c>
      <c r="I137" s="173">
        <f t="shared" si="4"/>
        <v>40680000</v>
      </c>
      <c r="J137" s="221"/>
    </row>
    <row r="138" spans="1:10" ht="45" x14ac:dyDescent="0.25">
      <c r="A138" s="170"/>
      <c r="B138" s="177" t="s">
        <v>699</v>
      </c>
      <c r="C138" s="172"/>
      <c r="D138" s="172"/>
      <c r="E138" s="172" t="s">
        <v>299</v>
      </c>
      <c r="F138" s="172">
        <v>12</v>
      </c>
      <c r="G138" s="172" t="s">
        <v>299</v>
      </c>
      <c r="H138" s="214">
        <v>1940000</v>
      </c>
      <c r="I138" s="173">
        <f t="shared" si="4"/>
        <v>23280000</v>
      </c>
      <c r="J138" s="222"/>
    </row>
    <row r="139" spans="1:10" ht="30" x14ac:dyDescent="0.25">
      <c r="A139" s="170"/>
      <c r="B139" s="177" t="s">
        <v>700</v>
      </c>
      <c r="C139" s="172"/>
      <c r="D139" s="172"/>
      <c r="E139" s="172" t="s">
        <v>299</v>
      </c>
      <c r="F139" s="172">
        <v>12</v>
      </c>
      <c r="G139" s="172" t="s">
        <v>299</v>
      </c>
      <c r="H139" s="214">
        <v>1690000</v>
      </c>
      <c r="I139" s="173">
        <f t="shared" si="4"/>
        <v>20280000</v>
      </c>
      <c r="J139" s="221"/>
    </row>
    <row r="140" spans="1:10" ht="30" x14ac:dyDescent="0.25">
      <c r="A140" s="170"/>
      <c r="B140" s="177" t="s">
        <v>701</v>
      </c>
      <c r="C140" s="172"/>
      <c r="D140" s="172"/>
      <c r="E140" s="172" t="s">
        <v>299</v>
      </c>
      <c r="F140" s="172">
        <v>36</v>
      </c>
      <c r="G140" s="172" t="s">
        <v>299</v>
      </c>
      <c r="H140" s="214">
        <v>1260000</v>
      </c>
      <c r="I140" s="173">
        <f t="shared" si="4"/>
        <v>45360000</v>
      </c>
      <c r="J140" s="222"/>
    </row>
    <row r="141" spans="1:10" x14ac:dyDescent="0.25">
      <c r="A141" s="170"/>
      <c r="B141" s="177" t="s">
        <v>422</v>
      </c>
      <c r="C141" s="172"/>
      <c r="D141" s="172"/>
      <c r="E141" s="172" t="s">
        <v>299</v>
      </c>
      <c r="F141" s="172">
        <v>24</v>
      </c>
      <c r="G141" s="172" t="s">
        <v>299</v>
      </c>
      <c r="H141" s="214">
        <v>680000</v>
      </c>
      <c r="I141" s="173">
        <f t="shared" si="4"/>
        <v>16320000</v>
      </c>
      <c r="J141" s="220"/>
    </row>
    <row r="142" spans="1:10" x14ac:dyDescent="0.25">
      <c r="A142" s="166" t="s">
        <v>90</v>
      </c>
      <c r="B142" s="166" t="s">
        <v>91</v>
      </c>
      <c r="C142" s="168"/>
      <c r="D142" s="168"/>
      <c r="E142" s="168"/>
      <c r="F142" s="168"/>
      <c r="G142" s="168"/>
      <c r="H142" s="169"/>
      <c r="I142" s="167">
        <f>I143</f>
        <v>12000000</v>
      </c>
    </row>
    <row r="143" spans="1:10" ht="30" x14ac:dyDescent="0.25">
      <c r="A143" s="170"/>
      <c r="B143" s="171" t="s">
        <v>423</v>
      </c>
      <c r="C143" s="172"/>
      <c r="D143" s="172"/>
      <c r="E143" s="172" t="s">
        <v>296</v>
      </c>
      <c r="F143" s="172">
        <v>24</v>
      </c>
      <c r="G143" s="172" t="s">
        <v>296</v>
      </c>
      <c r="H143" s="173">
        <v>500000</v>
      </c>
      <c r="I143" s="173">
        <f>F143*H143</f>
        <v>12000000</v>
      </c>
    </row>
    <row r="144" spans="1:10" ht="18.75" customHeight="1" x14ac:dyDescent="0.25">
      <c r="A144" s="166" t="s">
        <v>130</v>
      </c>
      <c r="B144" s="166" t="s">
        <v>131</v>
      </c>
      <c r="C144" s="172"/>
      <c r="D144" s="172"/>
      <c r="E144" s="168"/>
      <c r="F144" s="168"/>
      <c r="G144" s="168"/>
      <c r="H144" s="169"/>
      <c r="I144" s="271">
        <f>I145</f>
        <v>180000000</v>
      </c>
    </row>
    <row r="145" spans="1:10" ht="18.75" customHeight="1" x14ac:dyDescent="0.25">
      <c r="A145" s="170"/>
      <c r="B145" s="177" t="s">
        <v>169</v>
      </c>
      <c r="C145" s="172"/>
      <c r="D145" s="172"/>
      <c r="E145" s="172" t="s">
        <v>313</v>
      </c>
      <c r="F145" s="172">
        <v>12</v>
      </c>
      <c r="G145" s="172" t="s">
        <v>313</v>
      </c>
      <c r="H145" s="173">
        <v>15000000</v>
      </c>
      <c r="I145" s="272">
        <f>F145*H145</f>
        <v>180000000</v>
      </c>
    </row>
    <row r="146" spans="1:10" ht="18.75" customHeight="1" x14ac:dyDescent="0.25">
      <c r="A146" s="162" t="s">
        <v>26</v>
      </c>
      <c r="B146" s="162" t="s">
        <v>132</v>
      </c>
      <c r="C146" s="172"/>
      <c r="D146" s="172"/>
      <c r="E146" s="163"/>
      <c r="F146" s="163"/>
      <c r="G146" s="163"/>
      <c r="H146" s="164"/>
      <c r="I146" s="165">
        <f>I147+I149+I151</f>
        <v>686400000</v>
      </c>
    </row>
    <row r="147" spans="1:10" ht="18.75" customHeight="1" x14ac:dyDescent="0.25">
      <c r="A147" s="166" t="s">
        <v>133</v>
      </c>
      <c r="B147" s="166" t="s">
        <v>134</v>
      </c>
      <c r="C147" s="172"/>
      <c r="D147" s="172"/>
      <c r="E147" s="168"/>
      <c r="F147" s="168"/>
      <c r="G147" s="168"/>
      <c r="H147" s="169"/>
      <c r="I147" s="167">
        <f>I148</f>
        <v>660000000</v>
      </c>
    </row>
    <row r="148" spans="1:10" ht="18.75" customHeight="1" x14ac:dyDescent="0.25">
      <c r="A148" s="170"/>
      <c r="B148" s="217" t="s">
        <v>279</v>
      </c>
      <c r="C148" s="323"/>
      <c r="D148" s="323"/>
      <c r="E148" s="172" t="s">
        <v>313</v>
      </c>
      <c r="F148" s="219">
        <v>12</v>
      </c>
      <c r="G148" s="172" t="s">
        <v>313</v>
      </c>
      <c r="H148" s="173">
        <v>55000000</v>
      </c>
      <c r="I148" s="173">
        <f>F148*H148</f>
        <v>660000000</v>
      </c>
      <c r="J148" s="221"/>
    </row>
    <row r="149" spans="1:10" ht="18.75" customHeight="1" x14ac:dyDescent="0.25">
      <c r="A149" s="166" t="s">
        <v>135</v>
      </c>
      <c r="B149" s="166" t="s">
        <v>136</v>
      </c>
      <c r="C149" s="324"/>
      <c r="D149" s="324"/>
      <c r="E149" s="168"/>
      <c r="F149" s="168"/>
      <c r="G149" s="168"/>
      <c r="H149" s="169"/>
      <c r="I149" s="167">
        <f>I150</f>
        <v>25200000</v>
      </c>
      <c r="J149" s="222"/>
    </row>
    <row r="150" spans="1:10" ht="18.75" customHeight="1" x14ac:dyDescent="0.25">
      <c r="A150" s="170"/>
      <c r="B150" s="217" t="s">
        <v>280</v>
      </c>
      <c r="C150" s="323"/>
      <c r="D150" s="323"/>
      <c r="E150" s="172" t="s">
        <v>313</v>
      </c>
      <c r="F150" s="219">
        <v>12</v>
      </c>
      <c r="G150" s="172" t="s">
        <v>313</v>
      </c>
      <c r="H150" s="173">
        <v>2100000</v>
      </c>
      <c r="I150" s="173">
        <f>F150*H150</f>
        <v>25200000</v>
      </c>
      <c r="J150" s="222"/>
    </row>
    <row r="151" spans="1:10" ht="18.75" customHeight="1" x14ac:dyDescent="0.25">
      <c r="A151" s="166" t="s">
        <v>137</v>
      </c>
      <c r="B151" s="166" t="s">
        <v>138</v>
      </c>
      <c r="C151" s="324"/>
      <c r="D151" s="324"/>
      <c r="E151" s="168"/>
      <c r="F151" s="168"/>
      <c r="G151" s="168"/>
      <c r="H151" s="169"/>
      <c r="I151" s="167">
        <f>I152</f>
        <v>1200000</v>
      </c>
      <c r="J151" s="222"/>
    </row>
    <row r="152" spans="1:10" ht="18.75" customHeight="1" x14ac:dyDescent="0.25">
      <c r="A152" s="170"/>
      <c r="B152" s="217" t="s">
        <v>281</v>
      </c>
      <c r="C152" s="323"/>
      <c r="D152" s="323"/>
      <c r="E152" s="172" t="s">
        <v>313</v>
      </c>
      <c r="F152" s="219">
        <v>12</v>
      </c>
      <c r="G152" s="172" t="s">
        <v>313</v>
      </c>
      <c r="H152" s="173">
        <v>100000</v>
      </c>
      <c r="I152" s="173">
        <f>F152*H152</f>
        <v>1200000</v>
      </c>
    </row>
    <row r="153" spans="1:10" ht="18.75" customHeight="1" x14ac:dyDescent="0.25">
      <c r="A153" s="162" t="s">
        <v>32</v>
      </c>
      <c r="B153" s="162" t="s">
        <v>139</v>
      </c>
      <c r="C153" s="324"/>
      <c r="D153" s="324"/>
      <c r="E153" s="163"/>
      <c r="F153" s="163"/>
      <c r="G153" s="163"/>
      <c r="H153" s="164"/>
      <c r="I153" s="165">
        <f>I154</f>
        <v>346660000</v>
      </c>
    </row>
    <row r="154" spans="1:10" s="138" customFormat="1" ht="18.75" customHeight="1" x14ac:dyDescent="0.25">
      <c r="A154" s="166" t="s">
        <v>140</v>
      </c>
      <c r="B154" s="166" t="s">
        <v>141</v>
      </c>
      <c r="C154" s="324"/>
      <c r="D154" s="324"/>
      <c r="E154" s="168"/>
      <c r="F154" s="168"/>
      <c r="G154" s="168"/>
      <c r="H154" s="169"/>
      <c r="I154" s="167">
        <f>SUM(I155:I157)</f>
        <v>346660000</v>
      </c>
    </row>
    <row r="155" spans="1:10" s="138" customFormat="1" ht="45" x14ac:dyDescent="0.25">
      <c r="A155" s="170"/>
      <c r="B155" s="217" t="s">
        <v>282</v>
      </c>
      <c r="C155" s="324"/>
      <c r="D155" s="324"/>
      <c r="E155" s="172" t="s">
        <v>314</v>
      </c>
      <c r="F155" s="219">
        <v>2</v>
      </c>
      <c r="G155" s="172" t="s">
        <v>314</v>
      </c>
      <c r="H155" s="173">
        <v>42490000</v>
      </c>
      <c r="I155" s="173">
        <f>F155*H155</f>
        <v>84980000</v>
      </c>
    </row>
    <row r="156" spans="1:10" s="138" customFormat="1" ht="30" x14ac:dyDescent="0.25">
      <c r="A156" s="170"/>
      <c r="B156" s="217" t="s">
        <v>283</v>
      </c>
      <c r="C156" s="324"/>
      <c r="D156" s="324"/>
      <c r="E156" s="172" t="s">
        <v>314</v>
      </c>
      <c r="F156" s="219">
        <v>6</v>
      </c>
      <c r="G156" s="172" t="s">
        <v>314</v>
      </c>
      <c r="H156" s="173">
        <v>37000000</v>
      </c>
      <c r="I156" s="173">
        <f>F156*H156</f>
        <v>222000000</v>
      </c>
    </row>
    <row r="157" spans="1:10" s="138" customFormat="1" ht="30" x14ac:dyDescent="0.25">
      <c r="A157" s="170"/>
      <c r="B157" s="217" t="s">
        <v>284</v>
      </c>
      <c r="C157" s="324"/>
      <c r="D157" s="324"/>
      <c r="E157" s="172" t="s">
        <v>314</v>
      </c>
      <c r="F157" s="219">
        <v>8</v>
      </c>
      <c r="G157" s="172" t="s">
        <v>314</v>
      </c>
      <c r="H157" s="173">
        <v>4960000</v>
      </c>
      <c r="I157" s="173">
        <f>F157*H157</f>
        <v>39680000</v>
      </c>
    </row>
    <row r="158" spans="1:10" s="138" customFormat="1" ht="30" x14ac:dyDescent="0.25">
      <c r="A158" s="162" t="s">
        <v>35</v>
      </c>
      <c r="B158" s="162" t="s">
        <v>142</v>
      </c>
      <c r="C158" s="323"/>
      <c r="D158" s="323"/>
      <c r="E158" s="163"/>
      <c r="F158" s="163"/>
      <c r="G158" s="163"/>
      <c r="H158" s="164"/>
      <c r="I158" s="165">
        <f>I159+I164</f>
        <v>4552655000</v>
      </c>
    </row>
    <row r="159" spans="1:10" s="138" customFormat="1" x14ac:dyDescent="0.25">
      <c r="A159" s="166" t="s">
        <v>143</v>
      </c>
      <c r="B159" s="166" t="s">
        <v>144</v>
      </c>
      <c r="C159" s="324"/>
      <c r="D159" s="324"/>
      <c r="E159" s="168"/>
      <c r="F159" s="168"/>
      <c r="G159" s="168"/>
      <c r="H159" s="169"/>
      <c r="I159" s="167">
        <f>SUM(I160:I163)</f>
        <v>4357155000</v>
      </c>
    </row>
    <row r="160" spans="1:10" s="138" customFormat="1" ht="30" x14ac:dyDescent="0.25">
      <c r="A160" s="170"/>
      <c r="B160" s="217" t="s">
        <v>285</v>
      </c>
      <c r="C160" s="324"/>
      <c r="D160" s="324"/>
      <c r="E160" s="172" t="s">
        <v>424</v>
      </c>
      <c r="F160" s="219">
        <v>3759</v>
      </c>
      <c r="G160" s="172" t="s">
        <v>424</v>
      </c>
      <c r="H160" s="173">
        <v>206000</v>
      </c>
      <c r="I160" s="173">
        <f t="shared" ref="I160:I163" si="5">F160*H160</f>
        <v>774354000</v>
      </c>
    </row>
    <row r="161" spans="1:10" s="138" customFormat="1" x14ac:dyDescent="0.25">
      <c r="A161" s="170"/>
      <c r="B161" s="217" t="s">
        <v>286</v>
      </c>
      <c r="C161" s="324"/>
      <c r="D161" s="324"/>
      <c r="E161" s="172" t="s">
        <v>300</v>
      </c>
      <c r="F161" s="219">
        <v>240</v>
      </c>
      <c r="G161" s="172" t="s">
        <v>300</v>
      </c>
      <c r="H161" s="173">
        <v>85000</v>
      </c>
      <c r="I161" s="173">
        <f t="shared" si="5"/>
        <v>20400000</v>
      </c>
    </row>
    <row r="162" spans="1:10" x14ac:dyDescent="0.25">
      <c r="A162" s="170"/>
      <c r="B162" s="217" t="s">
        <v>287</v>
      </c>
      <c r="C162" s="323"/>
      <c r="D162" s="323"/>
      <c r="E162" s="172" t="s">
        <v>300</v>
      </c>
      <c r="F162" s="219">
        <v>1</v>
      </c>
      <c r="G162" s="172" t="s">
        <v>300</v>
      </c>
      <c r="H162" s="173">
        <v>1062401000</v>
      </c>
      <c r="I162" s="173">
        <f t="shared" si="5"/>
        <v>1062401000</v>
      </c>
      <c r="J162" s="220"/>
    </row>
    <row r="163" spans="1:10" ht="30" x14ac:dyDescent="0.25">
      <c r="A163" s="170"/>
      <c r="B163" s="217" t="s">
        <v>289</v>
      </c>
      <c r="C163" s="323"/>
      <c r="D163" s="323"/>
      <c r="E163" s="172" t="s">
        <v>300</v>
      </c>
      <c r="F163" s="219">
        <v>1</v>
      </c>
      <c r="G163" s="172" t="s">
        <v>300</v>
      </c>
      <c r="H163" s="173">
        <v>2500000000</v>
      </c>
      <c r="I163" s="173">
        <f t="shared" si="5"/>
        <v>2500000000</v>
      </c>
      <c r="J163" s="221"/>
    </row>
    <row r="164" spans="1:10" x14ac:dyDescent="0.25">
      <c r="A164" s="166" t="s">
        <v>140</v>
      </c>
      <c r="B164" s="166" t="s">
        <v>141</v>
      </c>
      <c r="C164" s="324"/>
      <c r="D164" s="324"/>
      <c r="E164" s="168"/>
      <c r="F164" s="168"/>
      <c r="G164" s="168"/>
      <c r="H164" s="169"/>
      <c r="I164" s="167">
        <f>SUM(I165:I167)</f>
        <v>195500000</v>
      </c>
      <c r="J164" s="222"/>
    </row>
    <row r="165" spans="1:10" x14ac:dyDescent="0.25">
      <c r="A165" s="170"/>
      <c r="B165" s="217" t="s">
        <v>290</v>
      </c>
      <c r="C165" s="323"/>
      <c r="D165" s="323"/>
      <c r="E165" s="172" t="s">
        <v>314</v>
      </c>
      <c r="F165" s="219">
        <v>180</v>
      </c>
      <c r="G165" s="172" t="s">
        <v>314</v>
      </c>
      <c r="H165" s="173">
        <v>610000</v>
      </c>
      <c r="I165" s="173">
        <f>F165*H165</f>
        <v>109800000</v>
      </c>
      <c r="J165" s="222"/>
    </row>
    <row r="166" spans="1:10" x14ac:dyDescent="0.25">
      <c r="A166" s="170"/>
      <c r="B166" s="217" t="s">
        <v>291</v>
      </c>
      <c r="C166" s="324"/>
      <c r="D166" s="324"/>
      <c r="E166" s="172" t="s">
        <v>313</v>
      </c>
      <c r="F166" s="219">
        <v>12</v>
      </c>
      <c r="G166" s="172" t="s">
        <v>313</v>
      </c>
      <c r="H166" s="173">
        <v>4100000</v>
      </c>
      <c r="I166" s="173">
        <f>F166*H166</f>
        <v>49200000</v>
      </c>
      <c r="J166" s="222"/>
    </row>
    <row r="167" spans="1:10" ht="30" x14ac:dyDescent="0.25">
      <c r="A167" s="225"/>
      <c r="B167" s="326" t="s">
        <v>292</v>
      </c>
      <c r="C167" s="328"/>
      <c r="D167" s="328"/>
      <c r="E167" s="226" t="s">
        <v>314</v>
      </c>
      <c r="F167" s="327">
        <v>50</v>
      </c>
      <c r="G167" s="226" t="s">
        <v>314</v>
      </c>
      <c r="H167" s="227">
        <v>730000</v>
      </c>
      <c r="I167" s="227">
        <f>F167*H167</f>
        <v>36500000</v>
      </c>
      <c r="J167" s="222"/>
    </row>
    <row r="168" spans="1:10" x14ac:dyDescent="0.25">
      <c r="A168" s="184"/>
      <c r="B168" s="187"/>
      <c r="C168" s="268"/>
      <c r="D168" s="268"/>
      <c r="E168" s="269"/>
      <c r="F168" s="269"/>
      <c r="G168" s="269"/>
      <c r="H168" s="247"/>
      <c r="I168" s="247"/>
    </row>
    <row r="170" spans="1:10" ht="15.75" x14ac:dyDescent="0.3">
      <c r="C170" s="137"/>
      <c r="F170" s="196" t="s">
        <v>500</v>
      </c>
    </row>
    <row r="171" spans="1:10" ht="15.75" x14ac:dyDescent="0.3">
      <c r="C171" s="137"/>
      <c r="F171" s="196"/>
    </row>
    <row r="172" spans="1:10" ht="15.75" x14ac:dyDescent="0.3">
      <c r="C172" s="137"/>
      <c r="F172" s="196"/>
    </row>
    <row r="173" spans="1:10" ht="15.75" x14ac:dyDescent="0.3">
      <c r="C173" s="137"/>
      <c r="F173" s="196"/>
    </row>
    <row r="174" spans="1:10" ht="15.75" x14ac:dyDescent="0.3">
      <c r="C174" s="137"/>
      <c r="F174" s="196"/>
    </row>
    <row r="175" spans="1:10" ht="15.75" x14ac:dyDescent="0.3">
      <c r="C175" s="137"/>
      <c r="F175" s="196" t="s">
        <v>706</v>
      </c>
    </row>
    <row r="176" spans="1:10" ht="15.75" x14ac:dyDescent="0.3">
      <c r="C176" s="137"/>
      <c r="F176" s="196" t="s">
        <v>707</v>
      </c>
    </row>
  </sheetData>
  <autoFilter ref="A15:B167" xr:uid="{3672E4ED-D1AC-4CAC-ABB6-F68B3F342D3D}"/>
  <mergeCells count="9">
    <mergeCell ref="A1:I1"/>
    <mergeCell ref="I14:I15"/>
    <mergeCell ref="B7:G7"/>
    <mergeCell ref="A14:A15"/>
    <mergeCell ref="B14:B15"/>
    <mergeCell ref="C14:C15"/>
    <mergeCell ref="D14:D15"/>
    <mergeCell ref="H14:H15"/>
    <mergeCell ref="E14:G14"/>
  </mergeCells>
  <pageMargins left="0.23" right="0.15" top="0.39370078740157483" bottom="0.39370078740157483" header="0" footer="0"/>
  <pageSetup paperSize="9" scale="73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171D-E10D-4957-BAC5-43F6F8FE8F11}">
  <sheetPr>
    <tabColor rgb="FF92D050"/>
    <outlinePr summaryBelow="0"/>
    <pageSetUpPr fitToPage="1"/>
  </sheetPr>
  <dimension ref="A1:L37"/>
  <sheetViews>
    <sheetView showGridLines="0" topLeftCell="A4" zoomScale="85" zoomScaleNormal="85" workbookViewId="0">
      <selection activeCell="O15" sqref="O15"/>
    </sheetView>
  </sheetViews>
  <sheetFormatPr defaultColWidth="9.140625" defaultRowHeight="15" x14ac:dyDescent="0.25"/>
  <cols>
    <col min="1" max="1" width="26.140625" style="197" customWidth="1"/>
    <col min="2" max="2" width="67.85546875" style="197" customWidth="1"/>
    <col min="3" max="3" width="11.140625" style="199" customWidth="1"/>
    <col min="4" max="4" width="18.42578125" style="199" customWidth="1"/>
    <col min="5" max="5" width="9.140625" style="197" customWidth="1"/>
    <col min="6" max="6" width="6.140625" style="197" customWidth="1"/>
    <col min="7" max="7" width="9.140625" style="197" customWidth="1"/>
    <col min="8" max="8" width="11" style="197" bestFit="1" customWidth="1"/>
    <col min="9" max="16384" width="9.140625" style="197"/>
  </cols>
  <sheetData>
    <row r="1" spans="1:12" s="198" customFormat="1" x14ac:dyDescent="0.25">
      <c r="A1" s="412" t="s">
        <v>744</v>
      </c>
      <c r="B1" s="412"/>
      <c r="C1" s="412"/>
      <c r="D1" s="412"/>
      <c r="E1" s="412"/>
      <c r="F1" s="412"/>
      <c r="G1" s="412"/>
      <c r="H1" s="412"/>
      <c r="I1" s="197"/>
      <c r="J1" s="197"/>
      <c r="K1" s="197"/>
      <c r="L1" s="197"/>
    </row>
    <row r="3" spans="1:12" s="198" customFormat="1" x14ac:dyDescent="0.25">
      <c r="A3" s="304" t="s">
        <v>480</v>
      </c>
      <c r="B3" s="200" t="s">
        <v>630</v>
      </c>
      <c r="C3" s="199"/>
      <c r="D3" s="199"/>
      <c r="E3" s="197"/>
      <c r="F3" s="197"/>
      <c r="G3" s="197"/>
      <c r="H3" s="197"/>
      <c r="I3" s="197"/>
      <c r="J3" s="197"/>
      <c r="K3" s="197"/>
      <c r="L3" s="197"/>
    </row>
    <row r="4" spans="1:12" s="198" customFormat="1" x14ac:dyDescent="0.25">
      <c r="A4" s="304" t="s">
        <v>481</v>
      </c>
      <c r="B4" s="200" t="s">
        <v>490</v>
      </c>
      <c r="C4" s="199"/>
      <c r="D4" s="199"/>
      <c r="E4" s="197"/>
      <c r="F4" s="197"/>
      <c r="G4" s="197"/>
      <c r="H4" s="197"/>
      <c r="I4" s="197"/>
      <c r="J4" s="197"/>
      <c r="K4" s="197"/>
      <c r="L4" s="197"/>
    </row>
    <row r="5" spans="1:12" s="198" customFormat="1" x14ac:dyDescent="0.25">
      <c r="A5" s="304" t="s">
        <v>482</v>
      </c>
      <c r="B5" s="200" t="s">
        <v>717</v>
      </c>
      <c r="C5" s="199"/>
      <c r="D5" s="199"/>
      <c r="E5" s="197"/>
      <c r="F5" s="197"/>
      <c r="G5" s="197"/>
      <c r="H5" s="197"/>
      <c r="I5" s="197"/>
      <c r="J5" s="197"/>
      <c r="K5" s="197"/>
      <c r="L5" s="197"/>
    </row>
    <row r="6" spans="1:12" s="198" customFormat="1" x14ac:dyDescent="0.25">
      <c r="A6" s="304" t="s">
        <v>483</v>
      </c>
      <c r="B6" s="200" t="s">
        <v>718</v>
      </c>
      <c r="C6" s="199"/>
      <c r="D6" s="199"/>
      <c r="E6" s="197"/>
      <c r="F6" s="197"/>
      <c r="G6" s="197"/>
      <c r="H6" s="197"/>
      <c r="I6" s="197"/>
      <c r="J6" s="197"/>
      <c r="K6" s="197"/>
      <c r="L6" s="197"/>
    </row>
    <row r="7" spans="1:12" s="198" customFormat="1" ht="30" x14ac:dyDescent="0.25">
      <c r="A7" s="309" t="s">
        <v>484</v>
      </c>
      <c r="B7" s="306" t="s">
        <v>758</v>
      </c>
      <c r="C7" s="199"/>
      <c r="D7" s="199"/>
      <c r="E7" s="197"/>
      <c r="F7" s="197"/>
      <c r="G7" s="197"/>
      <c r="H7" s="197"/>
      <c r="I7" s="197"/>
      <c r="J7" s="197"/>
      <c r="K7" s="197"/>
      <c r="L7" s="197"/>
    </row>
    <row r="8" spans="1:12" s="198" customFormat="1" x14ac:dyDescent="0.25">
      <c r="A8" s="304" t="s">
        <v>485</v>
      </c>
      <c r="B8" s="200" t="s">
        <v>719</v>
      </c>
      <c r="C8" s="199"/>
      <c r="D8" s="199"/>
      <c r="E8" s="197"/>
      <c r="F8" s="197"/>
      <c r="G8" s="197"/>
      <c r="H8" s="197"/>
      <c r="I8" s="197"/>
      <c r="J8" s="197"/>
      <c r="K8" s="197"/>
      <c r="L8" s="197"/>
    </row>
    <row r="9" spans="1:12" s="198" customFormat="1" x14ac:dyDescent="0.25">
      <c r="A9" s="304" t="s">
        <v>745</v>
      </c>
      <c r="B9" s="200" t="s">
        <v>716</v>
      </c>
      <c r="C9" s="199"/>
      <c r="D9" s="199"/>
      <c r="E9" s="197"/>
      <c r="F9" s="197"/>
      <c r="G9" s="197"/>
      <c r="H9" s="197"/>
      <c r="I9" s="197"/>
      <c r="J9" s="197"/>
      <c r="K9" s="197"/>
      <c r="L9" s="197"/>
    </row>
    <row r="10" spans="1:12" s="198" customFormat="1" x14ac:dyDescent="0.25">
      <c r="A10" s="304" t="s">
        <v>747</v>
      </c>
      <c r="B10" s="33" t="s">
        <v>511</v>
      </c>
      <c r="C10" s="199"/>
      <c r="D10" s="199"/>
      <c r="E10" s="197"/>
      <c r="F10" s="197"/>
      <c r="G10" s="197"/>
      <c r="H10" s="197"/>
      <c r="I10" s="197"/>
      <c r="J10" s="197"/>
      <c r="K10" s="197"/>
      <c r="L10" s="197"/>
    </row>
    <row r="11" spans="1:12" s="198" customFormat="1" x14ac:dyDescent="0.25">
      <c r="A11" s="304" t="s">
        <v>748</v>
      </c>
      <c r="B11" s="33" t="s">
        <v>592</v>
      </c>
      <c r="C11" s="199"/>
      <c r="D11" s="199"/>
      <c r="E11" s="197"/>
      <c r="F11" s="197"/>
      <c r="G11" s="197"/>
      <c r="H11" s="197"/>
      <c r="I11" s="197"/>
      <c r="J11" s="197"/>
      <c r="K11" s="197"/>
      <c r="L11" s="197"/>
    </row>
    <row r="12" spans="1:12" s="198" customFormat="1" x14ac:dyDescent="0.25">
      <c r="A12" s="304" t="s">
        <v>488</v>
      </c>
      <c r="B12" s="200" t="s">
        <v>715</v>
      </c>
      <c r="C12" s="199"/>
      <c r="D12" s="199"/>
      <c r="E12" s="197"/>
      <c r="F12" s="197"/>
      <c r="G12" s="197"/>
      <c r="H12" s="197"/>
      <c r="I12" s="197"/>
      <c r="J12" s="197"/>
      <c r="K12" s="197"/>
      <c r="L12" s="197"/>
    </row>
    <row r="15" spans="1:12" s="200" customFormat="1" ht="33" customHeight="1" x14ac:dyDescent="0.25">
      <c r="A15" s="417" t="s">
        <v>749</v>
      </c>
      <c r="B15" s="417" t="s">
        <v>750</v>
      </c>
      <c r="C15" s="419" t="s">
        <v>751</v>
      </c>
      <c r="D15" s="419" t="s">
        <v>752</v>
      </c>
      <c r="E15" s="424" t="s">
        <v>755</v>
      </c>
      <c r="F15" s="425"/>
      <c r="G15" s="419" t="s">
        <v>322</v>
      </c>
      <c r="H15" s="419" t="s">
        <v>743</v>
      </c>
    </row>
    <row r="16" spans="1:12" s="200" customFormat="1" x14ac:dyDescent="0.25">
      <c r="A16" s="418"/>
      <c r="B16" s="418"/>
      <c r="C16" s="420"/>
      <c r="D16" s="420"/>
      <c r="E16" s="288" t="s">
        <v>754</v>
      </c>
      <c r="F16" s="288" t="s">
        <v>753</v>
      </c>
      <c r="G16" s="420"/>
      <c r="H16" s="420"/>
    </row>
    <row r="17" spans="1:8" s="137" customFormat="1" x14ac:dyDescent="0.25">
      <c r="A17" s="281" t="s">
        <v>784</v>
      </c>
      <c r="B17" s="281" t="s">
        <v>641</v>
      </c>
      <c r="C17" s="282">
        <v>1</v>
      </c>
      <c r="D17" s="282"/>
      <c r="E17" s="282" t="s">
        <v>308</v>
      </c>
      <c r="F17" s="282"/>
      <c r="G17" s="308"/>
      <c r="H17" s="283">
        <f>H18</f>
        <v>10000000</v>
      </c>
    </row>
    <row r="18" spans="1:8" s="137" customFormat="1" x14ac:dyDescent="0.25">
      <c r="A18" s="26" t="s">
        <v>9</v>
      </c>
      <c r="B18" s="26" t="s">
        <v>642</v>
      </c>
      <c r="C18" s="307"/>
      <c r="D18" s="307" t="s">
        <v>756</v>
      </c>
      <c r="E18" s="307"/>
      <c r="F18" s="307"/>
      <c r="G18" s="28"/>
      <c r="H18" s="29">
        <f>H19</f>
        <v>10000000</v>
      </c>
    </row>
    <row r="19" spans="1:8" s="137" customFormat="1" x14ac:dyDescent="0.25">
      <c r="A19" s="241" t="s">
        <v>12</v>
      </c>
      <c r="B19" s="241" t="s">
        <v>643</v>
      </c>
      <c r="C19" s="248"/>
      <c r="D19" s="248"/>
      <c r="E19" s="248"/>
      <c r="F19" s="248"/>
      <c r="G19" s="249"/>
      <c r="H19" s="250">
        <f>H20+H24+H26</f>
        <v>10000000</v>
      </c>
    </row>
    <row r="20" spans="1:8" s="137" customFormat="1" x14ac:dyDescent="0.25">
      <c r="A20" s="251" t="s">
        <v>22</v>
      </c>
      <c r="B20" s="242" t="s">
        <v>23</v>
      </c>
      <c r="C20" s="252"/>
      <c r="D20" s="252"/>
      <c r="E20" s="252"/>
      <c r="F20" s="252"/>
      <c r="G20" s="244"/>
      <c r="H20" s="253">
        <f>SUM(H21:H23)</f>
        <v>2740000</v>
      </c>
    </row>
    <row r="21" spans="1:8" s="137" customFormat="1" x14ac:dyDescent="0.25">
      <c r="A21" s="243"/>
      <c r="B21" s="254" t="s">
        <v>644</v>
      </c>
      <c r="C21" s="255"/>
      <c r="D21" s="255"/>
      <c r="E21" s="255" t="s">
        <v>296</v>
      </c>
      <c r="F21" s="255">
        <v>30</v>
      </c>
      <c r="G21" s="256">
        <v>57000</v>
      </c>
      <c r="H21" s="256">
        <f>F21*G21</f>
        <v>1710000</v>
      </c>
    </row>
    <row r="22" spans="1:8" s="137" customFormat="1" x14ac:dyDescent="0.25">
      <c r="A22" s="243"/>
      <c r="B22" s="254" t="s">
        <v>645</v>
      </c>
      <c r="C22" s="255"/>
      <c r="D22" s="255"/>
      <c r="E22" s="255" t="s">
        <v>296</v>
      </c>
      <c r="F22" s="255">
        <v>30</v>
      </c>
      <c r="G22" s="256">
        <v>24000</v>
      </c>
      <c r="H22" s="256">
        <f>F22*G22</f>
        <v>720000</v>
      </c>
    </row>
    <row r="23" spans="1:8" s="137" customFormat="1" x14ac:dyDescent="0.25">
      <c r="A23" s="243"/>
      <c r="B23" s="254" t="s">
        <v>648</v>
      </c>
      <c r="C23" s="255"/>
      <c r="D23" s="255"/>
      <c r="E23" s="255" t="s">
        <v>298</v>
      </c>
      <c r="F23" s="255">
        <v>1</v>
      </c>
      <c r="G23" s="256">
        <v>310000</v>
      </c>
      <c r="H23" s="256">
        <f>F23*G23</f>
        <v>310000</v>
      </c>
    </row>
    <row r="24" spans="1:8" s="137" customFormat="1" x14ac:dyDescent="0.25">
      <c r="A24" s="166" t="s">
        <v>16</v>
      </c>
      <c r="B24" s="166" t="s">
        <v>17</v>
      </c>
      <c r="C24" s="168"/>
      <c r="D24" s="168"/>
      <c r="E24" s="168"/>
      <c r="F24" s="168"/>
      <c r="G24" s="169"/>
      <c r="H24" s="167">
        <f>SUM(H25:H25)</f>
        <v>2700000</v>
      </c>
    </row>
    <row r="25" spans="1:8" s="137" customFormat="1" ht="18" customHeight="1" x14ac:dyDescent="0.25">
      <c r="A25" s="170"/>
      <c r="B25" s="171" t="s">
        <v>649</v>
      </c>
      <c r="C25" s="172"/>
      <c r="D25" s="172"/>
      <c r="E25" s="172" t="s">
        <v>297</v>
      </c>
      <c r="F25" s="172">
        <v>3</v>
      </c>
      <c r="G25" s="173">
        <v>900000</v>
      </c>
      <c r="H25" s="173">
        <f>F25*G25</f>
        <v>2700000</v>
      </c>
    </row>
    <row r="26" spans="1:8" s="137" customFormat="1" x14ac:dyDescent="0.25">
      <c r="A26" s="257" t="s">
        <v>18</v>
      </c>
      <c r="B26" s="245" t="s">
        <v>19</v>
      </c>
      <c r="C26" s="258"/>
      <c r="D26" s="258"/>
      <c r="E26" s="258"/>
      <c r="F26" s="258"/>
      <c r="G26" s="259"/>
      <c r="H26" s="259">
        <f>SUM(H27:H28)</f>
        <v>4560000</v>
      </c>
    </row>
    <row r="27" spans="1:8" s="137" customFormat="1" x14ac:dyDescent="0.25">
      <c r="A27" s="243"/>
      <c r="B27" s="254" t="s">
        <v>647</v>
      </c>
      <c r="C27" s="255"/>
      <c r="D27" s="255"/>
      <c r="E27" s="255" t="s">
        <v>296</v>
      </c>
      <c r="F27" s="255">
        <v>12</v>
      </c>
      <c r="G27" s="256">
        <v>210000</v>
      </c>
      <c r="H27" s="256">
        <f>F27*G27</f>
        <v>2520000</v>
      </c>
    </row>
    <row r="28" spans="1:8" s="137" customFormat="1" x14ac:dyDescent="0.25">
      <c r="A28" s="273"/>
      <c r="B28" s="274" t="s">
        <v>646</v>
      </c>
      <c r="C28" s="275"/>
      <c r="D28" s="275"/>
      <c r="E28" s="275" t="s">
        <v>296</v>
      </c>
      <c r="F28" s="275">
        <v>12</v>
      </c>
      <c r="G28" s="276">
        <v>170000</v>
      </c>
      <c r="H28" s="276">
        <f>F28*G28</f>
        <v>2040000</v>
      </c>
    </row>
    <row r="29" spans="1:8" ht="12.95" customHeight="1" x14ac:dyDescent="0.25">
      <c r="A29" s="184"/>
      <c r="B29" s="267"/>
      <c r="C29" s="268"/>
      <c r="D29" s="268"/>
      <c r="E29" s="269"/>
      <c r="F29" s="269"/>
    </row>
    <row r="30" spans="1:8" ht="12.95" customHeight="1" x14ac:dyDescent="0.25">
      <c r="A30" s="201"/>
      <c r="B30" s="204"/>
      <c r="C30" s="202"/>
      <c r="D30" s="202"/>
      <c r="E30" s="201"/>
      <c r="F30" s="205"/>
    </row>
    <row r="31" spans="1:8" ht="12.95" customHeight="1" x14ac:dyDescent="0.3">
      <c r="A31" s="201"/>
      <c r="B31" s="204"/>
      <c r="D31" s="202"/>
      <c r="E31" s="201"/>
      <c r="F31" s="196" t="s">
        <v>500</v>
      </c>
    </row>
    <row r="32" spans="1:8" ht="12.95" customHeight="1" x14ac:dyDescent="0.3">
      <c r="A32" s="201"/>
      <c r="B32" s="204"/>
      <c r="D32" s="202"/>
      <c r="E32" s="201"/>
      <c r="F32" s="196"/>
    </row>
    <row r="33" spans="1:6" ht="12.95" customHeight="1" x14ac:dyDescent="0.3">
      <c r="A33" s="201"/>
      <c r="B33" s="201"/>
      <c r="D33" s="202"/>
      <c r="E33" s="201"/>
      <c r="F33" s="196"/>
    </row>
    <row r="34" spans="1:6" s="207" customFormat="1" ht="12.95" customHeight="1" x14ac:dyDescent="0.3">
      <c r="A34" s="201"/>
      <c r="B34" s="201"/>
      <c r="D34" s="202"/>
      <c r="E34" s="201"/>
      <c r="F34" s="196"/>
    </row>
    <row r="35" spans="1:6" ht="15.75" x14ac:dyDescent="0.3">
      <c r="F35" s="196"/>
    </row>
    <row r="36" spans="1:6" ht="15.75" x14ac:dyDescent="0.3">
      <c r="F36" s="196" t="s">
        <v>706</v>
      </c>
    </row>
    <row r="37" spans="1:6" ht="15.75" x14ac:dyDescent="0.3">
      <c r="F37" s="196" t="s">
        <v>707</v>
      </c>
    </row>
  </sheetData>
  <autoFilter ref="A16:B28" xr:uid="{3672E4ED-D1AC-4CAC-ABB6-F68B3F342D3D}"/>
  <mergeCells count="8">
    <mergeCell ref="C15:C16"/>
    <mergeCell ref="B15:B16"/>
    <mergeCell ref="A1:H1"/>
    <mergeCell ref="G15:G16"/>
    <mergeCell ref="D15:D16"/>
    <mergeCell ref="E15:F15"/>
    <mergeCell ref="H15:H16"/>
    <mergeCell ref="A15:A16"/>
  </mergeCells>
  <pageMargins left="0.42" right="0.21" top="0.37" bottom="0.54" header="0" footer="0"/>
  <pageSetup paperSize="9" scale="55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B896-CE30-4934-9B52-B5F1B30945FC}">
  <sheetPr>
    <tabColor rgb="FF92D050"/>
    <outlinePr summaryBelow="0"/>
    <pageSetUpPr fitToPage="1"/>
  </sheetPr>
  <dimension ref="A1:M37"/>
  <sheetViews>
    <sheetView showGridLines="0" zoomScale="70" zoomScaleNormal="70" workbookViewId="0">
      <selection activeCell="N27" sqref="N27"/>
    </sheetView>
  </sheetViews>
  <sheetFormatPr defaultColWidth="9.140625" defaultRowHeight="15" x14ac:dyDescent="0.25"/>
  <cols>
    <col min="1" max="1" width="22.140625" style="321" customWidth="1"/>
    <col min="2" max="2" width="50.85546875" style="197" customWidth="1"/>
    <col min="3" max="3" width="9.85546875" style="199" customWidth="1"/>
    <col min="4" max="4" width="18.7109375" style="199" customWidth="1"/>
    <col min="5" max="5" width="10.140625" style="197" hidden="1" customWidth="1"/>
    <col min="6" max="6" width="12.42578125" style="197" customWidth="1"/>
    <col min="7" max="7" width="10.140625" style="197" customWidth="1"/>
    <col min="8" max="8" width="12.42578125" style="197" bestFit="1" customWidth="1"/>
    <col min="9" max="9" width="17.28515625" style="197" bestFit="1" customWidth="1"/>
    <col min="10" max="16384" width="9.140625" style="197"/>
  </cols>
  <sheetData>
    <row r="1" spans="1:13" s="198" customFormat="1" x14ac:dyDescent="0.25">
      <c r="A1" s="412" t="s">
        <v>744</v>
      </c>
      <c r="B1" s="412"/>
      <c r="C1" s="412"/>
      <c r="D1" s="412"/>
      <c r="E1" s="412"/>
      <c r="F1" s="412"/>
      <c r="G1" s="412"/>
      <c r="H1" s="412"/>
      <c r="I1" s="412"/>
      <c r="J1" s="197"/>
      <c r="K1" s="197"/>
      <c r="L1" s="197"/>
      <c r="M1" s="197"/>
    </row>
    <row r="3" spans="1:13" s="198" customFormat="1" x14ac:dyDescent="0.25">
      <c r="A3" s="309" t="s">
        <v>480</v>
      </c>
      <c r="B3" s="200" t="s">
        <v>630</v>
      </c>
      <c r="C3" s="199"/>
      <c r="D3" s="199"/>
      <c r="E3" s="197"/>
      <c r="F3" s="197"/>
      <c r="G3" s="197"/>
      <c r="H3" s="197"/>
      <c r="I3" s="197"/>
      <c r="J3" s="197"/>
      <c r="K3" s="197"/>
      <c r="L3" s="197"/>
      <c r="M3" s="197"/>
    </row>
    <row r="4" spans="1:13" s="198" customFormat="1" x14ac:dyDescent="0.25">
      <c r="A4" s="309" t="s">
        <v>481</v>
      </c>
      <c r="B4" s="200" t="s">
        <v>490</v>
      </c>
      <c r="C4" s="199"/>
      <c r="D4" s="199"/>
      <c r="E4" s="197"/>
      <c r="F4" s="197"/>
      <c r="G4" s="197"/>
      <c r="H4" s="197"/>
      <c r="I4" s="197"/>
      <c r="J4" s="197"/>
      <c r="K4" s="197"/>
      <c r="L4" s="197"/>
      <c r="M4" s="197"/>
    </row>
    <row r="5" spans="1:13" s="198" customFormat="1" x14ac:dyDescent="0.25">
      <c r="A5" s="309" t="s">
        <v>482</v>
      </c>
      <c r="B5" s="200" t="s">
        <v>717</v>
      </c>
      <c r="C5" s="199"/>
      <c r="D5" s="199"/>
      <c r="E5" s="197"/>
      <c r="F5" s="197"/>
      <c r="G5" s="197"/>
      <c r="H5" s="197"/>
      <c r="I5" s="197"/>
      <c r="J5" s="197"/>
      <c r="K5" s="197"/>
      <c r="L5" s="197"/>
      <c r="M5" s="197"/>
    </row>
    <row r="6" spans="1:13" s="198" customFormat="1" x14ac:dyDescent="0.25">
      <c r="A6" s="309" t="s">
        <v>483</v>
      </c>
      <c r="B6" s="200" t="s">
        <v>718</v>
      </c>
      <c r="C6" s="199"/>
      <c r="D6" s="199"/>
      <c r="E6" s="197"/>
      <c r="F6" s="197"/>
      <c r="G6" s="197"/>
      <c r="H6" s="197"/>
      <c r="I6" s="197"/>
      <c r="J6" s="197"/>
      <c r="K6" s="197"/>
      <c r="L6" s="197"/>
      <c r="M6" s="197"/>
    </row>
    <row r="7" spans="1:13" s="198" customFormat="1" ht="30" x14ac:dyDescent="0.25">
      <c r="A7" s="309" t="s">
        <v>484</v>
      </c>
      <c r="B7" s="306" t="s">
        <v>758</v>
      </c>
      <c r="C7" s="199"/>
      <c r="D7" s="199"/>
      <c r="E7" s="197"/>
      <c r="F7" s="197"/>
      <c r="G7" s="197"/>
      <c r="H7" s="197"/>
      <c r="I7" s="197"/>
      <c r="J7" s="197"/>
      <c r="K7" s="197"/>
      <c r="L7" s="197"/>
      <c r="M7" s="197"/>
    </row>
    <row r="8" spans="1:13" s="198" customFormat="1" x14ac:dyDescent="0.25">
      <c r="A8" s="309" t="s">
        <v>485</v>
      </c>
      <c r="B8" s="200" t="s">
        <v>762</v>
      </c>
      <c r="C8" s="199"/>
      <c r="D8" s="199"/>
      <c r="E8" s="197"/>
      <c r="F8" s="197"/>
      <c r="G8" s="197"/>
      <c r="H8" s="197"/>
      <c r="I8" s="197"/>
      <c r="J8" s="197"/>
      <c r="K8" s="197"/>
      <c r="L8" s="197"/>
      <c r="M8" s="197"/>
    </row>
    <row r="9" spans="1:13" s="198" customFormat="1" x14ac:dyDescent="0.25">
      <c r="A9" s="309" t="s">
        <v>745</v>
      </c>
      <c r="B9" s="200" t="s">
        <v>621</v>
      </c>
      <c r="C9" s="199"/>
      <c r="D9" s="199"/>
      <c r="E9" s="197"/>
      <c r="F9" s="197"/>
      <c r="G9" s="197"/>
      <c r="H9" s="197"/>
      <c r="I9" s="197"/>
      <c r="J9" s="197"/>
      <c r="K9" s="197"/>
      <c r="L9" s="197"/>
      <c r="M9" s="197"/>
    </row>
    <row r="10" spans="1:13" s="198" customFormat="1" x14ac:dyDescent="0.25">
      <c r="A10" s="309" t="s">
        <v>747</v>
      </c>
      <c r="B10" s="303" t="s">
        <v>511</v>
      </c>
      <c r="C10" s="199"/>
      <c r="D10" s="199"/>
      <c r="E10" s="197"/>
      <c r="F10" s="197"/>
      <c r="G10" s="197"/>
      <c r="H10" s="197"/>
      <c r="I10" s="197"/>
      <c r="J10" s="197"/>
      <c r="K10" s="197"/>
      <c r="L10" s="197"/>
      <c r="M10" s="197"/>
    </row>
    <row r="11" spans="1:13" s="198" customFormat="1" x14ac:dyDescent="0.25">
      <c r="A11" s="309" t="s">
        <v>748</v>
      </c>
      <c r="B11" s="303" t="s">
        <v>620</v>
      </c>
      <c r="C11" s="199"/>
      <c r="D11" s="199"/>
      <c r="E11" s="197"/>
      <c r="F11" s="197"/>
      <c r="G11" s="197"/>
      <c r="H11" s="197"/>
      <c r="I11" s="197"/>
      <c r="J11" s="197"/>
      <c r="K11" s="197"/>
      <c r="L11" s="197"/>
      <c r="M11" s="197"/>
    </row>
    <row r="12" spans="1:13" s="198" customFormat="1" x14ac:dyDescent="0.25">
      <c r="A12" s="309" t="s">
        <v>488</v>
      </c>
      <c r="B12" s="200" t="s">
        <v>781</v>
      </c>
      <c r="C12" s="199"/>
      <c r="D12" s="199"/>
      <c r="E12" s="197"/>
      <c r="F12" s="197"/>
      <c r="G12" s="197"/>
      <c r="H12" s="197"/>
      <c r="I12" s="197"/>
      <c r="J12" s="197"/>
      <c r="K12" s="197"/>
      <c r="L12" s="197"/>
      <c r="M12" s="197"/>
    </row>
    <row r="15" spans="1:13" s="200" customFormat="1" ht="45" customHeight="1" x14ac:dyDescent="0.25">
      <c r="A15" s="417" t="s">
        <v>749</v>
      </c>
      <c r="B15" s="419" t="s">
        <v>750</v>
      </c>
      <c r="C15" s="419" t="s">
        <v>751</v>
      </c>
      <c r="D15" s="419" t="s">
        <v>752</v>
      </c>
      <c r="E15" s="421" t="s">
        <v>755</v>
      </c>
      <c r="F15" s="422"/>
      <c r="G15" s="423"/>
      <c r="H15" s="419" t="s">
        <v>322</v>
      </c>
      <c r="I15" s="419" t="s">
        <v>743</v>
      </c>
    </row>
    <row r="16" spans="1:13" s="200" customFormat="1" x14ac:dyDescent="0.25">
      <c r="A16" s="418"/>
      <c r="B16" s="420"/>
      <c r="C16" s="420"/>
      <c r="D16" s="420"/>
      <c r="E16" s="288" t="s">
        <v>753</v>
      </c>
      <c r="F16" s="288" t="s">
        <v>754</v>
      </c>
      <c r="G16" s="288" t="s">
        <v>753</v>
      </c>
      <c r="H16" s="420"/>
      <c r="I16" s="420"/>
    </row>
    <row r="17" spans="1:9" s="36" customFormat="1" x14ac:dyDescent="0.25">
      <c r="A17" s="285" t="s">
        <v>667</v>
      </c>
      <c r="B17" s="284" t="s">
        <v>148</v>
      </c>
      <c r="C17" s="285">
        <v>1</v>
      </c>
      <c r="D17" s="285"/>
      <c r="E17" s="285"/>
      <c r="F17" s="285" t="s">
        <v>316</v>
      </c>
      <c r="G17" s="285"/>
      <c r="H17" s="286"/>
      <c r="I17" s="287">
        <f>I18</f>
        <v>198600000</v>
      </c>
    </row>
    <row r="18" spans="1:9" s="36" customFormat="1" x14ac:dyDescent="0.25">
      <c r="A18" s="314">
        <v>996</v>
      </c>
      <c r="B18" s="158" t="s">
        <v>617</v>
      </c>
      <c r="C18" s="302" t="s">
        <v>11</v>
      </c>
      <c r="D18" s="302" t="s">
        <v>756</v>
      </c>
      <c r="E18" s="302"/>
      <c r="F18" s="302"/>
      <c r="G18" s="302"/>
      <c r="H18" s="159"/>
      <c r="I18" s="313">
        <f>I19</f>
        <v>198600000</v>
      </c>
    </row>
    <row r="19" spans="1:9" s="36" customFormat="1" x14ac:dyDescent="0.25">
      <c r="A19" s="315" t="s">
        <v>12</v>
      </c>
      <c r="B19" s="66" t="s">
        <v>425</v>
      </c>
      <c r="C19" s="67"/>
      <c r="D19" s="67"/>
      <c r="E19" s="67"/>
      <c r="F19" s="67"/>
      <c r="G19" s="67"/>
      <c r="H19" s="68"/>
      <c r="I19" s="69">
        <f>I20</f>
        <v>198600000</v>
      </c>
    </row>
    <row r="20" spans="1:9" s="36" customFormat="1" x14ac:dyDescent="0.25">
      <c r="A20" s="316" t="s">
        <v>152</v>
      </c>
      <c r="B20" s="70" t="s">
        <v>153</v>
      </c>
      <c r="C20" s="71"/>
      <c r="D20" s="71"/>
      <c r="E20" s="71"/>
      <c r="F20" s="71"/>
      <c r="G20" s="71"/>
      <c r="H20" s="72"/>
      <c r="I20" s="103">
        <f>SUM(I21:I28)</f>
        <v>198600000</v>
      </c>
    </row>
    <row r="21" spans="1:9" s="36" customFormat="1" x14ac:dyDescent="0.25">
      <c r="A21" s="317"/>
      <c r="B21" s="75" t="s">
        <v>676</v>
      </c>
      <c r="C21" s="76"/>
      <c r="D21" s="76"/>
      <c r="E21" s="106">
        <v>6</v>
      </c>
      <c r="F21" s="106" t="s">
        <v>668</v>
      </c>
      <c r="G21" s="106">
        <v>6</v>
      </c>
      <c r="H21" s="107">
        <v>2600000</v>
      </c>
      <c r="I21" s="77">
        <f t="shared" ref="I21:I28" si="0">G21*H21</f>
        <v>15600000</v>
      </c>
    </row>
    <row r="22" spans="1:9" s="36" customFormat="1" x14ac:dyDescent="0.25">
      <c r="A22" s="317"/>
      <c r="B22" s="75" t="s">
        <v>677</v>
      </c>
      <c r="C22" s="76"/>
      <c r="D22" s="76"/>
      <c r="E22" s="106">
        <v>2</v>
      </c>
      <c r="F22" s="106" t="s">
        <v>668</v>
      </c>
      <c r="G22" s="106">
        <v>2</v>
      </c>
      <c r="H22" s="107">
        <v>14200000</v>
      </c>
      <c r="I22" s="77">
        <f t="shared" si="0"/>
        <v>28400000</v>
      </c>
    </row>
    <row r="23" spans="1:9" s="36" customFormat="1" x14ac:dyDescent="0.25">
      <c r="A23" s="317"/>
      <c r="B23" s="75" t="s">
        <v>678</v>
      </c>
      <c r="C23" s="76"/>
      <c r="D23" s="76"/>
      <c r="E23" s="106">
        <v>1</v>
      </c>
      <c r="F23" s="106" t="s">
        <v>668</v>
      </c>
      <c r="G23" s="106">
        <v>1</v>
      </c>
      <c r="H23" s="107">
        <v>20000000</v>
      </c>
      <c r="I23" s="77">
        <f t="shared" si="0"/>
        <v>20000000</v>
      </c>
    </row>
    <row r="24" spans="1:9" s="36" customFormat="1" x14ac:dyDescent="0.25">
      <c r="A24" s="317"/>
      <c r="B24" s="75" t="s">
        <v>679</v>
      </c>
      <c r="C24" s="76"/>
      <c r="D24" s="76"/>
      <c r="E24" s="106">
        <v>7</v>
      </c>
      <c r="F24" s="106" t="s">
        <v>668</v>
      </c>
      <c r="G24" s="106">
        <v>7</v>
      </c>
      <c r="H24" s="107">
        <v>10000000</v>
      </c>
      <c r="I24" s="77">
        <f t="shared" si="0"/>
        <v>70000000</v>
      </c>
    </row>
    <row r="25" spans="1:9" s="36" customFormat="1" x14ac:dyDescent="0.25">
      <c r="A25" s="317"/>
      <c r="B25" s="75" t="s">
        <v>680</v>
      </c>
      <c r="C25" s="76"/>
      <c r="D25" s="76"/>
      <c r="E25" s="106">
        <v>3</v>
      </c>
      <c r="F25" s="106" t="s">
        <v>668</v>
      </c>
      <c r="G25" s="106">
        <v>3</v>
      </c>
      <c r="H25" s="107">
        <v>5000000</v>
      </c>
      <c r="I25" s="77">
        <f t="shared" si="0"/>
        <v>15000000</v>
      </c>
    </row>
    <row r="26" spans="1:9" s="36" customFormat="1" x14ac:dyDescent="0.25">
      <c r="A26" s="317"/>
      <c r="B26" s="75" t="s">
        <v>681</v>
      </c>
      <c r="C26" s="76"/>
      <c r="D26" s="76"/>
      <c r="E26" s="106">
        <v>1</v>
      </c>
      <c r="F26" s="106" t="s">
        <v>668</v>
      </c>
      <c r="G26" s="106">
        <v>1</v>
      </c>
      <c r="H26" s="107">
        <v>6300000</v>
      </c>
      <c r="I26" s="77">
        <f t="shared" si="0"/>
        <v>6300000</v>
      </c>
    </row>
    <row r="27" spans="1:9" s="36" customFormat="1" x14ac:dyDescent="0.25">
      <c r="A27" s="317"/>
      <c r="B27" s="75" t="s">
        <v>682</v>
      </c>
      <c r="C27" s="76"/>
      <c r="D27" s="76"/>
      <c r="E27" s="106">
        <v>1</v>
      </c>
      <c r="F27" s="106" t="s">
        <v>668</v>
      </c>
      <c r="G27" s="106">
        <v>1</v>
      </c>
      <c r="H27" s="107">
        <v>33500000</v>
      </c>
      <c r="I27" s="77">
        <f t="shared" si="0"/>
        <v>33500000</v>
      </c>
    </row>
    <row r="28" spans="1:9" s="36" customFormat="1" x14ac:dyDescent="0.25">
      <c r="A28" s="318"/>
      <c r="B28" s="213" t="s">
        <v>683</v>
      </c>
      <c r="C28" s="106"/>
      <c r="D28" s="106"/>
      <c r="E28" s="106">
        <v>1</v>
      </c>
      <c r="F28" s="106" t="s">
        <v>668</v>
      </c>
      <c r="G28" s="106">
        <v>1</v>
      </c>
      <c r="H28" s="107">
        <v>9800000</v>
      </c>
      <c r="I28" s="107">
        <f t="shared" si="0"/>
        <v>9800000</v>
      </c>
    </row>
    <row r="29" spans="1:9" ht="12.95" customHeight="1" x14ac:dyDescent="0.25">
      <c r="A29" s="319"/>
      <c r="B29" s="267"/>
      <c r="C29" s="268"/>
      <c r="D29" s="268"/>
      <c r="E29" s="269"/>
      <c r="F29" s="269"/>
      <c r="G29" s="269"/>
    </row>
    <row r="30" spans="1:9" ht="12.95" customHeight="1" x14ac:dyDescent="0.25">
      <c r="A30" s="320"/>
      <c r="B30" s="204"/>
      <c r="C30" s="202"/>
      <c r="D30" s="202"/>
      <c r="E30" s="205"/>
      <c r="G30" s="205"/>
    </row>
    <row r="31" spans="1:9" ht="12.95" customHeight="1" x14ac:dyDescent="0.3">
      <c r="A31" s="320"/>
      <c r="B31" s="204"/>
      <c r="D31" s="202"/>
      <c r="E31" s="196" t="s">
        <v>500</v>
      </c>
      <c r="G31" s="196" t="s">
        <v>500</v>
      </c>
    </row>
    <row r="32" spans="1:9" ht="12.95" customHeight="1" x14ac:dyDescent="0.3">
      <c r="A32" s="320"/>
      <c r="B32" s="204"/>
      <c r="D32" s="202"/>
      <c r="E32" s="196"/>
      <c r="G32" s="196"/>
    </row>
    <row r="33" spans="1:7" ht="12.95" customHeight="1" x14ac:dyDescent="0.3">
      <c r="A33" s="320"/>
      <c r="B33" s="201"/>
      <c r="D33" s="202"/>
      <c r="E33" s="196"/>
      <c r="G33" s="196"/>
    </row>
    <row r="34" spans="1:7" s="207" customFormat="1" ht="12.95" customHeight="1" x14ac:dyDescent="0.3">
      <c r="A34" s="320"/>
      <c r="B34" s="201"/>
      <c r="D34" s="202"/>
      <c r="E34" s="196"/>
      <c r="G34" s="196"/>
    </row>
    <row r="35" spans="1:7" ht="15.75" x14ac:dyDescent="0.3">
      <c r="E35" s="196"/>
      <c r="G35" s="196"/>
    </row>
    <row r="36" spans="1:7" ht="15.75" x14ac:dyDescent="0.3">
      <c r="E36" s="196" t="s">
        <v>706</v>
      </c>
      <c r="G36" s="196" t="s">
        <v>706</v>
      </c>
    </row>
    <row r="37" spans="1:7" ht="15.75" x14ac:dyDescent="0.3">
      <c r="E37" s="196" t="s">
        <v>707</v>
      </c>
      <c r="G37" s="196" t="s">
        <v>707</v>
      </c>
    </row>
  </sheetData>
  <autoFilter ref="A16:B28" xr:uid="{3672E4ED-D1AC-4CAC-ABB6-F68B3F342D3D}"/>
  <mergeCells count="8">
    <mergeCell ref="A1:I1"/>
    <mergeCell ref="I15:I16"/>
    <mergeCell ref="A15:A16"/>
    <mergeCell ref="C15:C16"/>
    <mergeCell ref="D15:D16"/>
    <mergeCell ref="B15:B16"/>
    <mergeCell ref="H15:H16"/>
    <mergeCell ref="E15:G15"/>
  </mergeCells>
  <pageMargins left="0.43307086614173229" right="0.19685039370078741" top="0.43307086614173229" bottom="0.55118110236220474" header="0" footer="0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27</vt:i4>
      </vt:variant>
    </vt:vector>
  </HeadingPairs>
  <TitlesOfParts>
    <vt:vector size="46" baseType="lpstr">
      <vt:lpstr>RKA 2024</vt:lpstr>
      <vt:lpstr>RAB Full 2026</vt:lpstr>
      <vt:lpstr>RAB Rev Terakhir</vt:lpstr>
      <vt:lpstr>RAB Semula Menjadi</vt:lpstr>
      <vt:lpstr>Rekap</vt:lpstr>
      <vt:lpstr>Indikatif 2025</vt:lpstr>
      <vt:lpstr>RAB Pagu Tambahan</vt:lpstr>
      <vt:lpstr>4472.BDB.001</vt:lpstr>
      <vt:lpstr>4472.BDB.002</vt:lpstr>
      <vt:lpstr>RPD</vt:lpstr>
      <vt:lpstr>RAB 7733.BDB.001</vt:lpstr>
      <vt:lpstr>RAB 7733.BDB.002</vt:lpstr>
      <vt:lpstr>RAB 7733.BEJ.001</vt:lpstr>
      <vt:lpstr>6392.EBB.951</vt:lpstr>
      <vt:lpstr>6392.EBA.962</vt:lpstr>
      <vt:lpstr>RAB 7735.EBA.962</vt:lpstr>
      <vt:lpstr>RAB 7735.EBA.994</vt:lpstr>
      <vt:lpstr>RAB 7735.EBA.956</vt:lpstr>
      <vt:lpstr>RAB 7735.EBB.951</vt:lpstr>
      <vt:lpstr>'4472.BDB.001'!JR_PAGE_ANCHOR_0_1</vt:lpstr>
      <vt:lpstr>'4472.BDB.002'!JR_PAGE_ANCHOR_0_1</vt:lpstr>
      <vt:lpstr>'Indikatif 2025'!JR_PAGE_ANCHOR_0_1</vt:lpstr>
      <vt:lpstr>'RAB Full 2026'!JR_PAGE_ANCHOR_0_1</vt:lpstr>
      <vt:lpstr>'RAB Pagu Tambahan'!JR_PAGE_ANCHOR_0_1</vt:lpstr>
      <vt:lpstr>'RAB Rev Terakhir'!JR_PAGE_ANCHOR_0_1</vt:lpstr>
      <vt:lpstr>'RAB Semula Menjadi'!JR_PAGE_ANCHOR_0_1</vt:lpstr>
      <vt:lpstr>'RKA 2024'!JR_PAGE_ANCHOR_0_1</vt:lpstr>
      <vt:lpstr>'4472.BDB.001'!Print_Area</vt:lpstr>
      <vt:lpstr>'4472.BDB.002'!Print_Area</vt:lpstr>
      <vt:lpstr>'6392.EBA.962'!Print_Area</vt:lpstr>
      <vt:lpstr>'6392.EBB.951'!Print_Area</vt:lpstr>
      <vt:lpstr>'RAB 7733.BDB.001'!Print_Area</vt:lpstr>
      <vt:lpstr>'RAB 7733.BDB.002'!Print_Area</vt:lpstr>
      <vt:lpstr>'RAB 7733.BEJ.001'!Print_Area</vt:lpstr>
      <vt:lpstr>'RAB 7735.EBA.956'!Print_Area</vt:lpstr>
      <vt:lpstr>'RAB 7735.EBA.994'!Print_Area</vt:lpstr>
      <vt:lpstr>'RAB 7735.EBB.951'!Print_Area</vt:lpstr>
      <vt:lpstr>'4472.BDB.001'!Print_Titles</vt:lpstr>
      <vt:lpstr>'4472.BDB.002'!Print_Titles</vt:lpstr>
      <vt:lpstr>'6392.EBA.962'!Print_Titles</vt:lpstr>
      <vt:lpstr>'RAB 7733.BDB.001'!Print_Titles</vt:lpstr>
      <vt:lpstr>'RAB 7733.BDB.002'!Print_Titles</vt:lpstr>
      <vt:lpstr>'RAB 7733.BEJ.001'!Print_Titles</vt:lpstr>
      <vt:lpstr>'RAB 7735.EBA.962'!Print_Titles</vt:lpstr>
      <vt:lpstr>'RAB 7735.EBA.994'!Print_Titles</vt:lpstr>
      <vt:lpstr>'RAB 7735.EBB.951'!Print_Titles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2024-02-20T00:27:42Z</dcterms:created>
  <dcterms:modified xsi:type="dcterms:W3CDTF">2026-03-10T06:38:03Z</dcterms:modified>
</cp:coreProperties>
</file>